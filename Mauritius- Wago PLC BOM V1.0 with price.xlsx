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uritius\"/>
    </mc:Choice>
  </mc:AlternateContent>
  <xr:revisionPtr revIDLastSave="0" documentId="8_{55C3B574-A2B0-4167-8C17-E4878CDA2CEC}" xr6:coauthVersionLast="47" xr6:coauthVersionMax="47" xr10:uidLastSave="{00000000-0000-0000-0000-000000000000}"/>
  <bookViews>
    <workbookView xWindow="-108" yWindow="-108" windowWidth="23256" windowHeight="12576" xr2:uid="{1C53F3E8-ABF3-41BF-8097-D4C92AAB9C6F}"/>
  </bookViews>
  <sheets>
    <sheet name="Panel BOM" sheetId="2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'[1]KR2&amp;KVCM(MAR 1-6''99)'!#REF!</definedName>
    <definedName name="\e">'[1]KR2&amp;KVCM(MAR 1-6''99)'!#REF!</definedName>
    <definedName name="\f">'[1]KR2&amp;KVCM(MAR 1-6''99)'!#REF!</definedName>
    <definedName name="\g">'[1]KR2&amp;KVCM(MAR 1-6''99)'!#REF!</definedName>
    <definedName name="\h">'[1]KR2&amp;KVCM(MAR 1-6''99)'!#REF!</definedName>
    <definedName name="\i">'[1]KR2&amp;KVCM(MAR 1-6''99)'!#REF!</definedName>
    <definedName name="\j">'[1]KR2&amp;KVCM(MAR 1-6''99)'!#REF!</definedName>
    <definedName name="\k">'[1]KR2&amp;KVCM(MAR 1-6''99)'!#REF!</definedName>
    <definedName name="\l">'[1]KR2&amp;KVCM(MAR 1-6''99)'!#REF!</definedName>
    <definedName name="\m">'[1]KR2&amp;KVCM(MAR 1-6''99)'!#REF!</definedName>
    <definedName name="\n">'[1]KR2&amp;KVCM(MAR 1-6''99)'!#REF!</definedName>
    <definedName name="\o">'[1]KR2&amp;KVCM(MAR 1-6''99)'!#REF!</definedName>
    <definedName name="\p">[2]sum!#REF!</definedName>
    <definedName name="\q">#REF!</definedName>
    <definedName name="\r">#REF!</definedName>
    <definedName name="\s">#REF!</definedName>
    <definedName name="\U">#REF!</definedName>
    <definedName name="\w">#REF!</definedName>
    <definedName name="\x">'[3]SRC-B3U2'!#REF!</definedName>
    <definedName name="\z">[2]sum!#REF!</definedName>
    <definedName name="_">[4]예가표!#REF!</definedName>
    <definedName name="__">[4]예가표!#REF!</definedName>
    <definedName name="___">[4]예가표!#REF!</definedName>
    <definedName name="_______________________________ccr1" hidden="1">{#N/A,#N/A,TRUE,"Cover";#N/A,#N/A,TRUE,"Conts";#N/A,#N/A,TRUE,"VOS";#N/A,#N/A,TRUE,"Warrington";#N/A,#N/A,TRUE,"Widnes"}</definedName>
    <definedName name="_____________________________ccr1" hidden="1">{#N/A,#N/A,TRUE,"Cover";#N/A,#N/A,TRUE,"Conts";#N/A,#N/A,TRUE,"VOS";#N/A,#N/A,TRUE,"Warrington";#N/A,#N/A,TRUE,"Widnes"}</definedName>
    <definedName name="___________________________ccr1" hidden="1">{#N/A,#N/A,TRUE,"Cover";#N/A,#N/A,TRUE,"Conts";#N/A,#N/A,TRUE,"VOS";#N/A,#N/A,TRUE,"Warrington";#N/A,#N/A,TRUE,"Widnes"}</definedName>
    <definedName name="_________________________ccr1" hidden="1">{#N/A,#N/A,TRUE,"Cover";#N/A,#N/A,TRUE,"Conts";#N/A,#N/A,TRUE,"VOS";#N/A,#N/A,TRUE,"Warrington";#N/A,#N/A,TRUE,"Widnes"}</definedName>
    <definedName name="_______________________ccr1" hidden="1">{#N/A,#N/A,TRUE,"Cover";#N/A,#N/A,TRUE,"Conts";#N/A,#N/A,TRUE,"VOS";#N/A,#N/A,TRUE,"Warrington";#N/A,#N/A,TRUE,"Widnes"}</definedName>
    <definedName name="_____________________ccr1" hidden="1">{#N/A,#N/A,TRUE,"Cover";#N/A,#N/A,TRUE,"Conts";#N/A,#N/A,TRUE,"VOS";#N/A,#N/A,TRUE,"Warrington";#N/A,#N/A,TRUE,"Widnes"}</definedName>
    <definedName name="___________________ccr1" hidden="1">{#N/A,#N/A,TRUE,"Cover";#N/A,#N/A,TRUE,"Conts";#N/A,#N/A,TRUE,"VOS";#N/A,#N/A,TRUE,"Warrington";#N/A,#N/A,TRUE,"Widnes"}</definedName>
    <definedName name="_________________ccr1" hidden="1">{#N/A,#N/A,TRUE,"Cover";#N/A,#N/A,TRUE,"Conts";#N/A,#N/A,TRUE,"VOS";#N/A,#N/A,TRUE,"Warrington";#N/A,#N/A,TRUE,"Widnes"}</definedName>
    <definedName name="_______________ccr1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_F">#REF!</definedName>
    <definedName name="__________R">#REF!</definedName>
    <definedName name="_________ccr1" hidden="1">{#N/A,#N/A,TRUE,"Cover";#N/A,#N/A,TRUE,"Conts";#N/A,#N/A,TRUE,"VOS";#N/A,#N/A,TRUE,"Warrington";#N/A,#N/A,TRUE,"Widnes"}</definedName>
    <definedName name="_________F">#REF!</definedName>
    <definedName name="_________R">#REF!</definedName>
    <definedName name="________ccr1" hidden="1">{#N/A,#N/A,TRUE,"Cover";#N/A,#N/A,TRUE,"Conts";#N/A,#N/A,TRUE,"VOS";#N/A,#N/A,TRUE,"Warrington";#N/A,#N/A,TRUE,"Widnes"}</definedName>
    <definedName name="________F">#REF!</definedName>
    <definedName name="________NN1">#N/A</definedName>
    <definedName name="________NN2">#N/A</definedName>
    <definedName name="________R">#REF!</definedName>
    <definedName name="_______AEO1">'[5]MAIN MATERIAL DATABASE'!#REF!</definedName>
    <definedName name="_______ccr1" hidden="1">{#N/A,#N/A,TRUE,"Cover";#N/A,#N/A,TRUE,"Conts";#N/A,#N/A,TRUE,"VOS";#N/A,#N/A,TRUE,"Warrington";#N/A,#N/A,TRUE,"Widnes"}</definedName>
    <definedName name="_______F">#REF!</definedName>
    <definedName name="_______FOX2">[5]DATA!#REF!</definedName>
    <definedName name="_______GIS1">'[6]DATA-1'!#REF!</definedName>
    <definedName name="_______GIS6">'[6]DATA-1'!#REF!</definedName>
    <definedName name="_______LF6">'[6]DATA-1'!#REF!</definedName>
    <definedName name="_______NN1">#N/A</definedName>
    <definedName name="_______NN2">#N/A</definedName>
    <definedName name="_______PLC2">[5]DATA!#REF!</definedName>
    <definedName name="_______R">#REF!</definedName>
    <definedName name="_______RTU2">[5]DATA!#REF!</definedName>
    <definedName name="_______RTU6">[5]DATA!#REF!</definedName>
    <definedName name="______AEO1">'[5]MAIN MATERIAL DATABASE'!#REF!</definedName>
    <definedName name="______att2">#N/A</definedName>
    <definedName name="______BBP5">[5]DATA!$R$45</definedName>
    <definedName name="______BBP6">[5]DATA!$R$47</definedName>
    <definedName name="______BUS2">[5]DATA!$R$22</definedName>
    <definedName name="______BUS5">[5]DATA!$R$14</definedName>
    <definedName name="______BUS6">[5]DATA!$R$32</definedName>
    <definedName name="______ccr1" hidden="1">{#N/A,#N/A,TRUE,"Cover";#N/A,#N/A,TRUE,"Conts";#N/A,#N/A,TRUE,"VOS";#N/A,#N/A,TRUE,"Warrington";#N/A,#N/A,TRUE,"Widnes"}</definedName>
    <definedName name="______CW1">#REF!</definedName>
    <definedName name="______CW2">#REF!</definedName>
    <definedName name="______EES1">'[5]MAIN MATERIAL DATABASE'!$V:$V</definedName>
    <definedName name="______F">#REF!</definedName>
    <definedName name="______FOX2">[5]DATA!#REF!</definedName>
    <definedName name="______GIS1">'[6]DATA-1'!#REF!</definedName>
    <definedName name="______GIS6">'[6]DATA-1'!#REF!</definedName>
    <definedName name="______LF6">'[6]DATA-1'!#REF!</definedName>
    <definedName name="______MET2">[5]DATA!$R$41</definedName>
    <definedName name="______MET6">[5]DATA!$R$42</definedName>
    <definedName name="______NN1">#N/A</definedName>
    <definedName name="______NN2">#N/A</definedName>
    <definedName name="______OP1">[5]DATA!$R$23</definedName>
    <definedName name="______PLC2">[5]DATA!#REF!</definedName>
    <definedName name="______R">#REF!</definedName>
    <definedName name="______RTK1">'[5]MAIN MATERIAL DATABASE'!$R:$R</definedName>
    <definedName name="______RTU2">[5]DATA!#REF!</definedName>
    <definedName name="______RTU6">[5]DATA!#REF!</definedName>
    <definedName name="______SAS2">[5]DATA!$R$54</definedName>
    <definedName name="______SUP1">'[5]MAIN MATERIAL DATABASE'!$D:$D</definedName>
    <definedName name="______tem1">#N/A</definedName>
    <definedName name="______TOT2">[5]DATA!$R$19</definedName>
    <definedName name="______TOT5">[5]DATA!$R$11</definedName>
    <definedName name="______TOT6">[5]DATA!$R$29</definedName>
    <definedName name="_____AEO1">'[5]MAIN MATERIAL DATABASE'!#REF!</definedName>
    <definedName name="_____att2">#N/A</definedName>
    <definedName name="_____BBP5">[5]DATA!$R$45</definedName>
    <definedName name="_____BBP6">[5]DATA!$R$47</definedName>
    <definedName name="_____BUS2">[5]DATA!$R$22</definedName>
    <definedName name="_____BUS5">[5]DATA!$R$14</definedName>
    <definedName name="_____BUS6">[5]DATA!$R$32</definedName>
    <definedName name="_____cab10">#REF!</definedName>
    <definedName name="_____cab120">#REF!</definedName>
    <definedName name="_____cab150">#REF!</definedName>
    <definedName name="_____cab16">#REF!</definedName>
    <definedName name="_____cab185">#REF!</definedName>
    <definedName name="_____cab240">#REF!</definedName>
    <definedName name="_____cab25">#REF!</definedName>
    <definedName name="_____cab300">#REF!</definedName>
    <definedName name="_____cab3000">[7]power!#REF!</definedName>
    <definedName name="_____cab35">#REF!</definedName>
    <definedName name="_____cab4">#REF!</definedName>
    <definedName name="_____cab50">#REF!</definedName>
    <definedName name="_____cab6">#REF!</definedName>
    <definedName name="_____cab70">#REF!</definedName>
    <definedName name="_____cab95">#REF!</definedName>
    <definedName name="_____cbr1">#REF!</definedName>
    <definedName name="_____cbr2">#REF!</definedName>
    <definedName name="_____cbr3">#REF!</definedName>
    <definedName name="_____cbr4">#REF!</definedName>
    <definedName name="_____cbr5">#REF!</definedName>
    <definedName name="_____cbr6">#REF!</definedName>
    <definedName name="_____cbr7">#REF!</definedName>
    <definedName name="_____cbr8">#REF!</definedName>
    <definedName name="_____ccr1" hidden="1">{#N/A,#N/A,TRUE,"Cover";#N/A,#N/A,TRUE,"Conts";#N/A,#N/A,TRUE,"VOS";#N/A,#N/A,TRUE,"Warrington";#N/A,#N/A,TRUE,"Widnes"}</definedName>
    <definedName name="_____cht14">[8]cables!#REF!</definedName>
    <definedName name="_____cht15">[8]cables!#REF!</definedName>
    <definedName name="_____cht16">[8]cables!#REF!</definedName>
    <definedName name="_____ckt1">#REF!</definedName>
    <definedName name="_____ckt10">#REF!</definedName>
    <definedName name="_____ckt11">#REF!</definedName>
    <definedName name="_____ckt12">#REF!</definedName>
    <definedName name="_____ckt13">#REF!</definedName>
    <definedName name="_____ckt14">#REF!</definedName>
    <definedName name="_____ckt15">#REF!</definedName>
    <definedName name="_____ckt16">#REF!</definedName>
    <definedName name="_____ckt17">#REF!</definedName>
    <definedName name="_____ckt2">#REF!</definedName>
    <definedName name="_____ckt3">#REF!</definedName>
    <definedName name="_____ckt4">#REF!</definedName>
    <definedName name="_____ckt5">#REF!</definedName>
    <definedName name="_____ckt6">#REF!</definedName>
    <definedName name="_____ckt7">#REF!</definedName>
    <definedName name="_____ckt8">#REF!</definedName>
    <definedName name="_____ckt9">#REF!</definedName>
    <definedName name="_____CW1">#REF!</definedName>
    <definedName name="_____CW2">#REF!</definedName>
    <definedName name="_____DAT1">#REF!</definedName>
    <definedName name="_____DAT10">'[9]cespiti cet2 piombino (2)'!#REF!</definedName>
    <definedName name="_____DAT11">'[9]cespiti cet2 piombino (2)'!#REF!</definedName>
    <definedName name="_____DAT12">'[9]cespiti cet2 piombino (2)'!#REF!</definedName>
    <definedName name="_____DAT13">'[9]cespiti cet2 piombino (2)'!#REF!</definedName>
    <definedName name="_____DAT14">'[9]cespiti cet2 piombino (2)'!#REF!</definedName>
    <definedName name="_____DAT17">'[9]cespiti cet2 piombino (2)'!#REF!</definedName>
    <definedName name="_____DAT18">'[9]cespiti cet2 piombino (2)'!#REF!</definedName>
    <definedName name="_____DAT19">'[9]cespiti cet2 piombino (2)'!#REF!</definedName>
    <definedName name="_____DAT2">#REF!</definedName>
    <definedName name="_____DAT20">'[9]cespiti cet2 piombino (2)'!#REF!</definedName>
    <definedName name="_____DAT21">'[9]cespiti cet2 piombino (2)'!#REF!</definedName>
    <definedName name="_____DAT22">'[9]cespiti cet2 piombino (2)'!#REF!</definedName>
    <definedName name="_____DAT23">'[9]cespiti cet2 piombino (2)'!#REF!</definedName>
    <definedName name="_____DAT24">'[9]cespiti cet2 piombino (2)'!#REF!</definedName>
    <definedName name="_____DAT25">'[9]cespiti cet2 piombino (2)'!#REF!</definedName>
    <definedName name="_____DAT26">'[9]cespiti cet2 piombino (2)'!#REF!</definedName>
    <definedName name="_____DAT27">'[9]cespiti cet2 piombino (2)'!#REF!</definedName>
    <definedName name="_____DAT28">'[9]cespiti cet2 piombino (2)'!#REF!</definedName>
    <definedName name="_____DAT3">#REF!</definedName>
    <definedName name="_____DAT4">'[9]cespiti cet2 piombino (2)'!#REF!</definedName>
    <definedName name="_____DAT5">'[9]cespiti cet2 piombino (2)'!#REF!</definedName>
    <definedName name="_____DAT6">'[9]cespiti cet2 piombino (2)'!#REF!</definedName>
    <definedName name="_____DAT7">'[9]cespiti cet2 piombino (2)'!#REF!</definedName>
    <definedName name="_____DAT8">'[9]cespiti cet2 piombino (2)'!#REF!</definedName>
    <definedName name="_____DAT9">'[9]cespiti cet2 piombino (2)'!#REF!</definedName>
    <definedName name="_____dsw25">#REF!</definedName>
    <definedName name="_____dsw32">#REF!</definedName>
    <definedName name="_____dsw63">#REF!</definedName>
    <definedName name="_____EES1">'[5]MAIN MATERIAL DATABASE'!$V:$V</definedName>
    <definedName name="_____F">#REF!</definedName>
    <definedName name="_____fds2530">#REF!</definedName>
    <definedName name="_____fix1">#REF!</definedName>
    <definedName name="_____fix10">#REF!</definedName>
    <definedName name="_____fix11">#REF!</definedName>
    <definedName name="_____fix12">#REF!</definedName>
    <definedName name="_____fix2">#REF!</definedName>
    <definedName name="_____fix3">#REF!</definedName>
    <definedName name="_____fix4">#REF!</definedName>
    <definedName name="_____fix5">#REF!</definedName>
    <definedName name="_____fix6">#REF!</definedName>
    <definedName name="_____fix7">#REF!</definedName>
    <definedName name="_____fix8">#REF!</definedName>
    <definedName name="_____fix9">#REF!</definedName>
    <definedName name="_____FOX2">[5]DATA!#REF!</definedName>
    <definedName name="_____gal1">#REF!</definedName>
    <definedName name="_____gal2">#REF!</definedName>
    <definedName name="_____gal75">#REF!</definedName>
    <definedName name="_____GIS1">'[6]DATA-1'!#REF!</definedName>
    <definedName name="_____GIS6">'[6]DATA-1'!#REF!</definedName>
    <definedName name="_____ins251">#REF!</definedName>
    <definedName name="_____ins252">#REF!</definedName>
    <definedName name="_____ins253">#REF!</definedName>
    <definedName name="_____ins254">#REF!</definedName>
    <definedName name="_____ins255">#REF!</definedName>
    <definedName name="_____ins2550">#REF!</definedName>
    <definedName name="_____ins256">#REF!</definedName>
    <definedName name="_____ins2560">#REF!</definedName>
    <definedName name="_____ins401">#REF!</definedName>
    <definedName name="_____ins4010">#REF!</definedName>
    <definedName name="_____ins402">#REF!</definedName>
    <definedName name="_____ins403">#REF!</definedName>
    <definedName name="_____ins404">#REF!</definedName>
    <definedName name="_____ins405">#REF!</definedName>
    <definedName name="_____ins406">#REF!</definedName>
    <definedName name="_____ins408">#REF!</definedName>
    <definedName name="_____ins501">#REF!</definedName>
    <definedName name="_____ins5010">#REF!</definedName>
    <definedName name="_____ins5012">#REF!</definedName>
    <definedName name="_____ins502">#REF!</definedName>
    <definedName name="_____ins503">#REF!</definedName>
    <definedName name="_____ins504">#REF!</definedName>
    <definedName name="_____ins505">#REF!</definedName>
    <definedName name="_____ins506">#REF!</definedName>
    <definedName name="_____ins508">#REF!</definedName>
    <definedName name="_____LF6">'[6]DATA-1'!#REF!</definedName>
    <definedName name="_____mar16">#REF!</definedName>
    <definedName name="_____mar20">#REF!</definedName>
    <definedName name="_____mar25">#REF!</definedName>
    <definedName name="_____mar32">#REF!</definedName>
    <definedName name="_____mar40">#REF!</definedName>
    <definedName name="_____mar50">#REF!</definedName>
    <definedName name="_____MB1">#REF!</definedName>
    <definedName name="_____MES10">#REF!</definedName>
    <definedName name="_____MES11">#REF!</definedName>
    <definedName name="_____MES14">#REF!</definedName>
    <definedName name="_____MES15">#REF!</definedName>
    <definedName name="_____MES20">#REF!</definedName>
    <definedName name="_____MES21">#REF!</definedName>
    <definedName name="_____MES24">#REF!</definedName>
    <definedName name="_____MES25">#REF!</definedName>
    <definedName name="_____MES40">#REF!</definedName>
    <definedName name="_____MES41">#REF!</definedName>
    <definedName name="_____MES42">#REF!</definedName>
    <definedName name="_____MES43">#REF!</definedName>
    <definedName name="_____MES44">#REF!</definedName>
    <definedName name="_____MES45">#REF!</definedName>
    <definedName name="_____MES5">#REF!</definedName>
    <definedName name="_____MES50">#REF!</definedName>
    <definedName name="_____MES51">#REF!</definedName>
    <definedName name="_____MES52">#REF!</definedName>
    <definedName name="_____MES53">#REF!</definedName>
    <definedName name="_____MES6">#REF!</definedName>
    <definedName name="_____MES62">#REF!</definedName>
    <definedName name="_____MES70">#REF!</definedName>
    <definedName name="_____MES71">#REF!</definedName>
    <definedName name="_____MET2">[5]DATA!$R$41</definedName>
    <definedName name="_____MET6">[5]DATA!$R$42</definedName>
    <definedName name="_____mit2">#REF!</definedName>
    <definedName name="_____mit75">#REF!</definedName>
    <definedName name="_____NN1">#N/A</definedName>
    <definedName name="_____NN2">#N/A</definedName>
    <definedName name="_____NWT2">[10]川崎HRSG!#REF!</definedName>
    <definedName name="_____OH1">#REF!</definedName>
    <definedName name="_____OH2">#REF!</definedName>
    <definedName name="_____OP1">[5]DATA!$R$23</definedName>
    <definedName name="_____out1">[11]BOQ!#REF!</definedName>
    <definedName name="_____out2">[11]BOQ!#REF!</definedName>
    <definedName name="_____out3">[11]BOQ!#REF!</definedName>
    <definedName name="_____out4">[11]BOQ!#REF!</definedName>
    <definedName name="_____PAG1">#REF!</definedName>
    <definedName name="_____pag1000">#REF!</definedName>
    <definedName name="_____PAG2">#REF!</definedName>
    <definedName name="_____PAG3">#REF!</definedName>
    <definedName name="_____PAG31">#REF!</definedName>
    <definedName name="_____PAG4">#REF!</definedName>
    <definedName name="_____PAG5">#REF!</definedName>
    <definedName name="_____PAG51">#REF!</definedName>
    <definedName name="_____PAG52">#REF!</definedName>
    <definedName name="_____PLC2">[5]DATA!#REF!</definedName>
    <definedName name="_____PR1">#N/A</definedName>
    <definedName name="_____PR2">#N/A</definedName>
    <definedName name="_____ps1">#REF!</definedName>
    <definedName name="_____ps3">#REF!</definedName>
    <definedName name="_____PU1000">#REF!</definedName>
    <definedName name="_____PU10000">#REF!</definedName>
    <definedName name="_____PU10001">#REF!</definedName>
    <definedName name="_____PU10002">#REF!</definedName>
    <definedName name="_____PU10003">#REF!</definedName>
    <definedName name="_____PU10004">#REF!</definedName>
    <definedName name="_____PU10005">#REF!</definedName>
    <definedName name="_____PU1001">#REF!</definedName>
    <definedName name="_____PU1002">#REF!</definedName>
    <definedName name="_____PU1003">#REF!</definedName>
    <definedName name="_____PU1004">#REF!</definedName>
    <definedName name="_____PU1005">#REF!</definedName>
    <definedName name="_____PU1006">#REF!</definedName>
    <definedName name="_____PU1007">#REF!</definedName>
    <definedName name="_____PU1008">#REF!</definedName>
    <definedName name="_____PU1009">#REF!</definedName>
    <definedName name="_____PU10125">#REF!</definedName>
    <definedName name="_____PU1125">#REF!</definedName>
    <definedName name="_____PU2000">#REF!</definedName>
    <definedName name="_____PU2001">#REF!</definedName>
    <definedName name="_____PU2002">#REF!</definedName>
    <definedName name="_____PU2003">#REF!</definedName>
    <definedName name="_____PU2004">#REF!</definedName>
    <definedName name="_____PU2005">#REF!</definedName>
    <definedName name="_____PU2006">#REF!</definedName>
    <definedName name="_____PU2007">#REF!</definedName>
    <definedName name="_____PU2008">#REF!</definedName>
    <definedName name="_____PU3000">#REF!</definedName>
    <definedName name="_____PU3001">#REF!</definedName>
    <definedName name="_____PU3002">#REF!</definedName>
    <definedName name="_____PU3003">#REF!</definedName>
    <definedName name="_____PU3004">#REF!</definedName>
    <definedName name="_____PU3005">#REF!</definedName>
    <definedName name="_____PU3006">#REF!</definedName>
    <definedName name="_____PU3007">#REF!</definedName>
    <definedName name="_____PU3008">#REF!</definedName>
    <definedName name="_____PU3009">#REF!</definedName>
    <definedName name="_____PU3010">#REF!</definedName>
    <definedName name="_____PU3011">#REF!</definedName>
    <definedName name="_____PU3012">#REF!</definedName>
    <definedName name="_____PU3013">#REF!</definedName>
    <definedName name="_____PU3014">#REF!</definedName>
    <definedName name="_____PU3015">#REF!</definedName>
    <definedName name="_____PU3016">#REF!</definedName>
    <definedName name="_____PU3017">#REF!</definedName>
    <definedName name="_____PU3018">#REF!</definedName>
    <definedName name="_____PU3019">#REF!</definedName>
    <definedName name="_____PU3020">#REF!</definedName>
    <definedName name="_____PU3021">#REF!</definedName>
    <definedName name="_____PU3022">#REF!</definedName>
    <definedName name="_____PU3023">#REF!</definedName>
    <definedName name="_____PU3024">#REF!</definedName>
    <definedName name="_____PU4000">#REF!</definedName>
    <definedName name="_____PU4001">#REF!</definedName>
    <definedName name="_____PU4002">#REF!</definedName>
    <definedName name="_____PU4003">#REF!</definedName>
    <definedName name="_____PU4004">#REF!</definedName>
    <definedName name="_____PU4005">#REF!</definedName>
    <definedName name="_____PU4006">#REF!</definedName>
    <definedName name="_____PU4007">#REF!</definedName>
    <definedName name="_____PU4008">#REF!</definedName>
    <definedName name="_____PU4009">#REF!</definedName>
    <definedName name="_____PU4010">#REF!</definedName>
    <definedName name="_____PU4011">#REF!</definedName>
    <definedName name="_____PU4012">#REF!</definedName>
    <definedName name="_____PU4013">#REF!</definedName>
    <definedName name="_____PU4014">#REF!</definedName>
    <definedName name="_____PU4015">#REF!</definedName>
    <definedName name="_____PU5000">#REF!</definedName>
    <definedName name="_____PU5001">#REF!</definedName>
    <definedName name="_____PU5002">#REF!</definedName>
    <definedName name="_____PU5003">#REF!</definedName>
    <definedName name="_____PU5004">#REF!</definedName>
    <definedName name="_____PU5005">#REF!</definedName>
    <definedName name="_____PU5006">#REF!</definedName>
    <definedName name="_____PU5007">#REF!</definedName>
    <definedName name="_____PU5008">#REF!</definedName>
    <definedName name="_____PU5009">#REF!</definedName>
    <definedName name="_____PU5010">#REF!</definedName>
    <definedName name="_____PU5011">#REF!</definedName>
    <definedName name="_____PU5012">#REF!</definedName>
    <definedName name="_____PU5013">#REF!</definedName>
    <definedName name="_____PU5014">#REF!</definedName>
    <definedName name="_____PU6000">#REF!</definedName>
    <definedName name="_____PU6001">#REF!</definedName>
    <definedName name="_____PU6002">#REF!</definedName>
    <definedName name="_____PU6003">#REF!</definedName>
    <definedName name="_____PU6004">#REF!</definedName>
    <definedName name="_____PU6005">#REF!</definedName>
    <definedName name="_____PU6006">#REF!</definedName>
    <definedName name="_____PU6007">#REF!</definedName>
    <definedName name="_____PU6008">#REF!</definedName>
    <definedName name="_____PU6009">#REF!</definedName>
    <definedName name="_____PU6010">#REF!</definedName>
    <definedName name="_____PU6011">#REF!</definedName>
    <definedName name="_____PU6012">#REF!</definedName>
    <definedName name="_____PU6013">#REF!</definedName>
    <definedName name="_____PU6014">#REF!</definedName>
    <definedName name="_____PU6015">#REF!</definedName>
    <definedName name="_____PU6016">#REF!</definedName>
    <definedName name="_____PU6017">#REF!</definedName>
    <definedName name="_____PU6018">#REF!</definedName>
    <definedName name="_____PU7000">#REF!</definedName>
    <definedName name="_____PU7001">#REF!</definedName>
    <definedName name="_____PU7002">#REF!</definedName>
    <definedName name="_____PU7003">#REF!</definedName>
    <definedName name="_____PU7004">#REF!</definedName>
    <definedName name="_____PU7005">#REF!</definedName>
    <definedName name="_____PU7006">#REF!</definedName>
    <definedName name="_____PU7007">#REF!</definedName>
    <definedName name="_____PU7008">#REF!</definedName>
    <definedName name="_____PU7009">#REF!</definedName>
    <definedName name="_____PU7010">#REF!</definedName>
    <definedName name="_____PU7011">#REF!</definedName>
    <definedName name="_____PU7012">#REF!</definedName>
    <definedName name="_____PU7013">#REF!</definedName>
    <definedName name="_____PU7014">#REF!</definedName>
    <definedName name="_____PU7015">#REF!</definedName>
    <definedName name="_____PU7016">#REF!</definedName>
    <definedName name="_____PU7017">#REF!</definedName>
    <definedName name="_____PU7018">#REF!</definedName>
    <definedName name="_____PU7019">#REF!</definedName>
    <definedName name="_____PU7020">#REF!</definedName>
    <definedName name="_____PU7021">#REF!</definedName>
    <definedName name="_____PU7022">#REF!</definedName>
    <definedName name="_____PU7023">#REF!</definedName>
    <definedName name="_____PU7024">#REF!</definedName>
    <definedName name="_____PU8000">#REF!</definedName>
    <definedName name="_____PU8001">#REF!</definedName>
    <definedName name="_____PU8002">#REF!</definedName>
    <definedName name="_____PU8003">#REF!</definedName>
    <definedName name="_____PU8004">#REF!</definedName>
    <definedName name="_____PU8005">#REF!</definedName>
    <definedName name="_____PU8006">#REF!</definedName>
    <definedName name="_____PU8007">#REF!</definedName>
    <definedName name="_____PU8008">#REF!</definedName>
    <definedName name="_____PU8009">#REF!</definedName>
    <definedName name="_____PU8010">#REF!</definedName>
    <definedName name="_____PU8011">#REF!</definedName>
    <definedName name="_____PU8012">#REF!</definedName>
    <definedName name="_____PU8013">#REF!</definedName>
    <definedName name="_____PU8014">#REF!</definedName>
    <definedName name="_____PU8015">#REF!</definedName>
    <definedName name="_____PU8125">#REF!</definedName>
    <definedName name="_____PU9000">#REF!</definedName>
    <definedName name="_____PU9001">#REF!</definedName>
    <definedName name="_____PU9002">#REF!</definedName>
    <definedName name="_____PU9003">#REF!</definedName>
    <definedName name="_____PU9004">#REF!</definedName>
    <definedName name="_____PU9005">#REF!</definedName>
    <definedName name="_____PU9006">#REF!</definedName>
    <definedName name="_____PU9007">#REF!</definedName>
    <definedName name="_____PU9008">#REF!</definedName>
    <definedName name="_____PU9009">#REF!</definedName>
    <definedName name="_____PU9010">#REF!</definedName>
    <definedName name="_____PU9011">#REF!</definedName>
    <definedName name="_____PU9012">#REF!</definedName>
    <definedName name="_____PU9013">#REF!</definedName>
    <definedName name="_____PU9014">#REF!</definedName>
    <definedName name="_____PU9015">#REF!</definedName>
    <definedName name="_____PU9016">#REF!</definedName>
    <definedName name="_____PU9017">#REF!</definedName>
    <definedName name="_____PU9018">#REF!</definedName>
    <definedName name="_____PU9019">#REF!</definedName>
    <definedName name="_____PU9020">#REF!</definedName>
    <definedName name="_____PU9021">#REF!</definedName>
    <definedName name="_____PU9022">#REF!</definedName>
    <definedName name="_____PU9023">#REF!</definedName>
    <definedName name="_____PU9024">#REF!</definedName>
    <definedName name="_____PU9025">#REF!</definedName>
    <definedName name="_____PU9026">#REF!</definedName>
    <definedName name="_____PU9027">#REF!</definedName>
    <definedName name="_____PU9028">#REF!</definedName>
    <definedName name="_____pvc10110">#REF!</definedName>
    <definedName name="_____pvc10125">#REF!</definedName>
    <definedName name="_____pvc10140">#REF!</definedName>
    <definedName name="_____pvc10160">#REF!</definedName>
    <definedName name="_____pvc10200">#REF!</definedName>
    <definedName name="_____pvc10215">#REF!</definedName>
    <definedName name="_____pvc10250">#REF!</definedName>
    <definedName name="_____pvc10280">#REF!</definedName>
    <definedName name="_____pvc10315">#REF!</definedName>
    <definedName name="_____pvc10355">#REF!</definedName>
    <definedName name="_____pvc1040">#REF!</definedName>
    <definedName name="_____pvc10400">#REF!</definedName>
    <definedName name="_____pvc1050">#REF!</definedName>
    <definedName name="_____pvc1063">#REF!</definedName>
    <definedName name="_____pvc1075">#REF!</definedName>
    <definedName name="_____pvc1090">#REF!</definedName>
    <definedName name="_____pvc110">#REF!</definedName>
    <definedName name="_____pvc125">#REF!</definedName>
    <definedName name="_____pvc140">#REF!</definedName>
    <definedName name="_____pvc160">#REF!</definedName>
    <definedName name="_____pvc200">#REF!</definedName>
    <definedName name="_____pvc225">#REF!</definedName>
    <definedName name="_____pvc250">#REF!</definedName>
    <definedName name="_____pvc280">#REF!</definedName>
    <definedName name="_____pvc315">#REF!</definedName>
    <definedName name="_____pvc355">#REF!</definedName>
    <definedName name="_____pvc40">#REF!</definedName>
    <definedName name="_____pvc400">#REF!</definedName>
    <definedName name="_____pvc4110">#REF!</definedName>
    <definedName name="_____pvc4125">#REF!</definedName>
    <definedName name="_____pvc4140">#REF!</definedName>
    <definedName name="_____pvc4160">#REF!</definedName>
    <definedName name="_____pvc4200">#REF!</definedName>
    <definedName name="_____pvc4215">#REF!</definedName>
    <definedName name="_____pvc4250">#REF!</definedName>
    <definedName name="_____pvc4280">#REF!</definedName>
    <definedName name="_____pvc4315">#REF!</definedName>
    <definedName name="_____pvc4355">#REF!</definedName>
    <definedName name="_____pvc440">#REF!</definedName>
    <definedName name="_____pvc4400">#REF!</definedName>
    <definedName name="_____pvc450">#REF!</definedName>
    <definedName name="_____pvc463">#REF!</definedName>
    <definedName name="_____pvc475">#REF!</definedName>
    <definedName name="_____pvc490">#REF!</definedName>
    <definedName name="_____pvc50">#REF!</definedName>
    <definedName name="_____pvc6110">#REF!</definedName>
    <definedName name="_____pvc6125">#REF!</definedName>
    <definedName name="_____pvc6140">#REF!</definedName>
    <definedName name="_____pvc6160">#REF!</definedName>
    <definedName name="_____pvc6200">#REF!</definedName>
    <definedName name="_____pvc6215">#REF!</definedName>
    <definedName name="_____pvc6250">#REF!</definedName>
    <definedName name="_____pvc6280">#REF!</definedName>
    <definedName name="_____pvc63">#REF!</definedName>
    <definedName name="_____pvc6315">#REF!</definedName>
    <definedName name="_____pvc6355">#REF!</definedName>
    <definedName name="_____pvc640">#REF!</definedName>
    <definedName name="_____pvc6400">#REF!</definedName>
    <definedName name="_____pvc650">#REF!</definedName>
    <definedName name="_____pvc663">#REF!</definedName>
    <definedName name="_____pvc675">#REF!</definedName>
    <definedName name="_____pvc690">#REF!</definedName>
    <definedName name="_____pvc75">#REF!</definedName>
    <definedName name="_____pvc90">#REF!</definedName>
    <definedName name="_____Q1" hidden="1">{#N/A,#N/A,FALSE,"Ejector 1";#N/A,#N/A,FALSE,"Ejector 2"}</definedName>
    <definedName name="_____Q2" hidden="1">{#N/A,#N/A,FALSE,"Ejector 1";#N/A,#N/A,FALSE,"Ejector 2"}</definedName>
    <definedName name="_____Q3" hidden="1">{#N/A,#N/A,FALSE,"Ejector 1";#N/A,#N/A,FALSE,"Ejector 2"}</definedName>
    <definedName name="_____Q4" hidden="1">{#N/A,#N/A,FALSE,"Ejector 1";#N/A,#N/A,FALSE,"Ejector 2"}</definedName>
    <definedName name="_____RG11">[11]BOQ!#REF!</definedName>
    <definedName name="_____rg45">[11]BOQ!#REF!</definedName>
    <definedName name="_____RTK1">'[5]MAIN MATERIAL DATABASE'!$R:$R</definedName>
    <definedName name="_____RTU2">[5]DATA!#REF!</definedName>
    <definedName name="_____RTU6">[5]DATA!#REF!</definedName>
    <definedName name="_____SAS2">[5]DATA!$R$54</definedName>
    <definedName name="_____sch401">#REF!</definedName>
    <definedName name="_____sch402">#REF!</definedName>
    <definedName name="_____SEL32">#REF!</definedName>
    <definedName name="_____SFA1">#REF!</definedName>
    <definedName name="_____SFA10">#REF!</definedName>
    <definedName name="_____SFA11">#REF!</definedName>
    <definedName name="_____SFA12">#REF!</definedName>
    <definedName name="_____SFA13">#REF!</definedName>
    <definedName name="_____SFA14">#REF!</definedName>
    <definedName name="_____SFA15">#REF!</definedName>
    <definedName name="_____SFA2">#REF!</definedName>
    <definedName name="_____SFA20">#REF!</definedName>
    <definedName name="_____SFA21">#REF!</definedName>
    <definedName name="_____SFA22">#REF!</definedName>
    <definedName name="_____SFA23">#REF!</definedName>
    <definedName name="_____SFA24">#REF!</definedName>
    <definedName name="_____SFA25">#REF!</definedName>
    <definedName name="_____SFA3">#REF!</definedName>
    <definedName name="_____SFA4">#REF!</definedName>
    <definedName name="_____SFA5">#REF!</definedName>
    <definedName name="_____SFA6">#REF!</definedName>
    <definedName name="_____so1">#REF!</definedName>
    <definedName name="_____so2">#REF!</definedName>
    <definedName name="_____som4" hidden="1">{#N/A,#N/A,FALSE,"Ejector 1";#N/A,#N/A,FALSE,"Ejector 2"}</definedName>
    <definedName name="_____SS1">#REF!</definedName>
    <definedName name="_____SUP1">'[5]MAIN MATERIAL DATABASE'!$D:$D</definedName>
    <definedName name="_____sw1">#REF!</definedName>
    <definedName name="_____sw2">#REF!</definedName>
    <definedName name="_____tel1">[11]BOQ!#REF!</definedName>
    <definedName name="_____tel2">[11]BOQ!#REF!</definedName>
    <definedName name="_____tem1">#N/A</definedName>
    <definedName name="_____TOT2">[5]DATA!$R$19</definedName>
    <definedName name="_____TOT5">[5]DATA!$R$11</definedName>
    <definedName name="_____TOT6">[5]DATA!$R$29</definedName>
    <definedName name="_____TS1">#REF!</definedName>
    <definedName name="_____W1" hidden="1">{#N/A,#N/A,FALSE,"Ejector 1";#N/A,#N/A,FALSE,"Ejector 2"}</definedName>
    <definedName name="_____W2" hidden="1">{#N/A,#N/A,FALSE,"Ejector 1";#N/A,#N/A,FALSE,"Ejector 2"}</definedName>
    <definedName name="_____W3" hidden="1">{#N/A,#N/A,FALSE,"Ejector 1";#N/A,#N/A,FALSE,"Ejector 2"}</definedName>
    <definedName name="_____W4" hidden="1">{#N/A,#N/A,FALSE,"Ejector 1";#N/A,#N/A,FALSE,"Ejector 2"}</definedName>
    <definedName name="_____W5" hidden="1">{#N/A,#N/A,FALSE,"Ejector 1";#N/A,#N/A,FALSE,"Ejector 2"}</definedName>
    <definedName name="_____W6" hidden="1">{#N/A,#N/A,FALSE,"Ejector 1";#N/A,#N/A,FALSE,"Ejector 2"}</definedName>
    <definedName name="_____W7" hidden="1">{#N/A,#N/A,FALSE,"Ejector 1";#N/A,#N/A,FALSE,"Ejector 2"}</definedName>
    <definedName name="_____W8" hidden="1">{#N/A,#N/A,FALSE,"Ejector 1";#N/A,#N/A,FALSE,"Ejector 2"}</definedName>
    <definedName name="_____wre1">#REF!</definedName>
    <definedName name="_____wre10">#REF!</definedName>
    <definedName name="_____wre120">#REF!</definedName>
    <definedName name="_____wre150">#REF!</definedName>
    <definedName name="_____wre16">#REF!</definedName>
    <definedName name="_____wre185">#REF!</definedName>
    <definedName name="_____wre2">#REF!</definedName>
    <definedName name="_____wre240">#REF!</definedName>
    <definedName name="_____wre25">#REF!</definedName>
    <definedName name="_____wre3">#REF!</definedName>
    <definedName name="_____wre300">#REF!</definedName>
    <definedName name="_____wre35">#REF!</definedName>
    <definedName name="_____wre4">#REF!</definedName>
    <definedName name="_____wre400">#REF!</definedName>
    <definedName name="_____wre50">#REF!</definedName>
    <definedName name="_____wre500">#REF!</definedName>
    <definedName name="_____wre6">#REF!</definedName>
    <definedName name="_____wre600">#REF!</definedName>
    <definedName name="_____wre70">#REF!</definedName>
    <definedName name="_____wre95">#REF!</definedName>
    <definedName name="____a3">#N/A</definedName>
    <definedName name="____AEO1">'[12]MAIN MATERIAL DATABASE'!#REF!</definedName>
    <definedName name="____att2">#N/A</definedName>
    <definedName name="____BBP5">[12]DATA!$R$45</definedName>
    <definedName name="____BBP6">[12]DATA!$R$47</definedName>
    <definedName name="____BUS2">[12]DATA!$R$22</definedName>
    <definedName name="____BUS5">[12]DATA!$R$14</definedName>
    <definedName name="____BUS6">[12]DATA!$R$32</definedName>
    <definedName name="____cab10">#REF!</definedName>
    <definedName name="____cab120">#REF!</definedName>
    <definedName name="____cab150">#REF!</definedName>
    <definedName name="____cab16">#REF!</definedName>
    <definedName name="____cab185">#REF!</definedName>
    <definedName name="____cab240">#REF!</definedName>
    <definedName name="____cab25">#REF!</definedName>
    <definedName name="____cab300">#REF!</definedName>
    <definedName name="____cab3000">[7]power!#REF!</definedName>
    <definedName name="____cab35">#REF!</definedName>
    <definedName name="____cab4">#REF!</definedName>
    <definedName name="____cab50">#REF!</definedName>
    <definedName name="____cab6">#REF!</definedName>
    <definedName name="____cab70">#REF!</definedName>
    <definedName name="____cab95">#REF!</definedName>
    <definedName name="____cbr1">#REF!</definedName>
    <definedName name="____cbr2">#REF!</definedName>
    <definedName name="____cbr3">#REF!</definedName>
    <definedName name="____cbr4">#REF!</definedName>
    <definedName name="____cbr5">#REF!</definedName>
    <definedName name="____cbr6">#REF!</definedName>
    <definedName name="____cbr7">#REF!</definedName>
    <definedName name="____cbr8">#REF!</definedName>
    <definedName name="____cht14">[8]cables!#REF!</definedName>
    <definedName name="____cht15">[8]cables!#REF!</definedName>
    <definedName name="____cht16">[8]cables!#REF!</definedName>
    <definedName name="____ckt1">#REF!</definedName>
    <definedName name="____ckt10">#REF!</definedName>
    <definedName name="____ckt11">#REF!</definedName>
    <definedName name="____ckt12">#REF!</definedName>
    <definedName name="____ckt13">#REF!</definedName>
    <definedName name="____ckt14">#REF!</definedName>
    <definedName name="____ckt15">#REF!</definedName>
    <definedName name="____ckt16">#REF!</definedName>
    <definedName name="____ckt17">#REF!</definedName>
    <definedName name="____ckt2">#REF!</definedName>
    <definedName name="____ckt3">#REF!</definedName>
    <definedName name="____ckt4">#REF!</definedName>
    <definedName name="____ckt5">#REF!</definedName>
    <definedName name="____ckt6">#REF!</definedName>
    <definedName name="____ckt7">#REF!</definedName>
    <definedName name="____ckt8">#REF!</definedName>
    <definedName name="____ckt9">#REF!</definedName>
    <definedName name="____CW1">#REF!</definedName>
    <definedName name="____CW2">#REF!</definedName>
    <definedName name="____DAT1">#REF!</definedName>
    <definedName name="____DAT10">'[13]cespiti cet2 piombino (2)'!#REF!</definedName>
    <definedName name="____DAT11">'[13]cespiti cet2 piombino (2)'!#REF!</definedName>
    <definedName name="____DAT12">'[13]cespiti cet2 piombino (2)'!#REF!</definedName>
    <definedName name="____DAT13">'[13]cespiti cet2 piombino (2)'!#REF!</definedName>
    <definedName name="____DAT14">'[13]cespiti cet2 piombino (2)'!#REF!</definedName>
    <definedName name="____DAT17">'[13]cespiti cet2 piombino (2)'!#REF!</definedName>
    <definedName name="____DAT18">'[13]cespiti cet2 piombino (2)'!#REF!</definedName>
    <definedName name="____DAT19">'[13]cespiti cet2 piombino (2)'!#REF!</definedName>
    <definedName name="____DAT2">#REF!</definedName>
    <definedName name="____DAT20">'[13]cespiti cet2 piombino (2)'!#REF!</definedName>
    <definedName name="____DAT21">'[13]cespiti cet2 piombino (2)'!#REF!</definedName>
    <definedName name="____DAT22">'[13]cespiti cet2 piombino (2)'!#REF!</definedName>
    <definedName name="____DAT23">'[13]cespiti cet2 piombino (2)'!#REF!</definedName>
    <definedName name="____DAT24">'[13]cespiti cet2 piombino (2)'!#REF!</definedName>
    <definedName name="____DAT25">'[13]cespiti cet2 piombino (2)'!#REF!</definedName>
    <definedName name="____DAT26">'[13]cespiti cet2 piombino (2)'!#REF!</definedName>
    <definedName name="____DAT27">'[13]cespiti cet2 piombino (2)'!#REF!</definedName>
    <definedName name="____DAT28">'[13]cespiti cet2 piombino (2)'!#REF!</definedName>
    <definedName name="____DAT3">#REF!</definedName>
    <definedName name="____DAT4">'[13]cespiti cet2 piombino (2)'!#REF!</definedName>
    <definedName name="____DAT5">'[13]cespiti cet2 piombino (2)'!#REF!</definedName>
    <definedName name="____DAT6">'[13]cespiti cet2 piombino (2)'!#REF!</definedName>
    <definedName name="____DAT7">'[13]cespiti cet2 piombino (2)'!#REF!</definedName>
    <definedName name="____DAT8">'[13]cespiti cet2 piombino (2)'!#REF!</definedName>
    <definedName name="____DAT9">'[13]cespiti cet2 piombino (2)'!#REF!</definedName>
    <definedName name="____dsw25">#REF!</definedName>
    <definedName name="____dsw32">#REF!</definedName>
    <definedName name="____dsw63">#REF!</definedName>
    <definedName name="____EES1">'[12]MAIN MATERIAL DATABASE'!$V:$V</definedName>
    <definedName name="____EV1">[14]PLAGCoct03!#REF!,[14]PLAGCoct03!#REF!,[14]PLAGCoct03!#REF!,[14]PLAGCoct03!#REF!,[14]PLAGCoct03!#REF!,[14]PLAGCoct03!#REF!,[14]PLAGCoct03!#REF!</definedName>
    <definedName name="____EV2">[14]PLAGCoct03!#REF!,[14]PLAGCoct03!#REF!,[14]PLAGCoct03!#REF!,[14]PLAGCoct03!#REF!,[14]PLAGCoct03!#REF!,[14]PLAGCoct03!#REF!,[14]PLAGCoct03!#REF!</definedName>
    <definedName name="____F">#REF!</definedName>
    <definedName name="____fds2530">#REF!</definedName>
    <definedName name="____fix1">#REF!</definedName>
    <definedName name="____fix10">#REF!</definedName>
    <definedName name="____fix11">#REF!</definedName>
    <definedName name="____fix12">#REF!</definedName>
    <definedName name="____fix2">#REF!</definedName>
    <definedName name="____fix3">#REF!</definedName>
    <definedName name="____fix4">#REF!</definedName>
    <definedName name="____fix5">#REF!</definedName>
    <definedName name="____fix6">#REF!</definedName>
    <definedName name="____fix7">#REF!</definedName>
    <definedName name="____fix8">#REF!</definedName>
    <definedName name="____fix9">#REF!</definedName>
    <definedName name="____FOX2">[12]DATA!#REF!</definedName>
    <definedName name="____gal1">#REF!</definedName>
    <definedName name="____gal2">#REF!</definedName>
    <definedName name="____gal75">#REF!</definedName>
    <definedName name="____GC1">[14]PLAGCoct03!$K$29:$T$29,[14]PLAGCoct03!#REF!,[14]PLAGCoct03!#REF!,[14]PLAGCoct03!#REF!,[14]PLAGCoct03!#REF!,[14]PLAGCoct03!#REF!,[14]PLAGCoct03!#REF!,[14]PLAGCoct03!#REF!</definedName>
    <definedName name="____GC2">[14]PLAGCoct03!#REF!,[14]PLAGCoct03!#REF!,[14]PLAGCoct03!#REF!,[14]PLAGCoct03!#REF!,[14]PLAGCoct03!#REF!,[14]PLAGCoct03!#REF!,[14]PLAGCoct03!#REF!,[14]PLAGCoct03!#REF!</definedName>
    <definedName name="____GC3">[14]PLAGCoct03!#REF!,[14]PLAGCoct03!#REF!,[14]PLAGCoct03!#REF!,[14]PLAGCoct03!#REF!,[14]PLAGCoct03!#REF!,[14]PLAGCoct03!#REF!,[14]PLAGCoct03!#REF!,[14]PLAGCoct03!#REF!,[14]PLAGCoct03!#REF!,[14]PLAGCoct03!#REF!,[14]PLAGCoct03!#REF!,[14]PLAGCoct03!#REF!</definedName>
    <definedName name="____GIS1">'[15]DATA-1'!#REF!</definedName>
    <definedName name="____GIS6">'[15]DATA-1'!#REF!</definedName>
    <definedName name="____ins251">#REF!</definedName>
    <definedName name="____ins252">#REF!</definedName>
    <definedName name="____ins253">#REF!</definedName>
    <definedName name="____ins254">#REF!</definedName>
    <definedName name="____ins255">#REF!</definedName>
    <definedName name="____ins2550">#REF!</definedName>
    <definedName name="____ins256">#REF!</definedName>
    <definedName name="____ins2560">#REF!</definedName>
    <definedName name="____ins401">#REF!</definedName>
    <definedName name="____ins4010">#REF!</definedName>
    <definedName name="____ins402">#REF!</definedName>
    <definedName name="____ins403">#REF!</definedName>
    <definedName name="____ins404">#REF!</definedName>
    <definedName name="____ins405">#REF!</definedName>
    <definedName name="____ins406">#REF!</definedName>
    <definedName name="____ins408">#REF!</definedName>
    <definedName name="____ins501">#REF!</definedName>
    <definedName name="____ins5010">#REF!</definedName>
    <definedName name="____ins5012">#REF!</definedName>
    <definedName name="____ins502">#REF!</definedName>
    <definedName name="____ins503">#REF!</definedName>
    <definedName name="____ins504">#REF!</definedName>
    <definedName name="____ins505">#REF!</definedName>
    <definedName name="____ins506">#REF!</definedName>
    <definedName name="____ins508">#REF!</definedName>
    <definedName name="____LF6">'[15]DATA-1'!#REF!</definedName>
    <definedName name="____mar16">#REF!</definedName>
    <definedName name="____mar20">#REF!</definedName>
    <definedName name="____mar25">#REF!</definedName>
    <definedName name="____mar32">#REF!</definedName>
    <definedName name="____mar40">#REF!</definedName>
    <definedName name="____mar50">#REF!</definedName>
    <definedName name="____MB1">#REF!</definedName>
    <definedName name="____MES10">#REF!</definedName>
    <definedName name="____MES11">#REF!</definedName>
    <definedName name="____MES14">#REF!</definedName>
    <definedName name="____MES15">#REF!</definedName>
    <definedName name="____MES20">#REF!</definedName>
    <definedName name="____MES21">#REF!</definedName>
    <definedName name="____MES24">#REF!</definedName>
    <definedName name="____MES25">#REF!</definedName>
    <definedName name="____MES40">#REF!</definedName>
    <definedName name="____MES41">#REF!</definedName>
    <definedName name="____MES42">#REF!</definedName>
    <definedName name="____MES43">#REF!</definedName>
    <definedName name="____MES44">#REF!</definedName>
    <definedName name="____MES45">#REF!</definedName>
    <definedName name="____MES5">#REF!</definedName>
    <definedName name="____MES50">#REF!</definedName>
    <definedName name="____MES51">#REF!</definedName>
    <definedName name="____MES52">#REF!</definedName>
    <definedName name="____MES53">#REF!</definedName>
    <definedName name="____MES6">#REF!</definedName>
    <definedName name="____MES62">#REF!</definedName>
    <definedName name="____MES70">#REF!</definedName>
    <definedName name="____MES71">#REF!</definedName>
    <definedName name="____MET2">[12]DATA!$R$41</definedName>
    <definedName name="____MET6">[12]DATA!$R$42</definedName>
    <definedName name="____mit2">#REF!</definedName>
    <definedName name="____mit75">#REF!</definedName>
    <definedName name="____NN1">#N/A</definedName>
    <definedName name="____NN2">#N/A</definedName>
    <definedName name="____NWT2">[16]川崎HRSG!#REF!</definedName>
    <definedName name="____OH1">#REF!</definedName>
    <definedName name="____OH2">#REF!</definedName>
    <definedName name="____OP1">[12]DATA!$R$23</definedName>
    <definedName name="____out1">[11]BOQ!#REF!</definedName>
    <definedName name="____out2">[11]BOQ!#REF!</definedName>
    <definedName name="____out3">[11]BOQ!#REF!</definedName>
    <definedName name="____out4">[11]BOQ!#REF!</definedName>
    <definedName name="____PAG1">#REF!</definedName>
    <definedName name="____pag1000">#REF!</definedName>
    <definedName name="____PAG2">#REF!</definedName>
    <definedName name="____PAG3">#REF!</definedName>
    <definedName name="____PAG31">#REF!</definedName>
    <definedName name="____PAG4">#REF!</definedName>
    <definedName name="____PAG5">#REF!</definedName>
    <definedName name="____PAG51">#REF!</definedName>
    <definedName name="____PAG52">#REF!</definedName>
    <definedName name="____PLC2">[12]DATA!#REF!</definedName>
    <definedName name="____PR1">#N/A</definedName>
    <definedName name="____PR2">#N/A</definedName>
    <definedName name="____ps1">#REF!</definedName>
    <definedName name="____ps3">#REF!</definedName>
    <definedName name="____PU1000">#REF!</definedName>
    <definedName name="____PU10000">#REF!</definedName>
    <definedName name="____PU10001">#REF!</definedName>
    <definedName name="____PU10002">#REF!</definedName>
    <definedName name="____PU10003">#REF!</definedName>
    <definedName name="____PU10004">#REF!</definedName>
    <definedName name="____PU10005">#REF!</definedName>
    <definedName name="____PU1001">#REF!</definedName>
    <definedName name="____PU1002">#REF!</definedName>
    <definedName name="____PU1003">#REF!</definedName>
    <definedName name="____PU1004">#REF!</definedName>
    <definedName name="____PU1005">#REF!</definedName>
    <definedName name="____PU1006">#REF!</definedName>
    <definedName name="____PU1007">#REF!</definedName>
    <definedName name="____PU1008">#REF!</definedName>
    <definedName name="____PU1009">#REF!</definedName>
    <definedName name="____PU10125">#REF!</definedName>
    <definedName name="____PU1125">#REF!</definedName>
    <definedName name="____pu15000">[17]PRECIOS!$D$64</definedName>
    <definedName name="____PU2000">#REF!</definedName>
    <definedName name="____PU2001">#REF!</definedName>
    <definedName name="____PU2002">#REF!</definedName>
    <definedName name="____PU2003">#REF!</definedName>
    <definedName name="____PU2004">#REF!</definedName>
    <definedName name="____PU2005">#REF!</definedName>
    <definedName name="____PU2006">#REF!</definedName>
    <definedName name="____PU2007">#REF!</definedName>
    <definedName name="____PU2008">#REF!</definedName>
    <definedName name="____PU3000">#REF!</definedName>
    <definedName name="____PU3001">#REF!</definedName>
    <definedName name="____PU3002">#REF!</definedName>
    <definedName name="____PU3003">#REF!</definedName>
    <definedName name="____PU3004">#REF!</definedName>
    <definedName name="____PU3005">#REF!</definedName>
    <definedName name="____PU3006">#REF!</definedName>
    <definedName name="____PU3007">#REF!</definedName>
    <definedName name="____PU3008">#REF!</definedName>
    <definedName name="____PU3009">#REF!</definedName>
    <definedName name="____PU3010">#REF!</definedName>
    <definedName name="____PU3011">#REF!</definedName>
    <definedName name="____PU3012">#REF!</definedName>
    <definedName name="____PU3013">#REF!</definedName>
    <definedName name="____PU3014">#REF!</definedName>
    <definedName name="____PU3015">#REF!</definedName>
    <definedName name="____PU3016">#REF!</definedName>
    <definedName name="____PU3017">#REF!</definedName>
    <definedName name="____PU3018">#REF!</definedName>
    <definedName name="____PU3019">#REF!</definedName>
    <definedName name="____PU3020">#REF!</definedName>
    <definedName name="____PU3021">#REF!</definedName>
    <definedName name="____PU3022">#REF!</definedName>
    <definedName name="____PU3023">#REF!</definedName>
    <definedName name="____PU3024">#REF!</definedName>
    <definedName name="____PU4000">#REF!</definedName>
    <definedName name="____PU4001">#REF!</definedName>
    <definedName name="____PU4002">#REF!</definedName>
    <definedName name="____PU4003">#REF!</definedName>
    <definedName name="____PU4004">#REF!</definedName>
    <definedName name="____PU4005">#REF!</definedName>
    <definedName name="____PU4006">#REF!</definedName>
    <definedName name="____PU4007">#REF!</definedName>
    <definedName name="____PU4008">#REF!</definedName>
    <definedName name="____PU4009">#REF!</definedName>
    <definedName name="____PU4010">#REF!</definedName>
    <definedName name="____PU4011">#REF!</definedName>
    <definedName name="____PU4012">#REF!</definedName>
    <definedName name="____PU4013">#REF!</definedName>
    <definedName name="____PU4014">#REF!</definedName>
    <definedName name="____PU4015">#REF!</definedName>
    <definedName name="____PU5000">#REF!</definedName>
    <definedName name="____PU5001">#REF!</definedName>
    <definedName name="____PU5002">#REF!</definedName>
    <definedName name="____PU5003">#REF!</definedName>
    <definedName name="____PU5004">#REF!</definedName>
    <definedName name="____PU5005">#REF!</definedName>
    <definedName name="____PU5006">#REF!</definedName>
    <definedName name="____PU5007">#REF!</definedName>
    <definedName name="____PU5008">#REF!</definedName>
    <definedName name="____PU5009">#REF!</definedName>
    <definedName name="____PU5010">#REF!</definedName>
    <definedName name="____PU5011">#REF!</definedName>
    <definedName name="____PU5012">#REF!</definedName>
    <definedName name="____PU5013">#REF!</definedName>
    <definedName name="____PU5014">#REF!</definedName>
    <definedName name="____PU6000">#REF!</definedName>
    <definedName name="____PU6001">#REF!</definedName>
    <definedName name="____PU6002">#REF!</definedName>
    <definedName name="____PU6003">#REF!</definedName>
    <definedName name="____PU6004">#REF!</definedName>
    <definedName name="____PU6005">#REF!</definedName>
    <definedName name="____PU6006">#REF!</definedName>
    <definedName name="____PU6007">#REF!</definedName>
    <definedName name="____PU6008">#REF!</definedName>
    <definedName name="____PU6009">#REF!</definedName>
    <definedName name="____PU6010">#REF!</definedName>
    <definedName name="____PU6011">#REF!</definedName>
    <definedName name="____PU6012">#REF!</definedName>
    <definedName name="____PU6013">#REF!</definedName>
    <definedName name="____PU6014">#REF!</definedName>
    <definedName name="____PU6015">#REF!</definedName>
    <definedName name="____PU6016">#REF!</definedName>
    <definedName name="____PU6017">#REF!</definedName>
    <definedName name="____PU6018">#REF!</definedName>
    <definedName name="____PU7000">#REF!</definedName>
    <definedName name="____PU7001">#REF!</definedName>
    <definedName name="____PU7002">#REF!</definedName>
    <definedName name="____PU7003">#REF!</definedName>
    <definedName name="____PU7004">#REF!</definedName>
    <definedName name="____PU7005">#REF!</definedName>
    <definedName name="____PU7006">#REF!</definedName>
    <definedName name="____PU7007">#REF!</definedName>
    <definedName name="____PU7008">#REF!</definedName>
    <definedName name="____PU7009">#REF!</definedName>
    <definedName name="____PU7010">#REF!</definedName>
    <definedName name="____PU7011">#REF!</definedName>
    <definedName name="____PU7012">#REF!</definedName>
    <definedName name="____PU7013">#REF!</definedName>
    <definedName name="____PU7014">#REF!</definedName>
    <definedName name="____PU7015">#REF!</definedName>
    <definedName name="____PU7016">#REF!</definedName>
    <definedName name="____PU7017">#REF!</definedName>
    <definedName name="____PU7018">#REF!</definedName>
    <definedName name="____PU7019">#REF!</definedName>
    <definedName name="____PU7020">#REF!</definedName>
    <definedName name="____PU7021">#REF!</definedName>
    <definedName name="____PU7022">#REF!</definedName>
    <definedName name="____PU7023">#REF!</definedName>
    <definedName name="____PU7024">#REF!</definedName>
    <definedName name="____PU8000">#REF!</definedName>
    <definedName name="____PU8001">#REF!</definedName>
    <definedName name="____PU8002">#REF!</definedName>
    <definedName name="____PU8003">#REF!</definedName>
    <definedName name="____PU8004">#REF!</definedName>
    <definedName name="____PU8005">#REF!</definedName>
    <definedName name="____PU8006">#REF!</definedName>
    <definedName name="____PU8007">#REF!</definedName>
    <definedName name="____PU8008">#REF!</definedName>
    <definedName name="____PU8009">#REF!</definedName>
    <definedName name="____PU8010">#REF!</definedName>
    <definedName name="____PU8011">#REF!</definedName>
    <definedName name="____PU8012">#REF!</definedName>
    <definedName name="____PU8013">#REF!</definedName>
    <definedName name="____PU8014">#REF!</definedName>
    <definedName name="____PU8015">#REF!</definedName>
    <definedName name="____PU8125">#REF!</definedName>
    <definedName name="____PU9000">#REF!</definedName>
    <definedName name="____PU9001">#REF!</definedName>
    <definedName name="____PU9002">#REF!</definedName>
    <definedName name="____PU9003">#REF!</definedName>
    <definedName name="____PU9004">#REF!</definedName>
    <definedName name="____PU9005">#REF!</definedName>
    <definedName name="____PU9006">#REF!</definedName>
    <definedName name="____PU9007">#REF!</definedName>
    <definedName name="____PU9008">#REF!</definedName>
    <definedName name="____PU9009">#REF!</definedName>
    <definedName name="____PU9010">#REF!</definedName>
    <definedName name="____PU9011">#REF!</definedName>
    <definedName name="____PU9012">#REF!</definedName>
    <definedName name="____PU9013">#REF!</definedName>
    <definedName name="____PU9014">#REF!</definedName>
    <definedName name="____PU9015">#REF!</definedName>
    <definedName name="____PU9016">#REF!</definedName>
    <definedName name="____PU9017">#REF!</definedName>
    <definedName name="____PU9018">#REF!</definedName>
    <definedName name="____PU9019">#REF!</definedName>
    <definedName name="____PU9020">#REF!</definedName>
    <definedName name="____PU9021">#REF!</definedName>
    <definedName name="____PU9022">#REF!</definedName>
    <definedName name="____PU9023">#REF!</definedName>
    <definedName name="____PU9024">#REF!</definedName>
    <definedName name="____PU9025">#REF!</definedName>
    <definedName name="____PU9026">#REF!</definedName>
    <definedName name="____PU9027">#REF!</definedName>
    <definedName name="____PU9028">#REF!</definedName>
    <definedName name="____pvc10110">#REF!</definedName>
    <definedName name="____pvc10125">#REF!</definedName>
    <definedName name="____pvc10140">#REF!</definedName>
    <definedName name="____pvc10160">#REF!</definedName>
    <definedName name="____pvc10200">#REF!</definedName>
    <definedName name="____pvc10215">#REF!</definedName>
    <definedName name="____pvc10250">#REF!</definedName>
    <definedName name="____pvc10280">#REF!</definedName>
    <definedName name="____pvc10315">#REF!</definedName>
    <definedName name="____pvc10355">#REF!</definedName>
    <definedName name="____pvc1040">#REF!</definedName>
    <definedName name="____pvc10400">#REF!</definedName>
    <definedName name="____pvc1050">#REF!</definedName>
    <definedName name="____pvc1063">#REF!</definedName>
    <definedName name="____pvc1075">#REF!</definedName>
    <definedName name="____pvc1090">#REF!</definedName>
    <definedName name="____pvc110">#REF!</definedName>
    <definedName name="____pvc125">#REF!</definedName>
    <definedName name="____pvc140">#REF!</definedName>
    <definedName name="____pvc160">#REF!</definedName>
    <definedName name="____pvc200">#REF!</definedName>
    <definedName name="____pvc225">#REF!</definedName>
    <definedName name="____pvc250">#REF!</definedName>
    <definedName name="____pvc280">#REF!</definedName>
    <definedName name="____pvc315">#REF!</definedName>
    <definedName name="____pvc355">#REF!</definedName>
    <definedName name="____pvc40">#REF!</definedName>
    <definedName name="____pvc400">#REF!</definedName>
    <definedName name="____pvc4110">#REF!</definedName>
    <definedName name="____pvc4125">#REF!</definedName>
    <definedName name="____pvc4140">#REF!</definedName>
    <definedName name="____pvc4160">#REF!</definedName>
    <definedName name="____pvc4200">#REF!</definedName>
    <definedName name="____pvc4215">#REF!</definedName>
    <definedName name="____pvc4250">#REF!</definedName>
    <definedName name="____pvc4280">#REF!</definedName>
    <definedName name="____pvc4315">#REF!</definedName>
    <definedName name="____pvc4355">#REF!</definedName>
    <definedName name="____pvc440">#REF!</definedName>
    <definedName name="____pvc4400">#REF!</definedName>
    <definedName name="____pvc450">#REF!</definedName>
    <definedName name="____pvc463">#REF!</definedName>
    <definedName name="____pvc475">#REF!</definedName>
    <definedName name="____pvc490">#REF!</definedName>
    <definedName name="____pvc50">#REF!</definedName>
    <definedName name="____pvc6110">#REF!</definedName>
    <definedName name="____pvc6125">#REF!</definedName>
    <definedName name="____pvc6140">#REF!</definedName>
    <definedName name="____pvc6160">#REF!</definedName>
    <definedName name="____pvc6200">#REF!</definedName>
    <definedName name="____pvc6215">#REF!</definedName>
    <definedName name="____pvc6250">#REF!</definedName>
    <definedName name="____pvc6280">#REF!</definedName>
    <definedName name="____pvc63">#REF!</definedName>
    <definedName name="____pvc6315">#REF!</definedName>
    <definedName name="____pvc6355">#REF!</definedName>
    <definedName name="____pvc640">#REF!</definedName>
    <definedName name="____pvc6400">#REF!</definedName>
    <definedName name="____pvc650">#REF!</definedName>
    <definedName name="____pvc663">#REF!</definedName>
    <definedName name="____pvc675">#REF!</definedName>
    <definedName name="____pvc690">#REF!</definedName>
    <definedName name="____pvc75">#REF!</definedName>
    <definedName name="____pvc90">#REF!</definedName>
    <definedName name="____Q1" hidden="1">{#N/A,#N/A,FALSE,"Ejector 1";#N/A,#N/A,FALSE,"Ejector 2"}</definedName>
    <definedName name="____Q2" hidden="1">{#N/A,#N/A,FALSE,"Ejector 1";#N/A,#N/A,FALSE,"Ejector 2"}</definedName>
    <definedName name="____Q3" hidden="1">{#N/A,#N/A,FALSE,"Ejector 1";#N/A,#N/A,FALSE,"Ejector 2"}</definedName>
    <definedName name="____Q4" hidden="1">{#N/A,#N/A,FALSE,"Ejector 1";#N/A,#N/A,FALSE,"Ejector 2"}</definedName>
    <definedName name="____R">#REF!</definedName>
    <definedName name="____RG11">[11]BOQ!#REF!</definedName>
    <definedName name="____rg45">[11]BOQ!#REF!</definedName>
    <definedName name="____RTK1">'[12]MAIN MATERIAL DATABASE'!$R:$R</definedName>
    <definedName name="____RTU2">[12]DATA!#REF!</definedName>
    <definedName name="____RTU6">[12]DATA!#REF!</definedName>
    <definedName name="____SAS2">[12]DATA!$R$54</definedName>
    <definedName name="____sch401">#REF!</definedName>
    <definedName name="____sch402">#REF!</definedName>
    <definedName name="____SEL32">#REF!</definedName>
    <definedName name="____SFA1">#REF!</definedName>
    <definedName name="____SFA10">#REF!</definedName>
    <definedName name="____SFA11">#REF!</definedName>
    <definedName name="____SFA12">#REF!</definedName>
    <definedName name="____SFA13">#REF!</definedName>
    <definedName name="____SFA14">#REF!</definedName>
    <definedName name="____SFA15">#REF!</definedName>
    <definedName name="____SFA2">#REF!</definedName>
    <definedName name="____SFA20">#REF!</definedName>
    <definedName name="____SFA21">#REF!</definedName>
    <definedName name="____SFA22">#REF!</definedName>
    <definedName name="____SFA23">#REF!</definedName>
    <definedName name="____SFA24">#REF!</definedName>
    <definedName name="____SFA25">#REF!</definedName>
    <definedName name="____SFA3">#REF!</definedName>
    <definedName name="____SFA4">#REF!</definedName>
    <definedName name="____SFA5">#REF!</definedName>
    <definedName name="____SFA6">#REF!</definedName>
    <definedName name="____so1">#REF!</definedName>
    <definedName name="____so2">#REF!</definedName>
    <definedName name="____som4" hidden="1">{#N/A,#N/A,FALSE,"Ejector 1";#N/A,#N/A,FALSE,"Ejector 2"}</definedName>
    <definedName name="____SS1">#REF!</definedName>
    <definedName name="____SUP1">'[12]MAIN MATERIAL DATABASE'!$D:$D</definedName>
    <definedName name="____sw1">#REF!</definedName>
    <definedName name="____sw2">#REF!</definedName>
    <definedName name="____tax1">#REF!</definedName>
    <definedName name="____tax2">#REF!</definedName>
    <definedName name="____tax3">#REF!</definedName>
    <definedName name="____tax4">#REF!</definedName>
    <definedName name="____tel1">[11]BOQ!#REF!</definedName>
    <definedName name="____tel2">[11]BOQ!#REF!</definedName>
    <definedName name="____tem1">#N/A</definedName>
    <definedName name="____TOT2">[12]DATA!$R$19</definedName>
    <definedName name="____TOT5">[12]DATA!$R$11</definedName>
    <definedName name="____TOT6">[12]DATA!$R$29</definedName>
    <definedName name="____W1" hidden="1">{#N/A,#N/A,FALSE,"Ejector 1";#N/A,#N/A,FALSE,"Ejector 2"}</definedName>
    <definedName name="____W2" hidden="1">{#N/A,#N/A,FALSE,"Ejector 1";#N/A,#N/A,FALSE,"Ejector 2"}</definedName>
    <definedName name="____W3" hidden="1">{#N/A,#N/A,FALSE,"Ejector 1";#N/A,#N/A,FALSE,"Ejector 2"}</definedName>
    <definedName name="____W4" hidden="1">{#N/A,#N/A,FALSE,"Ejector 1";#N/A,#N/A,FALSE,"Ejector 2"}</definedName>
    <definedName name="____W5" hidden="1">{#N/A,#N/A,FALSE,"Ejector 1";#N/A,#N/A,FALSE,"Ejector 2"}</definedName>
    <definedName name="____W6" hidden="1">{#N/A,#N/A,FALSE,"Ejector 1";#N/A,#N/A,FALSE,"Ejector 2"}</definedName>
    <definedName name="____W7" hidden="1">{#N/A,#N/A,FALSE,"Ejector 1";#N/A,#N/A,FALSE,"Ejector 2"}</definedName>
    <definedName name="____W8" hidden="1">{#N/A,#N/A,FALSE,"Ejector 1";#N/A,#N/A,FALSE,"Ejector 2"}</definedName>
    <definedName name="____wre1">#REF!</definedName>
    <definedName name="____wre10">#REF!</definedName>
    <definedName name="____wre120">#REF!</definedName>
    <definedName name="____wre150">#REF!</definedName>
    <definedName name="____wre16">#REF!</definedName>
    <definedName name="____wre185">#REF!</definedName>
    <definedName name="____wre2">#REF!</definedName>
    <definedName name="____wre240">#REF!</definedName>
    <definedName name="____wre25">#REF!</definedName>
    <definedName name="____wre3">#REF!</definedName>
    <definedName name="____wre300">#REF!</definedName>
    <definedName name="____wre35">#REF!</definedName>
    <definedName name="____wre4">#REF!</definedName>
    <definedName name="____wre400">#REF!</definedName>
    <definedName name="____wre50">#REF!</definedName>
    <definedName name="____wre500">#REF!</definedName>
    <definedName name="____wre6">#REF!</definedName>
    <definedName name="____wre600">#REF!</definedName>
    <definedName name="____wre70">#REF!</definedName>
    <definedName name="____wre95">#REF!</definedName>
    <definedName name="___A20000">#REF!</definedName>
    <definedName name="___a3">#N/A</definedName>
    <definedName name="___AEO1">'[12]MAIN MATERIAL DATABASE'!#REF!</definedName>
    <definedName name="___BBP5">[12]DATA!$R$45</definedName>
    <definedName name="___BBP6">[12]DATA!$R$47</definedName>
    <definedName name="___bom2">#REF!</definedName>
    <definedName name="___BUS2">[12]DATA!$R$22</definedName>
    <definedName name="___BUS5">[12]DATA!$R$14</definedName>
    <definedName name="___BUS6">[12]DATA!$R$32</definedName>
    <definedName name="___cab10">#REF!</definedName>
    <definedName name="___cab120">#REF!</definedName>
    <definedName name="___cab150">#REF!</definedName>
    <definedName name="___cab16">#REF!</definedName>
    <definedName name="___cab185">#REF!</definedName>
    <definedName name="___cab240">#REF!</definedName>
    <definedName name="___cab25">#REF!</definedName>
    <definedName name="___cab300">#REF!</definedName>
    <definedName name="___cab3000">[7]power!#REF!</definedName>
    <definedName name="___cab35">#REF!</definedName>
    <definedName name="___cab4">#REF!</definedName>
    <definedName name="___cab50">#REF!</definedName>
    <definedName name="___cab6">#REF!</definedName>
    <definedName name="___cab70">#REF!</definedName>
    <definedName name="___cab95">#REF!</definedName>
    <definedName name="___can430">40.73</definedName>
    <definedName name="___can435">43.3</definedName>
    <definedName name="___cbr1">#REF!</definedName>
    <definedName name="___cbr2">#REF!</definedName>
    <definedName name="___cbr3">#REF!</definedName>
    <definedName name="___cbr4">#REF!</definedName>
    <definedName name="___cbr5">#REF!</definedName>
    <definedName name="___cbr6">#REF!</definedName>
    <definedName name="___cbr7">#REF!</definedName>
    <definedName name="___cbr8">#REF!</definedName>
    <definedName name="___ccr1" hidden="1">{#N/A,#N/A,TRUE,"Cover";#N/A,#N/A,TRUE,"Conts";#N/A,#N/A,TRUE,"VOS";#N/A,#N/A,TRUE,"Warrington";#N/A,#N/A,TRUE,"Widnes"}</definedName>
    <definedName name="___cht14">[8]cables!#REF!</definedName>
    <definedName name="___cht15">[8]cables!#REF!</definedName>
    <definedName name="___cht16">[8]cables!#REF!</definedName>
    <definedName name="___ckt1">#REF!</definedName>
    <definedName name="___ckt10">#REF!</definedName>
    <definedName name="___ckt11">#REF!</definedName>
    <definedName name="___ckt12">#REF!</definedName>
    <definedName name="___ckt13">#REF!</definedName>
    <definedName name="___ckt14">#REF!</definedName>
    <definedName name="___ckt15">#REF!</definedName>
    <definedName name="___ckt16">#REF!</definedName>
    <definedName name="___ckt17">#REF!</definedName>
    <definedName name="___ckt2">#REF!</definedName>
    <definedName name="___ckt3">#REF!</definedName>
    <definedName name="___ckt4">#REF!</definedName>
    <definedName name="___ckt5">#REF!</definedName>
    <definedName name="___ckt6">#REF!</definedName>
    <definedName name="___ckt7">#REF!</definedName>
    <definedName name="___ckt8">#REF!</definedName>
    <definedName name="___ckt9">#REF!</definedName>
    <definedName name="___CW1">#REF!</definedName>
    <definedName name="___CW2">#REF!</definedName>
    <definedName name="___DAT1">#REF!</definedName>
    <definedName name="___DAT10">'[13]cespiti cet2 piombino (2)'!#REF!</definedName>
    <definedName name="___DAT11">'[13]cespiti cet2 piombino (2)'!#REF!</definedName>
    <definedName name="___DAT12">'[13]cespiti cet2 piombino (2)'!#REF!</definedName>
    <definedName name="___DAT13">'[13]cespiti cet2 piombino (2)'!#REF!</definedName>
    <definedName name="___DAT14">'[13]cespiti cet2 piombino (2)'!#REF!</definedName>
    <definedName name="___DAT17">'[13]cespiti cet2 piombino (2)'!#REF!</definedName>
    <definedName name="___DAT18">'[13]cespiti cet2 piombino (2)'!#REF!</definedName>
    <definedName name="___DAT19">'[13]cespiti cet2 piombino (2)'!#REF!</definedName>
    <definedName name="___DAT2">#REF!</definedName>
    <definedName name="___DAT20">'[13]cespiti cet2 piombino (2)'!#REF!</definedName>
    <definedName name="___DAT21">'[13]cespiti cet2 piombino (2)'!#REF!</definedName>
    <definedName name="___DAT22">'[13]cespiti cet2 piombino (2)'!#REF!</definedName>
    <definedName name="___DAT23">'[13]cespiti cet2 piombino (2)'!#REF!</definedName>
    <definedName name="___DAT24">'[13]cespiti cet2 piombino (2)'!#REF!</definedName>
    <definedName name="___DAT25">'[13]cespiti cet2 piombino (2)'!#REF!</definedName>
    <definedName name="___DAT26">'[13]cespiti cet2 piombino (2)'!#REF!</definedName>
    <definedName name="___DAT27">'[13]cespiti cet2 piombino (2)'!#REF!</definedName>
    <definedName name="___DAT28">'[13]cespiti cet2 piombino (2)'!#REF!</definedName>
    <definedName name="___DAT3">#REF!</definedName>
    <definedName name="___DAT4">'[13]cespiti cet2 piombino (2)'!#REF!</definedName>
    <definedName name="___DAT5">'[13]cespiti cet2 piombino (2)'!#REF!</definedName>
    <definedName name="___DAT6">'[13]cespiti cet2 piombino (2)'!#REF!</definedName>
    <definedName name="___DAT7">'[13]cespiti cet2 piombino (2)'!#REF!</definedName>
    <definedName name="___DAT8">'[13]cespiti cet2 piombino (2)'!#REF!</definedName>
    <definedName name="___DAT9">'[13]cespiti cet2 piombino (2)'!#REF!</definedName>
    <definedName name="___dsw25">#REF!</definedName>
    <definedName name="___dsw32">#REF!</definedName>
    <definedName name="___dsw63">#REF!</definedName>
    <definedName name="___EES1">'[12]MAIN MATERIAL DATABASE'!$V:$V</definedName>
    <definedName name="___EV1">[14]PLAGCoct03!#REF!,[14]PLAGCoct03!#REF!,[14]PLAGCoct03!#REF!,[14]PLAGCoct03!#REF!,[14]PLAGCoct03!#REF!,[14]PLAGCoct03!#REF!,[14]PLAGCoct03!#REF!</definedName>
    <definedName name="___EV2">[14]PLAGCoct03!#REF!,[14]PLAGCoct03!#REF!,[14]PLAGCoct03!#REF!,[14]PLAGCoct03!#REF!,[14]PLAGCoct03!#REF!,[14]PLAGCoct03!#REF!,[14]PLAGCoct03!#REF!</definedName>
    <definedName name="___F">#REF!</definedName>
    <definedName name="___F3">#REF!</definedName>
    <definedName name="___fds2530">#REF!</definedName>
    <definedName name="___FF3">#REF!</definedName>
    <definedName name="___fix1">#REF!</definedName>
    <definedName name="___fix10">#REF!</definedName>
    <definedName name="___fix11">#REF!</definedName>
    <definedName name="___fix12">#REF!</definedName>
    <definedName name="___fix2">#REF!</definedName>
    <definedName name="___fix3">#REF!</definedName>
    <definedName name="___fix4">#REF!</definedName>
    <definedName name="___fix5">#REF!</definedName>
    <definedName name="___fix6">#REF!</definedName>
    <definedName name="___fix7">#REF!</definedName>
    <definedName name="___fix8">#REF!</definedName>
    <definedName name="___fix9">#REF!</definedName>
    <definedName name="___FOX2">[12]DATA!#REF!</definedName>
    <definedName name="___gal1">#REF!</definedName>
    <definedName name="___gal2">#REF!</definedName>
    <definedName name="___gal75">#REF!</definedName>
    <definedName name="___GC1">[14]PLAGCoct03!$K$29:$T$29,[14]PLAGCoct03!#REF!,[14]PLAGCoct03!#REF!,[14]PLAGCoct03!#REF!,[14]PLAGCoct03!#REF!,[14]PLAGCoct03!#REF!,[14]PLAGCoct03!#REF!,[14]PLAGCoct03!#REF!</definedName>
    <definedName name="___GC2">[14]PLAGCoct03!#REF!,[14]PLAGCoct03!#REF!,[14]PLAGCoct03!#REF!,[14]PLAGCoct03!#REF!,[14]PLAGCoct03!#REF!,[14]PLAGCoct03!#REF!,[14]PLAGCoct03!#REF!,[14]PLAGCoct03!#REF!</definedName>
    <definedName name="___GC3">[14]PLAGCoct03!#REF!,[14]PLAGCoct03!#REF!,[14]PLAGCoct03!#REF!,[14]PLAGCoct03!#REF!,[14]PLAGCoct03!#REF!,[14]PLAGCoct03!#REF!,[14]PLAGCoct03!#REF!,[14]PLAGCoct03!#REF!,[14]PLAGCoct03!#REF!,[14]PLAGCoct03!#REF!,[14]PLAGCoct03!#REF!,[14]PLAGCoct03!#REF!</definedName>
    <definedName name="___GIS1">'[15]DATA-1'!#REF!</definedName>
    <definedName name="___GIS6">'[15]DATA-1'!#REF!</definedName>
    <definedName name="___HE02">#REF!</definedName>
    <definedName name="___HE06">#REF!</definedName>
    <definedName name="___HE07">#REF!</definedName>
    <definedName name="___HE08">#REF!</definedName>
    <definedName name="___HE09">#REF!</definedName>
    <definedName name="___HE1">#REF!</definedName>
    <definedName name="___HE11">#REF!</definedName>
    <definedName name="___HE2">#REF!</definedName>
    <definedName name="___HE21">#REF!</definedName>
    <definedName name="___HE3">#REF!</definedName>
    <definedName name="___HE4">#REF!</definedName>
    <definedName name="___HE5">#REF!</definedName>
    <definedName name="___HE61">#REF!</definedName>
    <definedName name="___HE71">#REF!</definedName>
    <definedName name="___HE81">#REF!</definedName>
    <definedName name="___HE91">#REF!</definedName>
    <definedName name="___HM1">#REF!</definedName>
    <definedName name="___HM10">#REF!</definedName>
    <definedName name="___HM11">#REF!</definedName>
    <definedName name="___HM12">#REF!</definedName>
    <definedName name="___HM2">#REF!</definedName>
    <definedName name="___HM3">#REF!</definedName>
    <definedName name="___HM4">#REF!</definedName>
    <definedName name="___HM5">#REF!</definedName>
    <definedName name="___HM6">#REF!</definedName>
    <definedName name="___HM7">#REF!</definedName>
    <definedName name="___HM8">#REF!</definedName>
    <definedName name="___HM9">#REF!</definedName>
    <definedName name="___HP2">#REF!</definedName>
    <definedName name="___HV1">#REF!</definedName>
    <definedName name="___ins251">#REF!</definedName>
    <definedName name="___ins252">#REF!</definedName>
    <definedName name="___ins253">#REF!</definedName>
    <definedName name="___ins254">#REF!</definedName>
    <definedName name="___ins255">#REF!</definedName>
    <definedName name="___ins2550">#REF!</definedName>
    <definedName name="___ins256">#REF!</definedName>
    <definedName name="___ins2560">#REF!</definedName>
    <definedName name="___ins401">#REF!</definedName>
    <definedName name="___ins4010">#REF!</definedName>
    <definedName name="___ins402">#REF!</definedName>
    <definedName name="___ins403">#REF!</definedName>
    <definedName name="___ins404">#REF!</definedName>
    <definedName name="___ins405">#REF!</definedName>
    <definedName name="___ins406">#REF!</definedName>
    <definedName name="___ins408">#REF!</definedName>
    <definedName name="___ins501">#REF!</definedName>
    <definedName name="___ins5010">#REF!</definedName>
    <definedName name="___ins5012">#REF!</definedName>
    <definedName name="___ins502">#REF!</definedName>
    <definedName name="___ins503">#REF!</definedName>
    <definedName name="___ins504">#REF!</definedName>
    <definedName name="___ins505">#REF!</definedName>
    <definedName name="___ins506">#REF!</definedName>
    <definedName name="___ins508">#REF!</definedName>
    <definedName name="___LF6">'[15]DATA-1'!#REF!</definedName>
    <definedName name="___mar16">#REF!</definedName>
    <definedName name="___mar20">#REF!</definedName>
    <definedName name="___mar25">#REF!</definedName>
    <definedName name="___mar32">#REF!</definedName>
    <definedName name="___mar40">#REF!</definedName>
    <definedName name="___mar50">#REF!</definedName>
    <definedName name="___MB1">#REF!</definedName>
    <definedName name="___MES10">#REF!</definedName>
    <definedName name="___MES11">#REF!</definedName>
    <definedName name="___MES14">#REF!</definedName>
    <definedName name="___MES15">#REF!</definedName>
    <definedName name="___MES20">#REF!</definedName>
    <definedName name="___MES21">#REF!</definedName>
    <definedName name="___MES24">#REF!</definedName>
    <definedName name="___MES25">#REF!</definedName>
    <definedName name="___MES40">#REF!</definedName>
    <definedName name="___MES41">#REF!</definedName>
    <definedName name="___MES42">#REF!</definedName>
    <definedName name="___MES43">#REF!</definedName>
    <definedName name="___MES44">#REF!</definedName>
    <definedName name="___MES45">#REF!</definedName>
    <definedName name="___MES5">#REF!</definedName>
    <definedName name="___MES50">#REF!</definedName>
    <definedName name="___MES51">#REF!</definedName>
    <definedName name="___MES52">#REF!</definedName>
    <definedName name="___MES53">#REF!</definedName>
    <definedName name="___MES6">#REF!</definedName>
    <definedName name="___MES62">#REF!</definedName>
    <definedName name="___MES70">#REF!</definedName>
    <definedName name="___MES71">#REF!</definedName>
    <definedName name="___MET2">[12]DATA!$R$41</definedName>
    <definedName name="___MET6">[12]DATA!$R$42</definedName>
    <definedName name="___mit2">#REF!</definedName>
    <definedName name="___mit75">#REF!</definedName>
    <definedName name="___NN1">#N/A</definedName>
    <definedName name="___NN2">#N/A</definedName>
    <definedName name="___NWT2">[16]川崎HRSG!#REF!</definedName>
    <definedName name="___OH1">#REF!</definedName>
    <definedName name="___OH2">#REF!</definedName>
    <definedName name="___OP1">[12]DATA!$R$23</definedName>
    <definedName name="___out1">[11]BOQ!#REF!</definedName>
    <definedName name="___out2">[11]BOQ!#REF!</definedName>
    <definedName name="___out3">[11]BOQ!#REF!</definedName>
    <definedName name="___out4">[11]BOQ!#REF!</definedName>
    <definedName name="___PAG1">#REF!</definedName>
    <definedName name="___pag1000">#REF!</definedName>
    <definedName name="___PAG2">#REF!</definedName>
    <definedName name="___PAG3">#REF!</definedName>
    <definedName name="___PAG31">#REF!</definedName>
    <definedName name="___PAG4">#REF!</definedName>
    <definedName name="___PAG5">#REF!</definedName>
    <definedName name="___PAG51">#REF!</definedName>
    <definedName name="___PAG52">#REF!</definedName>
    <definedName name="___PLC2">[12]DATA!#REF!</definedName>
    <definedName name="___PR1">#N/A</definedName>
    <definedName name="___PR2">#N/A</definedName>
    <definedName name="___ps1">#REF!</definedName>
    <definedName name="___ps3">#REF!</definedName>
    <definedName name="___PU1000">#REF!</definedName>
    <definedName name="___PU10000">#REF!</definedName>
    <definedName name="___PU10001">#REF!</definedName>
    <definedName name="___PU10002">#REF!</definedName>
    <definedName name="___PU10003">#REF!</definedName>
    <definedName name="___PU10004">#REF!</definedName>
    <definedName name="___PU10005">#REF!</definedName>
    <definedName name="___PU1001">#REF!</definedName>
    <definedName name="___PU1002">#REF!</definedName>
    <definedName name="___PU1003">#REF!</definedName>
    <definedName name="___PU1004">#REF!</definedName>
    <definedName name="___PU1005">#REF!</definedName>
    <definedName name="___PU1006">#REF!</definedName>
    <definedName name="___PU1007">#REF!</definedName>
    <definedName name="___PU1008">#REF!</definedName>
    <definedName name="___PU1009">#REF!</definedName>
    <definedName name="___PU10125">#REF!</definedName>
    <definedName name="___PU1125">#REF!</definedName>
    <definedName name="___pu15000">[17]PRECIOS!$D$64</definedName>
    <definedName name="___PU2000">#REF!</definedName>
    <definedName name="___PU2001">#REF!</definedName>
    <definedName name="___PU2002">#REF!</definedName>
    <definedName name="___PU2003">#REF!</definedName>
    <definedName name="___PU2004">#REF!</definedName>
    <definedName name="___PU2005">#REF!</definedName>
    <definedName name="___PU2006">#REF!</definedName>
    <definedName name="___PU2007">#REF!</definedName>
    <definedName name="___PU2008">#REF!</definedName>
    <definedName name="___PU3000">#REF!</definedName>
    <definedName name="___PU3001">#REF!</definedName>
    <definedName name="___PU3002">#REF!</definedName>
    <definedName name="___PU3003">#REF!</definedName>
    <definedName name="___PU3004">#REF!</definedName>
    <definedName name="___PU3005">#REF!</definedName>
    <definedName name="___PU3006">#REF!</definedName>
    <definedName name="___PU3007">#REF!</definedName>
    <definedName name="___PU3008">#REF!</definedName>
    <definedName name="___PU3009">#REF!</definedName>
    <definedName name="___PU3010">#REF!</definedName>
    <definedName name="___PU3011">#REF!</definedName>
    <definedName name="___PU3012">#REF!</definedName>
    <definedName name="___PU3013">#REF!</definedName>
    <definedName name="___PU3014">#REF!</definedName>
    <definedName name="___PU3015">#REF!</definedName>
    <definedName name="___PU3016">#REF!</definedName>
    <definedName name="___PU3017">#REF!</definedName>
    <definedName name="___PU3018">#REF!</definedName>
    <definedName name="___PU3019">#REF!</definedName>
    <definedName name="___PU3020">#REF!</definedName>
    <definedName name="___PU3021">#REF!</definedName>
    <definedName name="___PU3022">#REF!</definedName>
    <definedName name="___PU3023">#REF!</definedName>
    <definedName name="___PU3024">#REF!</definedName>
    <definedName name="___PU4000">#REF!</definedName>
    <definedName name="___PU4001">#REF!</definedName>
    <definedName name="___PU4002">#REF!</definedName>
    <definedName name="___PU4003">#REF!</definedName>
    <definedName name="___PU4004">#REF!</definedName>
    <definedName name="___PU4005">#REF!</definedName>
    <definedName name="___PU4006">#REF!</definedName>
    <definedName name="___PU4007">#REF!</definedName>
    <definedName name="___PU4008">#REF!</definedName>
    <definedName name="___PU4009">#REF!</definedName>
    <definedName name="___PU4010">#REF!</definedName>
    <definedName name="___PU4011">#REF!</definedName>
    <definedName name="___PU4012">#REF!</definedName>
    <definedName name="___PU4013">#REF!</definedName>
    <definedName name="___PU4014">#REF!</definedName>
    <definedName name="___PU4015">#REF!</definedName>
    <definedName name="___PU5000">#REF!</definedName>
    <definedName name="___PU5001">#REF!</definedName>
    <definedName name="___PU5002">#REF!</definedName>
    <definedName name="___PU5003">#REF!</definedName>
    <definedName name="___PU5004">#REF!</definedName>
    <definedName name="___PU5005">#REF!</definedName>
    <definedName name="___PU5006">#REF!</definedName>
    <definedName name="___PU5007">#REF!</definedName>
    <definedName name="___PU5008">#REF!</definedName>
    <definedName name="___PU5009">#REF!</definedName>
    <definedName name="___PU5010">#REF!</definedName>
    <definedName name="___PU5011">#REF!</definedName>
    <definedName name="___PU5012">#REF!</definedName>
    <definedName name="___PU5013">#REF!</definedName>
    <definedName name="___PU5014">#REF!</definedName>
    <definedName name="___PU6000">#REF!</definedName>
    <definedName name="___PU6001">#REF!</definedName>
    <definedName name="___PU6002">#REF!</definedName>
    <definedName name="___PU6003">#REF!</definedName>
    <definedName name="___PU6004">#REF!</definedName>
    <definedName name="___PU6005">#REF!</definedName>
    <definedName name="___PU6006">#REF!</definedName>
    <definedName name="___PU6007">#REF!</definedName>
    <definedName name="___PU6008">#REF!</definedName>
    <definedName name="___PU6009">#REF!</definedName>
    <definedName name="___PU6010">#REF!</definedName>
    <definedName name="___PU6011">#REF!</definedName>
    <definedName name="___PU6012">#REF!</definedName>
    <definedName name="___PU6013">#REF!</definedName>
    <definedName name="___PU6014">#REF!</definedName>
    <definedName name="___PU6015">#REF!</definedName>
    <definedName name="___PU6016">#REF!</definedName>
    <definedName name="___PU6017">#REF!</definedName>
    <definedName name="___PU6018">#REF!</definedName>
    <definedName name="___PU7000">#REF!</definedName>
    <definedName name="___PU7001">#REF!</definedName>
    <definedName name="___PU7002">#REF!</definedName>
    <definedName name="___PU7003">#REF!</definedName>
    <definedName name="___PU7004">#REF!</definedName>
    <definedName name="___PU7005">#REF!</definedName>
    <definedName name="___PU7006">#REF!</definedName>
    <definedName name="___PU7007">#REF!</definedName>
    <definedName name="___PU7008">#REF!</definedName>
    <definedName name="___PU7009">#REF!</definedName>
    <definedName name="___PU7010">#REF!</definedName>
    <definedName name="___PU7011">#REF!</definedName>
    <definedName name="___PU7012">#REF!</definedName>
    <definedName name="___PU7013">#REF!</definedName>
    <definedName name="___PU7014">#REF!</definedName>
    <definedName name="___PU7015">#REF!</definedName>
    <definedName name="___PU7016">#REF!</definedName>
    <definedName name="___PU7017">#REF!</definedName>
    <definedName name="___PU7018">#REF!</definedName>
    <definedName name="___PU7019">#REF!</definedName>
    <definedName name="___PU7020">#REF!</definedName>
    <definedName name="___PU7021">#REF!</definedName>
    <definedName name="___PU7022">#REF!</definedName>
    <definedName name="___PU7023">#REF!</definedName>
    <definedName name="___PU7024">#REF!</definedName>
    <definedName name="___PU8000">#REF!</definedName>
    <definedName name="___PU8001">#REF!</definedName>
    <definedName name="___PU8002">#REF!</definedName>
    <definedName name="___PU8003">#REF!</definedName>
    <definedName name="___PU8004">#REF!</definedName>
    <definedName name="___PU8005">#REF!</definedName>
    <definedName name="___PU8006">#REF!</definedName>
    <definedName name="___PU8007">#REF!</definedName>
    <definedName name="___PU8008">#REF!</definedName>
    <definedName name="___PU8009">#REF!</definedName>
    <definedName name="___PU8010">#REF!</definedName>
    <definedName name="___PU8011">#REF!</definedName>
    <definedName name="___PU8012">#REF!</definedName>
    <definedName name="___PU8013">#REF!</definedName>
    <definedName name="___PU8014">#REF!</definedName>
    <definedName name="___PU8015">#REF!</definedName>
    <definedName name="___PU8125">#REF!</definedName>
    <definedName name="___PU9000">#REF!</definedName>
    <definedName name="___PU9001">#REF!</definedName>
    <definedName name="___PU9002">#REF!</definedName>
    <definedName name="___PU9003">#REF!</definedName>
    <definedName name="___PU9004">#REF!</definedName>
    <definedName name="___PU9005">#REF!</definedName>
    <definedName name="___PU9006">#REF!</definedName>
    <definedName name="___PU9007">#REF!</definedName>
    <definedName name="___PU9008">#REF!</definedName>
    <definedName name="___PU9009">#REF!</definedName>
    <definedName name="___PU9010">#REF!</definedName>
    <definedName name="___PU9011">#REF!</definedName>
    <definedName name="___PU9012">#REF!</definedName>
    <definedName name="___PU9013">#REF!</definedName>
    <definedName name="___PU9014">#REF!</definedName>
    <definedName name="___PU9015">#REF!</definedName>
    <definedName name="___PU9016">#REF!</definedName>
    <definedName name="___PU9017">#REF!</definedName>
    <definedName name="___PU9018">#REF!</definedName>
    <definedName name="___PU9019">#REF!</definedName>
    <definedName name="___PU9020">#REF!</definedName>
    <definedName name="___PU9021">#REF!</definedName>
    <definedName name="___PU9022">#REF!</definedName>
    <definedName name="___PU9023">#REF!</definedName>
    <definedName name="___PU9024">#REF!</definedName>
    <definedName name="___PU9025">#REF!</definedName>
    <definedName name="___PU9026">#REF!</definedName>
    <definedName name="___PU9027">#REF!</definedName>
    <definedName name="___PU9028">#REF!</definedName>
    <definedName name="___pvc10110">#REF!</definedName>
    <definedName name="___pvc10125">#REF!</definedName>
    <definedName name="___pvc10140">#REF!</definedName>
    <definedName name="___pvc10160">#REF!</definedName>
    <definedName name="___pvc10200">#REF!</definedName>
    <definedName name="___pvc10215">#REF!</definedName>
    <definedName name="___pvc10250">#REF!</definedName>
    <definedName name="___pvc10280">#REF!</definedName>
    <definedName name="___pvc10315">#REF!</definedName>
    <definedName name="___pvc10355">#REF!</definedName>
    <definedName name="___pvc1040">#REF!</definedName>
    <definedName name="___pvc10400">#REF!</definedName>
    <definedName name="___pvc1050">#REF!</definedName>
    <definedName name="___pvc1063">#REF!</definedName>
    <definedName name="___pvc1075">#REF!</definedName>
    <definedName name="___pvc1090">#REF!</definedName>
    <definedName name="___pvc110">#REF!</definedName>
    <definedName name="___pvc125">#REF!</definedName>
    <definedName name="___pvc140">#REF!</definedName>
    <definedName name="___pvc160">#REF!</definedName>
    <definedName name="___pvc200">#REF!</definedName>
    <definedName name="___pvc225">#REF!</definedName>
    <definedName name="___pvc250">#REF!</definedName>
    <definedName name="___pvc280">#REF!</definedName>
    <definedName name="___pvc315">#REF!</definedName>
    <definedName name="___pvc355">#REF!</definedName>
    <definedName name="___pvc40">#REF!</definedName>
    <definedName name="___pvc400">#REF!</definedName>
    <definedName name="___pvc4110">#REF!</definedName>
    <definedName name="___pvc4125">#REF!</definedName>
    <definedName name="___pvc4140">#REF!</definedName>
    <definedName name="___pvc4160">#REF!</definedName>
    <definedName name="___pvc4200">#REF!</definedName>
    <definedName name="___pvc4215">#REF!</definedName>
    <definedName name="___pvc4250">#REF!</definedName>
    <definedName name="___pvc4280">#REF!</definedName>
    <definedName name="___pvc4315">#REF!</definedName>
    <definedName name="___pvc4355">#REF!</definedName>
    <definedName name="___pvc440">#REF!</definedName>
    <definedName name="___pvc4400">#REF!</definedName>
    <definedName name="___pvc450">#REF!</definedName>
    <definedName name="___pvc463">#REF!</definedName>
    <definedName name="___pvc475">#REF!</definedName>
    <definedName name="___pvc490">#REF!</definedName>
    <definedName name="___pvc50">#REF!</definedName>
    <definedName name="___pvc6110">#REF!</definedName>
    <definedName name="___pvc6125">#REF!</definedName>
    <definedName name="___pvc6140">#REF!</definedName>
    <definedName name="___pvc6160">#REF!</definedName>
    <definedName name="___pvc6200">#REF!</definedName>
    <definedName name="___pvc6215">#REF!</definedName>
    <definedName name="___pvc6250">#REF!</definedName>
    <definedName name="___pvc6280">#REF!</definedName>
    <definedName name="___pvc63">#REF!</definedName>
    <definedName name="___pvc6315">#REF!</definedName>
    <definedName name="___pvc6355">#REF!</definedName>
    <definedName name="___pvc640">#REF!</definedName>
    <definedName name="___pvc6400">#REF!</definedName>
    <definedName name="___pvc650">#REF!</definedName>
    <definedName name="___pvc663">#REF!</definedName>
    <definedName name="___pvc675">#REF!</definedName>
    <definedName name="___pvc690">#REF!</definedName>
    <definedName name="___pvc75">#REF!</definedName>
    <definedName name="___pvc90">#REF!</definedName>
    <definedName name="___Q1" hidden="1">{#N/A,#N/A,FALSE,"Ejector 1";#N/A,#N/A,FALSE,"Ejector 2"}</definedName>
    <definedName name="___Q2" hidden="1">{#N/A,#N/A,FALSE,"Ejector 1";#N/A,#N/A,FALSE,"Ejector 2"}</definedName>
    <definedName name="___Q3" hidden="1">{#N/A,#N/A,FALSE,"Ejector 1";#N/A,#N/A,FALSE,"Ejector 2"}</definedName>
    <definedName name="___Q4" hidden="1">{#N/A,#N/A,FALSE,"Ejector 1";#N/A,#N/A,FALSE,"Ejector 2"}</definedName>
    <definedName name="___R">#REF!</definedName>
    <definedName name="___RG11">[11]BOQ!#REF!</definedName>
    <definedName name="___rg45">[11]BOQ!#REF!</definedName>
    <definedName name="___RTK1">'[12]MAIN MATERIAL DATABASE'!$R:$R</definedName>
    <definedName name="___RTU2">[12]DATA!#REF!</definedName>
    <definedName name="___RTU6">[12]DATA!#REF!</definedName>
    <definedName name="___SAS2">[12]DATA!$R$54</definedName>
    <definedName name="___sch401">#REF!</definedName>
    <definedName name="___sch402">#REF!</definedName>
    <definedName name="___SEL32">#REF!</definedName>
    <definedName name="___SFA1">#REF!</definedName>
    <definedName name="___SFA10">#REF!</definedName>
    <definedName name="___SFA11">#REF!</definedName>
    <definedName name="___SFA12">#REF!</definedName>
    <definedName name="___SFA13">#REF!</definedName>
    <definedName name="___SFA14">#REF!</definedName>
    <definedName name="___SFA15">#REF!</definedName>
    <definedName name="___SFA2">#REF!</definedName>
    <definedName name="___SFA20">#REF!</definedName>
    <definedName name="___SFA21">#REF!</definedName>
    <definedName name="___SFA22">#REF!</definedName>
    <definedName name="___SFA23">#REF!</definedName>
    <definedName name="___SFA24">#REF!</definedName>
    <definedName name="___SFA25">#REF!</definedName>
    <definedName name="___SFA3">#REF!</definedName>
    <definedName name="___SFA4">#REF!</definedName>
    <definedName name="___SFA5">#REF!</definedName>
    <definedName name="___SFA6">#REF!</definedName>
    <definedName name="___so1">#REF!</definedName>
    <definedName name="___so2">#REF!</definedName>
    <definedName name="___som4" hidden="1">{#N/A,#N/A,FALSE,"Ejector 1";#N/A,#N/A,FALSE,"Ejector 2"}</definedName>
    <definedName name="___SS1">#REF!</definedName>
    <definedName name="___SUP1">'[12]MAIN MATERIAL DATABASE'!$D:$D</definedName>
    <definedName name="___sw1">#REF!</definedName>
    <definedName name="___sw2">#REF!</definedName>
    <definedName name="___tax1">#REF!</definedName>
    <definedName name="___tax2">#REF!</definedName>
    <definedName name="___tax3">#REF!</definedName>
    <definedName name="___tax4">#REF!</definedName>
    <definedName name="___tel1">[11]BOQ!#REF!</definedName>
    <definedName name="___tel2">[11]BOQ!#REF!</definedName>
    <definedName name="___TOT2">[12]DATA!$R$19</definedName>
    <definedName name="___TOT5">[12]DATA!$R$11</definedName>
    <definedName name="___TOT6">[12]DATA!$R$29</definedName>
    <definedName name="___TS1">#REF!</definedName>
    <definedName name="___TT2">#REF!</definedName>
    <definedName name="___W1" hidden="1">{#N/A,#N/A,FALSE,"Ejector 1";#N/A,#N/A,FALSE,"Ejector 2"}</definedName>
    <definedName name="___W2" hidden="1">{#N/A,#N/A,FALSE,"Ejector 1";#N/A,#N/A,FALSE,"Ejector 2"}</definedName>
    <definedName name="___W3" hidden="1">{#N/A,#N/A,FALSE,"Ejector 1";#N/A,#N/A,FALSE,"Ejector 2"}</definedName>
    <definedName name="___W4" hidden="1">{#N/A,#N/A,FALSE,"Ejector 1";#N/A,#N/A,FALSE,"Ejector 2"}</definedName>
    <definedName name="___W5" hidden="1">{#N/A,#N/A,FALSE,"Ejector 1";#N/A,#N/A,FALSE,"Ejector 2"}</definedName>
    <definedName name="___W6" hidden="1">{#N/A,#N/A,FALSE,"Ejector 1";#N/A,#N/A,FALSE,"Ejector 2"}</definedName>
    <definedName name="___W7" hidden="1">{#N/A,#N/A,FALSE,"Ejector 1";#N/A,#N/A,FALSE,"Ejector 2"}</definedName>
    <definedName name="___W8" hidden="1">{#N/A,#N/A,FALSE,"Ejector 1";#N/A,#N/A,FALSE,"Ejector 2"}</definedName>
    <definedName name="___wp62">'[18]6.2 Floor Finishes'!#REF!</definedName>
    <definedName name="___wre1">#REF!</definedName>
    <definedName name="___wre10">#REF!</definedName>
    <definedName name="___wre120">#REF!</definedName>
    <definedName name="___wre150">#REF!</definedName>
    <definedName name="___wre16">#REF!</definedName>
    <definedName name="___wre185">#REF!</definedName>
    <definedName name="___wre2">#REF!</definedName>
    <definedName name="___wre240">#REF!</definedName>
    <definedName name="___wre25">#REF!</definedName>
    <definedName name="___wre3">#REF!</definedName>
    <definedName name="___wre300">#REF!</definedName>
    <definedName name="___wre35">#REF!</definedName>
    <definedName name="___wre4">#REF!</definedName>
    <definedName name="___wre400">#REF!</definedName>
    <definedName name="___wre50">#REF!</definedName>
    <definedName name="___wre500">#REF!</definedName>
    <definedName name="___wre6">#REF!</definedName>
    <definedName name="___wre600">#REF!</definedName>
    <definedName name="___wre70">#REF!</definedName>
    <definedName name="___wre95">#REF!</definedName>
    <definedName name="__1__123Graph_ACHART_1A" hidden="1">'[19]입찰내역 발주처 양식'!#REF!</definedName>
    <definedName name="__123Graph_A" hidden="1">[20]DRUM!#REF!</definedName>
    <definedName name="__123Graph_ACHART1" hidden="1">'[19]입찰내역 발주처 양식'!#REF!</definedName>
    <definedName name="__123Graph_AChart11" hidden="1">'[21]Attach 4-18'!#REF!</definedName>
    <definedName name="__123Graph_AChart12" hidden="1">'[21]Attach 4-18'!#REF!</definedName>
    <definedName name="__123Graph_AChart13" hidden="1">'[21]Attach 4-18'!#REF!</definedName>
    <definedName name="__123Graph_AChart4" hidden="1">'[21]Attach 4-18'!#REF!</definedName>
    <definedName name="__123Graph_ACURRENT" hidden="1">[22]FitOutConfCentre!#REF!</definedName>
    <definedName name="__123Graph_ALLINHAS" hidden="1">[23]sh4!#REF!</definedName>
    <definedName name="__123Graph_ANONMAN" hidden="1">[24]GRAPH_DATA!#REF!</definedName>
    <definedName name="__123Graph_B" hidden="1">[20]DRUM!#REF!</definedName>
    <definedName name="__123Graph_BChart1" hidden="1">'[21]Attach 4-18'!#REF!</definedName>
    <definedName name="__123Graph_BChart11" hidden="1">'[21]Attach 4-18'!#REF!</definedName>
    <definedName name="__123Graph_BChart12" hidden="1">'[21]Attach 4-18'!#REF!</definedName>
    <definedName name="__123Graph_BChart13" hidden="1">'[21]Attach 4-18'!#REF!</definedName>
    <definedName name="__123Graph_BChart4" hidden="1">'[21]Attach 4-18'!#REF!</definedName>
    <definedName name="__123Graph_BCIVIL" hidden="1">'[25]Staffing Plan'!#REF!</definedName>
    <definedName name="__123Graph_BCurrent" hidden="1">'[21]Attach 4-18'!#REF!</definedName>
    <definedName name="__123Graph_BELECTRICAL" hidden="1">'[25]Staffing Plan'!#REF!</definedName>
    <definedName name="__123Graph_BFINISHES" hidden="1">'[25]Staffing Plan'!#REF!</definedName>
    <definedName name="__123Graph_BLLINHAS" hidden="1">[23]sh4!#REF!</definedName>
    <definedName name="__123Graph_BMECHANICAL" hidden="1">'[25]Staffing Plan'!#REF!</definedName>
    <definedName name="__123Graph_BNONMAN" hidden="1">#REF!</definedName>
    <definedName name="__123Graph_BPIPING" hidden="1">'[25]Staffing Plan'!#REF!</definedName>
    <definedName name="__123Graph_BTOTAL" hidden="1">'[25]Staffing Plan'!#REF!</definedName>
    <definedName name="__123Graph_C" hidden="1">[20]DRUM!#REF!</definedName>
    <definedName name="__123Graph_CChart1" hidden="1">'[21]Attach 4-18'!#REF!</definedName>
    <definedName name="__123Graph_CChart11" hidden="1">'[21]Attach 4-18'!#REF!</definedName>
    <definedName name="__123Graph_CChart12" hidden="1">'[21]Attach 4-18'!#REF!</definedName>
    <definedName name="__123Graph_CChart13" hidden="1">'[21]Attach 4-18'!#REF!</definedName>
    <definedName name="__123Graph_CChart4" hidden="1">'[21]Attach 4-18'!#REF!</definedName>
    <definedName name="__123Graph_CCurrent" hidden="1">'[21]Attach 4-18'!#REF!</definedName>
    <definedName name="__123Graph_CLLINHAS" hidden="1">[23]sh4!#REF!</definedName>
    <definedName name="__123Graph_D" hidden="1">[20]DRUM!#REF!</definedName>
    <definedName name="__123Graph_DChart1" hidden="1">'[21]Attach 4-18'!#REF!</definedName>
    <definedName name="__123Graph_DChart11" hidden="1">'[21]Attach 4-18'!#REF!</definedName>
    <definedName name="__123Graph_DChart12" hidden="1">'[21]Attach 4-18'!#REF!</definedName>
    <definedName name="__123Graph_DChart13" hidden="1">'[21]Attach 4-18'!#REF!</definedName>
    <definedName name="__123Graph_DChart4" hidden="1">'[21]Attach 4-18'!#REF!</definedName>
    <definedName name="__123Graph_DCurrent" hidden="1">'[21]Attach 4-18'!#REF!</definedName>
    <definedName name="__123Graph_E" hidden="1">#REF!</definedName>
    <definedName name="__123Graph_EChart1" hidden="1">'[21]Attach 4-18'!#REF!</definedName>
    <definedName name="__123Graph_EChart11" hidden="1">'[21]Attach 4-18'!#REF!</definedName>
    <definedName name="__123Graph_EChart12" hidden="1">'[21]Attach 4-18'!#REF!</definedName>
    <definedName name="__123Graph_EChart13" hidden="1">'[21]Attach 4-18'!#REF!</definedName>
    <definedName name="__123Graph_EChart4" hidden="1">'[21]Attach 4-18'!#REF!</definedName>
    <definedName name="__123Graph_ECurrent" hidden="1">'[21]Attach 4-18'!#REF!</definedName>
    <definedName name="__123Graph_FChart1" hidden="1">'[21]Attach 4-18'!#REF!</definedName>
    <definedName name="__123Graph_FChart11" hidden="1">'[21]Attach 4-18'!#REF!</definedName>
    <definedName name="__123Graph_FChart12" hidden="1">'[21]Attach 4-18'!#REF!</definedName>
    <definedName name="__123Graph_FChart13" hidden="1">'[21]Attach 4-18'!#REF!</definedName>
    <definedName name="__123Graph_FChart4" hidden="1">'[21]Attach 4-18'!#REF!</definedName>
    <definedName name="__123Graph_FCurrent" hidden="1">'[21]Attach 4-18'!#REF!</definedName>
    <definedName name="__123Graph_LBL_ALLINHAS" hidden="1">[26]Lista!#REF!</definedName>
    <definedName name="__123Graph_X" hidden="1">[20]DRUM!#REF!</definedName>
    <definedName name="__123Graph_XCHART1" hidden="1">'[19]입찰내역 발주처 양식'!#REF!</definedName>
    <definedName name="__123Graph_XChart11" hidden="1">'[21]Attach 4-18'!#REF!</definedName>
    <definedName name="__123Graph_XChart12" hidden="1">'[21]Attach 4-18'!#REF!</definedName>
    <definedName name="__123Graph_XChart13" hidden="1">'[21]Attach 4-18'!#REF!</definedName>
    <definedName name="__123Graph_XCURRENT" hidden="1">'[19]입찰내역 발주처 양식'!#REF!</definedName>
    <definedName name="__2__123Graph_XCHART_1A" hidden="1">'[19]입찰내역 발주처 양식'!#REF!</definedName>
    <definedName name="__2_0ELECB">'[27]Z- GENERAL PRICE SUMMARY'!#REF!</definedName>
    <definedName name="__A20000">#REF!</definedName>
    <definedName name="__a3">#N/A</definedName>
    <definedName name="__AEO1">'[28]MAIN MATERIAL DATABASE'!#REF!</definedName>
    <definedName name="__att2">#N/A</definedName>
    <definedName name="__BBP5">[28]DATA!$R$45</definedName>
    <definedName name="__BBP6">[28]DATA!$R$47</definedName>
    <definedName name="__bom2">#REF!</definedName>
    <definedName name="__BUS2">[29]DATA!$R$22</definedName>
    <definedName name="__BUS5">[29]DATA!$R$14</definedName>
    <definedName name="__BUS6">[29]DATA!$R$32</definedName>
    <definedName name="__cab10">#REF!</definedName>
    <definedName name="__cab120">#REF!</definedName>
    <definedName name="__cab150">#REF!</definedName>
    <definedName name="__cab16">#REF!</definedName>
    <definedName name="__cab185">#REF!</definedName>
    <definedName name="__cab240">#REF!</definedName>
    <definedName name="__cab25">#REF!</definedName>
    <definedName name="__cab300">#REF!</definedName>
    <definedName name="__cab3000">[7]power!#REF!</definedName>
    <definedName name="__cab35">#REF!</definedName>
    <definedName name="__cab4">#REF!</definedName>
    <definedName name="__cab50">#REF!</definedName>
    <definedName name="__cab6">#REF!</definedName>
    <definedName name="__cab70">#REF!</definedName>
    <definedName name="__cab95">#REF!</definedName>
    <definedName name="__can430">40.73</definedName>
    <definedName name="__can435">43.3</definedName>
    <definedName name="__cbr1">#REF!</definedName>
    <definedName name="__cbr2">#REF!</definedName>
    <definedName name="__cbr3">#REF!</definedName>
    <definedName name="__cbr4">#REF!</definedName>
    <definedName name="__cbr5">#REF!</definedName>
    <definedName name="__cbr6">#REF!</definedName>
    <definedName name="__cbr7">#REF!</definedName>
    <definedName name="__cbr8">#REF!</definedName>
    <definedName name="__ccr1" hidden="1">{#N/A,#N/A,TRUE,"Cover";#N/A,#N/A,TRUE,"Conts";#N/A,#N/A,TRUE,"VOS";#N/A,#N/A,TRUE,"Warrington";#N/A,#N/A,TRUE,"Widnes"}</definedName>
    <definedName name="__cht14">[8]cables!#REF!</definedName>
    <definedName name="__cht15">[8]cables!#REF!</definedName>
    <definedName name="__cht16">[8]cables!#REF!</definedName>
    <definedName name="__ckt1">#REF!</definedName>
    <definedName name="__ckt10">#REF!</definedName>
    <definedName name="__ckt11">#REF!</definedName>
    <definedName name="__ckt12">#REF!</definedName>
    <definedName name="__ckt13">#REF!</definedName>
    <definedName name="__ckt14">#REF!</definedName>
    <definedName name="__ckt15">#REF!</definedName>
    <definedName name="__ckt16">#REF!</definedName>
    <definedName name="__ckt17">#REF!</definedName>
    <definedName name="__ckt2">#REF!</definedName>
    <definedName name="__ckt3">#REF!</definedName>
    <definedName name="__ckt4">#REF!</definedName>
    <definedName name="__ckt5">#REF!</definedName>
    <definedName name="__ckt6">#REF!</definedName>
    <definedName name="__ckt7">#REF!</definedName>
    <definedName name="__ckt8">#REF!</definedName>
    <definedName name="__ckt9">#REF!</definedName>
    <definedName name="__Con1">#N/A</definedName>
    <definedName name="__Con2">#N/A</definedName>
    <definedName name="__Con3">#N/A</definedName>
    <definedName name="__Con4">#N/A</definedName>
    <definedName name="__CW1">#REF!</definedName>
    <definedName name="__CW2">#REF!</definedName>
    <definedName name="__DAT1">#REF!</definedName>
    <definedName name="__DAT10">'[13]cespiti cet2 piombino (2)'!#REF!</definedName>
    <definedName name="__DAT11">'[13]cespiti cet2 piombino (2)'!#REF!</definedName>
    <definedName name="__DAT12">'[13]cespiti cet2 piombino (2)'!#REF!</definedName>
    <definedName name="__DAT13">'[13]cespiti cet2 piombino (2)'!#REF!</definedName>
    <definedName name="__DAT14">'[13]cespiti cet2 piombino (2)'!#REF!</definedName>
    <definedName name="__DAT17">'[13]cespiti cet2 piombino (2)'!#REF!</definedName>
    <definedName name="__DAT18">'[13]cespiti cet2 piombino (2)'!#REF!</definedName>
    <definedName name="__DAT19">'[13]cespiti cet2 piombino (2)'!#REF!</definedName>
    <definedName name="__DAT2">#REF!</definedName>
    <definedName name="__DAT20">'[13]cespiti cet2 piombino (2)'!#REF!</definedName>
    <definedName name="__DAT21">'[13]cespiti cet2 piombino (2)'!#REF!</definedName>
    <definedName name="__DAT22">'[13]cespiti cet2 piombino (2)'!#REF!</definedName>
    <definedName name="__DAT23">'[13]cespiti cet2 piombino (2)'!#REF!</definedName>
    <definedName name="__DAT24">'[13]cespiti cet2 piombino (2)'!#REF!</definedName>
    <definedName name="__DAT25">'[13]cespiti cet2 piombino (2)'!#REF!</definedName>
    <definedName name="__DAT26">'[13]cespiti cet2 piombino (2)'!#REF!</definedName>
    <definedName name="__DAT27">'[13]cespiti cet2 piombino (2)'!#REF!</definedName>
    <definedName name="__DAT28">'[13]cespiti cet2 piombino (2)'!#REF!</definedName>
    <definedName name="__DAT3">#REF!</definedName>
    <definedName name="__DAT4">'[13]cespiti cet2 piombino (2)'!#REF!</definedName>
    <definedName name="__DAT5">'[13]cespiti cet2 piombino (2)'!#REF!</definedName>
    <definedName name="__DAT6">'[13]cespiti cet2 piombino (2)'!#REF!</definedName>
    <definedName name="__DAT7">'[13]cespiti cet2 piombino (2)'!#REF!</definedName>
    <definedName name="__DAT8">'[13]cespiti cet2 piombino (2)'!#REF!</definedName>
    <definedName name="__DAT9">'[13]cespiti cet2 piombino (2)'!#REF!</definedName>
    <definedName name="__dsw25">#REF!</definedName>
    <definedName name="__dsw32">#REF!</definedName>
    <definedName name="__dsw63">#REF!</definedName>
    <definedName name="__EES1">'[28]MAIN MATERIAL DATABASE'!$V$1:$V$65536</definedName>
    <definedName name="__EV1">[30]PLAGCoct03!#REF!,[30]PLAGCoct03!#REF!,[30]PLAGCoct03!#REF!,[30]PLAGCoct03!#REF!,[30]PLAGCoct03!#REF!,[30]PLAGCoct03!#REF!,[30]PLAGCoct03!#REF!</definedName>
    <definedName name="__EV2">[30]PLAGCoct03!#REF!,[30]PLAGCoct03!#REF!,[30]PLAGCoct03!#REF!,[30]PLAGCoct03!#REF!,[30]PLAGCoct03!#REF!,[30]PLAGCoct03!#REF!,[30]PLAGCoct03!#REF!</definedName>
    <definedName name="__F">#REF!</definedName>
    <definedName name="__F3">#REF!</definedName>
    <definedName name="__fds2530">#REF!</definedName>
    <definedName name="__FF3">#REF!</definedName>
    <definedName name="__fix1">#REF!</definedName>
    <definedName name="__fix10">#REF!</definedName>
    <definedName name="__fix11">#REF!</definedName>
    <definedName name="__fix12">#REF!</definedName>
    <definedName name="__fix2">#REF!</definedName>
    <definedName name="__fix3">#REF!</definedName>
    <definedName name="__fix4">#REF!</definedName>
    <definedName name="__fix5">#REF!</definedName>
    <definedName name="__fix6">#REF!</definedName>
    <definedName name="__fix7">#REF!</definedName>
    <definedName name="__fix8">#REF!</definedName>
    <definedName name="__fix9">#REF!</definedName>
    <definedName name="__FOX2">[28]DATA!#REF!</definedName>
    <definedName name="__gal1">#REF!</definedName>
    <definedName name="__gal2">#REF!</definedName>
    <definedName name="__gal75">#REF!</definedName>
    <definedName name="__GC1">[30]PLAGCoct03!$K$29:$T$29,[30]PLAGCoct03!#REF!,[30]PLAGCoct03!#REF!,[30]PLAGCoct03!#REF!,[30]PLAGCoct03!#REF!,[30]PLAGCoct03!#REF!,[30]PLAGCoct03!#REF!,[30]PLAGCoct03!#REF!</definedName>
    <definedName name="__GC2">[30]PLAGCoct03!#REF!,[30]PLAGCoct03!#REF!,[30]PLAGCoct03!#REF!,[30]PLAGCoct03!#REF!,[30]PLAGCoct03!#REF!,[30]PLAGCoct03!#REF!,[30]PLAGCoct03!#REF!,[30]PLAGCoct03!#REF!</definedName>
    <definedName name="__GC3">[30]PLAGCoct03!#REF!,[30]PLAGCoct03!#REF!,[30]PLAGCoct03!#REF!,[30]PLAGCoct03!#REF!,[30]PLAGCoct03!#REF!,[30]PLAGCoct03!#REF!,[30]PLAGCoct03!#REF!,[30]PLAGCoct03!#REF!,[30]PLAGCoct03!#REF!,[30]PLAGCoct03!#REF!,[30]PLAGCoct03!#REF!,[30]PLAGCoct03!#REF!</definedName>
    <definedName name="__GIS1">'[31]DATA-1'!#REF!</definedName>
    <definedName name="__GIS6">'[31]DATA-1'!#REF!</definedName>
    <definedName name="__HE02">#REF!</definedName>
    <definedName name="__HE06">#REF!</definedName>
    <definedName name="__HE07">#REF!</definedName>
    <definedName name="__HE08">#REF!</definedName>
    <definedName name="__HE09">#REF!</definedName>
    <definedName name="__HE1">#REF!</definedName>
    <definedName name="__HE11">#REF!</definedName>
    <definedName name="__HE2">#REF!</definedName>
    <definedName name="__HE21">#REF!</definedName>
    <definedName name="__HE3">#REF!</definedName>
    <definedName name="__HE4">#REF!</definedName>
    <definedName name="__HE5">#REF!</definedName>
    <definedName name="__HE61">#REF!</definedName>
    <definedName name="__HE71">#REF!</definedName>
    <definedName name="__HE81">#REF!</definedName>
    <definedName name="__HE91">#REF!</definedName>
    <definedName name="__HM1">#REF!</definedName>
    <definedName name="__HM10">#REF!</definedName>
    <definedName name="__HM11">#REF!</definedName>
    <definedName name="__HM12">#REF!</definedName>
    <definedName name="__HM2">#REF!</definedName>
    <definedName name="__HM3">#REF!</definedName>
    <definedName name="__HM4">#REF!</definedName>
    <definedName name="__HM5">#REF!</definedName>
    <definedName name="__HM6">#REF!</definedName>
    <definedName name="__HM7">#REF!</definedName>
    <definedName name="__HM8">#REF!</definedName>
    <definedName name="__HM9">#REF!</definedName>
    <definedName name="__HP2">#REF!</definedName>
    <definedName name="__HV1">#REF!</definedName>
    <definedName name="__ins251">#REF!</definedName>
    <definedName name="__ins252">#REF!</definedName>
    <definedName name="__ins253">#REF!</definedName>
    <definedName name="__ins254">#REF!</definedName>
    <definedName name="__ins255">#REF!</definedName>
    <definedName name="__ins2550">#REF!</definedName>
    <definedName name="__ins256">#REF!</definedName>
    <definedName name="__ins2560">#REF!</definedName>
    <definedName name="__ins401">#REF!</definedName>
    <definedName name="__ins4010">#REF!</definedName>
    <definedName name="__ins402">#REF!</definedName>
    <definedName name="__ins403">#REF!</definedName>
    <definedName name="__ins404">#REF!</definedName>
    <definedName name="__ins405">#REF!</definedName>
    <definedName name="__ins406">#REF!</definedName>
    <definedName name="__ins408">#REF!</definedName>
    <definedName name="__ins501">#REF!</definedName>
    <definedName name="__ins5010">#REF!</definedName>
    <definedName name="__ins5012">#REF!</definedName>
    <definedName name="__ins502">#REF!</definedName>
    <definedName name="__ins503">#REF!</definedName>
    <definedName name="__ins504">#REF!</definedName>
    <definedName name="__ins505">#REF!</definedName>
    <definedName name="__ins506">#REF!</definedName>
    <definedName name="__ins508">#REF!</definedName>
    <definedName name="__IntlFixup" hidden="1">TRUE</definedName>
    <definedName name="__is5" hidden="1">{#N/A,#N/A,FALSE,"inctrnd99"}</definedName>
    <definedName name="__kEY2" hidden="1">#REF!</definedName>
    <definedName name="__LF6">'[31]DATA-1'!#REF!</definedName>
    <definedName name="__mar16">#REF!</definedName>
    <definedName name="__mar20">#REF!</definedName>
    <definedName name="__mar25">#REF!</definedName>
    <definedName name="__mar32">#REF!</definedName>
    <definedName name="__mar40">#REF!</definedName>
    <definedName name="__mar50">#REF!</definedName>
    <definedName name="__MB1">#REF!</definedName>
    <definedName name="__MES10">#REF!</definedName>
    <definedName name="__MES11">#REF!</definedName>
    <definedName name="__MES14">#REF!</definedName>
    <definedName name="__MES15">#REF!</definedName>
    <definedName name="__MES20">#REF!</definedName>
    <definedName name="__MES21">#REF!</definedName>
    <definedName name="__MES24">#REF!</definedName>
    <definedName name="__MES25">#REF!</definedName>
    <definedName name="__MES40">#REF!</definedName>
    <definedName name="__MES41">#REF!</definedName>
    <definedName name="__MES42">#REF!</definedName>
    <definedName name="__MES43">#REF!</definedName>
    <definedName name="__MES44">#REF!</definedName>
    <definedName name="__MES45">#REF!</definedName>
    <definedName name="__MES5">#REF!</definedName>
    <definedName name="__MES50">#REF!</definedName>
    <definedName name="__MES51">#REF!</definedName>
    <definedName name="__MES52">#REF!</definedName>
    <definedName name="__MES53">#REF!</definedName>
    <definedName name="__MES6">#REF!</definedName>
    <definedName name="__MES62">#REF!</definedName>
    <definedName name="__MES70">#REF!</definedName>
    <definedName name="__MES71">#REF!</definedName>
    <definedName name="__MET2">[28]DATA!$R$41</definedName>
    <definedName name="__MET6">[28]DATA!$R$42</definedName>
    <definedName name="__mit2">#REF!</definedName>
    <definedName name="__mit75">#REF!</definedName>
    <definedName name="__NN1">#N/A</definedName>
    <definedName name="__NN2">#N/A</definedName>
    <definedName name="__NWT2">[16]川崎HRSG!#REF!</definedName>
    <definedName name="__NXL2">#REF!</definedName>
    <definedName name="__OH1">#REF!</definedName>
    <definedName name="__OH2">#REF!</definedName>
    <definedName name="__OP1">[29]DATA!$R$23</definedName>
    <definedName name="__out1">[11]BOQ!#REF!</definedName>
    <definedName name="__out2">[11]BOQ!#REF!</definedName>
    <definedName name="__out3">[11]BOQ!#REF!</definedName>
    <definedName name="__out4">[11]BOQ!#REF!</definedName>
    <definedName name="__PAG1">#REF!</definedName>
    <definedName name="__pag1000">#REF!</definedName>
    <definedName name="__PAG2">#REF!</definedName>
    <definedName name="__PAG3">#REF!</definedName>
    <definedName name="__PAG31">#REF!</definedName>
    <definedName name="__PAG4">#REF!</definedName>
    <definedName name="__PAG5">#REF!</definedName>
    <definedName name="__PAG51">#REF!</definedName>
    <definedName name="__PAG52">#REF!</definedName>
    <definedName name="__PLC2">[28]DATA!#REF!</definedName>
    <definedName name="__PP54">'[32]TABLA PRESUPUESTOS'!#REF!</definedName>
    <definedName name="__PR1">#N/A</definedName>
    <definedName name="__PR1001">'[33]CUADRO DE PRECIOS'!$D$844</definedName>
    <definedName name="__pr101">'[34]-0.5 TABLA PRESUPUESTOS'!$E$6</definedName>
    <definedName name="__pr102">'[34]-0.5 TABLA PRESUPUESTOS'!$E$7</definedName>
    <definedName name="__pr103">'[34]-0.5 TABLA PRESUPUESTOS'!$E$8</definedName>
    <definedName name="__PR105">'[33]CUADRO DE PRECIOS'!$D$13</definedName>
    <definedName name="__PR106">'[33]CUADRO DE PRECIOS'!$D$15</definedName>
    <definedName name="__PR107">'[33]CUADRO DE PRECIOS'!$D$17</definedName>
    <definedName name="__PR108">'[33]CUADRO DE PRECIOS'!$D$19</definedName>
    <definedName name="__PR109">'[33]CUADRO DE PRECIOS'!$D$21</definedName>
    <definedName name="__PR110">'[33]CUADRO DE PRECIOS'!$D$23</definedName>
    <definedName name="__PR111">'[33]CUADRO DE PRECIOS'!$D$25</definedName>
    <definedName name="__PR119">'[33]CUADRO DE PRECIOS'!$D$41</definedName>
    <definedName name="__pr120">'[34]-0.5 TABLA PRESUPUESTOS'!$E$25</definedName>
    <definedName name="__PR1201">'[33]CUADRO DE PRECIOS'!$D$877</definedName>
    <definedName name="__PR1210">'[33]CUADRO DE PRECIOS'!$D$895</definedName>
    <definedName name="__PR122">'[33]CUADRO DE PRECIOS'!$D$47</definedName>
    <definedName name="__PR129">'[33]CUADRO DE PRECIOS'!$D$61</definedName>
    <definedName name="__PR130">'[33]CUADRO DE PRECIOS'!$D$63</definedName>
    <definedName name="__PR1301">'[33]CUADRO DE PRECIOS'!$D$909</definedName>
    <definedName name="__PR1302">'[33]CUADRO DE PRECIOS'!$D$911</definedName>
    <definedName name="__PR1304">'[33]CUADRO DE PRECIOS'!$D$915</definedName>
    <definedName name="__PR1305">'[33]CUADRO DE PRECIOS'!$D$917</definedName>
    <definedName name="__PR1307">'[33]CUADRO DE PRECIOS'!$D$922</definedName>
    <definedName name="__PR1310">'[33]CUADRO DE PRECIOS'!$D$928</definedName>
    <definedName name="__PR1311">'[33]CUADRO DE PRECIOS'!$D$930</definedName>
    <definedName name="__PR1404">'[33]CUADRO DE PRECIOS'!$D$983</definedName>
    <definedName name="__PR1405">'[33]CUADRO DE PRECIOS'!$D$985</definedName>
    <definedName name="__PR1406">'[33]CUADRO DE PRECIOS'!$D$987</definedName>
    <definedName name="__PR1419">'[33]CUADRO DE PRECIOS'!$D$1019</definedName>
    <definedName name="__PR1420">'[33]CUADRO DE PRECIOS'!$D$1021</definedName>
    <definedName name="__PR1424">'[33]CUADRO DE PRECIOS'!$D$1029</definedName>
    <definedName name="__PR1425">'[33]CUADRO DE PRECIOS'!$D$1031</definedName>
    <definedName name="__PR1427">'[33]CUADRO DE PRECIOS'!$D$1035</definedName>
    <definedName name="__pr1431">'[34]-0.5 TABLA PRESUPUESTOS'!$E$460</definedName>
    <definedName name="__pr1432">'[34]-0.5 TABLA PRESUPUESTOS'!$E$461</definedName>
    <definedName name="__pr1435">'[34]-0.5 TABLA PRESUPUESTOS'!$E$464</definedName>
    <definedName name="__PR1437">'[33]CUADRO DE PRECIOS'!$D$1059</definedName>
    <definedName name="__pr1438">'[34]-0.5 TABLA PRESUPUESTOS'!$E$467</definedName>
    <definedName name="__pr1439">'[34]-0.5 TABLA PRESUPUESTOS'!$E$468</definedName>
    <definedName name="__pr1440">'[34]-0.5 TABLA PRESUPUESTOS'!$E$469</definedName>
    <definedName name="__pr1441">'[34]-0.5 TABLA PRESUPUESTOS'!$E$470</definedName>
    <definedName name="__PR1455">'[33]CUADRO DE PRECIOS'!$D$1098</definedName>
    <definedName name="__PR1456">'[33]CUADRO DE PRECIOS'!$D$1100</definedName>
    <definedName name="__PR2">#N/A</definedName>
    <definedName name="__PR201">'[33]CUADRO DE PRECIOS'!$D$104</definedName>
    <definedName name="__PR202">'[33]CUADRO DE PRECIOS'!$D$106</definedName>
    <definedName name="__PR203">'[33]CUADRO DE PRECIOS'!$D$108</definedName>
    <definedName name="__PR204">'[33]CUADRO DE PRECIOS'!$D$110</definedName>
    <definedName name="__PR205">'[33]CUADRO DE PRECIOS'!$D$112</definedName>
    <definedName name="__PR206">'[33]CUADRO DE PRECIOS'!$D$114</definedName>
    <definedName name="__PR207">'[33]CUADRO DE PRECIOS'!$D$116</definedName>
    <definedName name="__PR208">'[33]CUADRO DE PRECIOS'!$D$118</definedName>
    <definedName name="__PR209">'[33]CUADRO DE PRECIOS'!$D$120</definedName>
    <definedName name="__PR212">'[33]CUADRO DE PRECIOS'!$D$126</definedName>
    <definedName name="__PR213">'[33]CUADRO DE PRECIOS'!$D$128</definedName>
    <definedName name="__PR215">'[33]CUADRO DE PRECIOS'!$D$132</definedName>
    <definedName name="__PR216">'[33]CUADRO DE PRECIOS'!$D$134</definedName>
    <definedName name="__PR223">'[33]CUADRO DE PRECIOS'!$D$148</definedName>
    <definedName name="__PR301">'[33]CUADRO DE PRECIOS'!$D$161</definedName>
    <definedName name="__PR302">'[33]CUADRO DE PRECIOS'!$D$163</definedName>
    <definedName name="__PR303">'[33]CUADRO DE PRECIOS'!$D$165</definedName>
    <definedName name="__PR304">'[33]CUADRO DE PRECIOS'!$D$167</definedName>
    <definedName name="__PR305">'[33]CUADRO DE PRECIOS'!$D$169</definedName>
    <definedName name="__PR306">'[33]CUADRO DE PRECIOS'!$D$171</definedName>
    <definedName name="__PR308">'[33]CUADRO DE PRECIOS'!$D$175</definedName>
    <definedName name="__PR401">'[33]CUADRO DE PRECIOS'!$D$195</definedName>
    <definedName name="__PR402">'[33]CUADRO DE PRECIOS'!$D$197</definedName>
    <definedName name="__PR403">'[33]CUADRO DE PRECIOS'!$D$199</definedName>
    <definedName name="__PR404">'[33]CUADRO DE PRECIOS'!$D$201</definedName>
    <definedName name="__PR406">'[33]CUADRO DE PRECIOS'!$D$207</definedName>
    <definedName name="__PR407">'[33]CUADRO DE PRECIOS'!$D$209</definedName>
    <definedName name="__PR408">'[33]CUADRO DE PRECIOS'!$D$211</definedName>
    <definedName name="__PR409">'[33]CUADRO DE PRECIOS'!$D$213</definedName>
    <definedName name="__PR410">'[33]CUADRO DE PRECIOS'!$D$215</definedName>
    <definedName name="__PR411">'[33]CUADRO DE PRECIOS'!$D$217</definedName>
    <definedName name="__PR412">'[33]CUADRO DE PRECIOS'!$D$219</definedName>
    <definedName name="__PR413">'[33]CUADRO DE PRECIOS'!$D$221</definedName>
    <definedName name="__PR415">'[33]CUADRO DE PRECIOS'!$D$227</definedName>
    <definedName name="__PR416">'[33]CUADRO DE PRECIOS'!$D$229</definedName>
    <definedName name="__PR417">'[33]CUADRO DE PRECIOS'!$D$231</definedName>
    <definedName name="__PR418">'[33]CUADRO DE PRECIOS'!$D$233</definedName>
    <definedName name="__PR420">'[33]CUADRO DE PRECIOS'!$D$237</definedName>
    <definedName name="__PR421">'[33]CUADRO DE PRECIOS'!$D$239</definedName>
    <definedName name="__PR424">'[33]CUADRO DE PRECIOS'!$D$245</definedName>
    <definedName name="__PR426">'[33]CUADRO DE PRECIOS'!$D$251</definedName>
    <definedName name="__PR428">'[33]CUADRO DE PRECIOS'!$D$255</definedName>
    <definedName name="__PR430">'[33]CUADRO DE PRECIOS'!$D$259</definedName>
    <definedName name="__PR431">'[33]CUADRO DE PRECIOS'!$D$261</definedName>
    <definedName name="__PR449">'[33]CUADRO DE PRECIOS'!$D$297</definedName>
    <definedName name="__pr452">'[34]-0.5 TABLA PRESUPUESTOS'!$E$153</definedName>
    <definedName name="__PR470">'[33]CUADRO DE PRECIOS'!$D$342</definedName>
    <definedName name="__PR501">'[33]CUADRO DE PRECIOS'!$D$347</definedName>
    <definedName name="__PR502">'[33]CUADRO DE PRECIOS'!$D$350</definedName>
    <definedName name="__PR506">'[33]CUADRO DE PRECIOS'!$D$358</definedName>
    <definedName name="__PR508">'[33]CUADRO DE PRECIOS'!$D$362</definedName>
    <definedName name="__PR510">'[33]CUADRO DE PRECIOS'!$D$366</definedName>
    <definedName name="__PR514">'[33]CUADRO DE PRECIOS'!$D$376</definedName>
    <definedName name="__PR515">'[33]CUADRO DE PRECIOS'!$D$378</definedName>
    <definedName name="__PR518">'[33]CUADRO DE PRECIOS'!$D$384</definedName>
    <definedName name="__PR523">'[33]CUADRO DE PRECIOS'!$D$394</definedName>
    <definedName name="__PR527">'[33]CUADRO DE PRECIOS'!$D$402</definedName>
    <definedName name="__PR530">'[33]CUADRO DE PRECIOS'!$D$408</definedName>
    <definedName name="__PR532">'[33]CUADRO DE PRECIOS'!$D$414</definedName>
    <definedName name="__PR542">'[33]CUADRO DE PRECIOS'!$D$436</definedName>
    <definedName name="__PR544">'[33]CUADRO DE PRECIOS'!$D$440</definedName>
    <definedName name="__PR545">'[33]CUADRO DE PRECIOS'!$D$442</definedName>
    <definedName name="__pr548">'[34]-0.5 TABLA PRESUPUESTOS'!$E$213</definedName>
    <definedName name="__PR601">'[33]CUADRO DE PRECIOS'!$D$457</definedName>
    <definedName name="__PR602">'[33]CUADRO DE PRECIOS'!$D$460</definedName>
    <definedName name="__PR603">'[33]CUADRO DE PRECIOS'!$D$462</definedName>
    <definedName name="__PR605">'[33]CUADRO DE PRECIOS'!$D$466</definedName>
    <definedName name="__PR606">'[33]CUADRO DE PRECIOS'!$D$468</definedName>
    <definedName name="__PR701">'[33]CUADRO DE PRECIOS'!$D$481</definedName>
    <definedName name="__PR703">'[33]CUADRO DE PRECIOS'!$D$487</definedName>
    <definedName name="__PR708">'[33]CUADRO DE PRECIOS'!$D$497</definedName>
    <definedName name="__PR709">'[33]CUADRO DE PRECIOS'!$D$499</definedName>
    <definedName name="__PR710">'[33]CUADRO DE PRECIOS'!$D$504</definedName>
    <definedName name="__PR715">'[33]CUADRO DE PRECIOS'!$D$514</definedName>
    <definedName name="__PR716">'[33]CUADRO DE PRECIOS'!$D$516</definedName>
    <definedName name="__PR717">'[33]CUADRO DE PRECIOS'!$D$518</definedName>
    <definedName name="__PR721">'[33]CUADRO DE PRECIOS'!$D$530</definedName>
    <definedName name="__PR722">'[33]CUADRO DE PRECIOS'!$D$532</definedName>
    <definedName name="__PR724">'[33]CUADRO DE PRECIOS'!$D$536</definedName>
    <definedName name="__PR728">'[33]CUADRO DE PRECIOS'!$D$544</definedName>
    <definedName name="__PR729">'[33]CUADRO DE PRECIOS'!$D$546</definedName>
    <definedName name="__PR801">'[33]CUADRO DE PRECIOS'!$D$563</definedName>
    <definedName name="__PR802">'[33]CUADRO DE PRECIOS'!$D$565</definedName>
    <definedName name="__PR803">'[33]CUADRO DE PRECIOS'!$D$567</definedName>
    <definedName name="__PR804">'[33]CUADRO DE PRECIOS'!$D$569</definedName>
    <definedName name="__PR805">'[33]CUADRO DE PRECIOS'!$D$571</definedName>
    <definedName name="__PR806">'[33]CUADRO DE PRECIOS'!$D$573</definedName>
    <definedName name="__PR807">'[33]CUADRO DE PRECIOS'!$D$575</definedName>
    <definedName name="__PR808">'[33]CUADRO DE PRECIOS'!$D$577</definedName>
    <definedName name="__PR809">'[33]CUADRO DE PRECIOS'!$D$581</definedName>
    <definedName name="__PR810">'[33]CUADRO DE PRECIOS'!$D$583</definedName>
    <definedName name="__PR811">'[33]CUADRO DE PRECIOS'!$D$585</definedName>
    <definedName name="__PR812">'[33]CUADRO DE PRECIOS'!$D$587</definedName>
    <definedName name="__PR813">'[33]CUADRO DE PRECIOS'!$D$589</definedName>
    <definedName name="__PR814">'[33]CUADRO DE PRECIOS'!$D$591</definedName>
    <definedName name="__PR815">'[33]CUADRO DE PRECIOS'!$D$593</definedName>
    <definedName name="__PR818">'[33]CUADRO DE PRECIOS'!$D$599</definedName>
    <definedName name="__PR819">'[33]CUADRO DE PRECIOS'!$D$601</definedName>
    <definedName name="__PR820">'[33]CUADRO DE PRECIOS'!$D$606</definedName>
    <definedName name="__PR821">'[33]CUADRO DE PRECIOS'!$D$608</definedName>
    <definedName name="__PR822">'[33]CUADRO DE PRECIOS'!$D$610</definedName>
    <definedName name="__PR824">'[33]CUADRO DE PRECIOS'!$D$614</definedName>
    <definedName name="__PR826">'[33]CUADRO DE PRECIOS'!$D$621</definedName>
    <definedName name="__PR827">'[33]CUADRO DE PRECIOS'!$D$623</definedName>
    <definedName name="__PR828">'[33]CUADRO DE PRECIOS'!$D$625</definedName>
    <definedName name="__PR829">'[33]CUADRO DE PRECIOS'!$D$627</definedName>
    <definedName name="__PR830">'[33]CUADRO DE PRECIOS'!$D$629</definedName>
    <definedName name="__PR833">'[33]CUADRO DE PRECIOS'!$D$635</definedName>
    <definedName name="__PR836">'[33]CUADRO DE PRECIOS'!$D$641</definedName>
    <definedName name="__PR838">'[33]CUADRO DE PRECIOS'!$D$645</definedName>
    <definedName name="__PR839">'[33]CUADRO DE PRECIOS'!$D$647</definedName>
    <definedName name="__PR840">'[33]CUADRO DE PRECIOS'!$D$649</definedName>
    <definedName name="__PR841">'[33]CUADRO DE PRECIOS'!$D$651</definedName>
    <definedName name="__PR842">'[33]CUADRO DE PRECIOS'!$D$653</definedName>
    <definedName name="__PR851">'[33]CUADRO DE PRECIOS'!$D$671</definedName>
    <definedName name="__PR852">'[33]CUADRO DE PRECIOS'!$D$673</definedName>
    <definedName name="__PR859">'[33]CUADRO DE PRECIOS'!$D$687</definedName>
    <definedName name="__PR860">'[33]CUADRO DE PRECIOS'!$D$689</definedName>
    <definedName name="__PR861">'[33]CUADRO DE PRECIOS'!$D$691</definedName>
    <definedName name="__PR864">'[33]CUADRO DE PRECIOS'!$D$697</definedName>
    <definedName name="__PR868">'[33]CUADRO DE PRECIOS'!$D$706</definedName>
    <definedName name="__PR869">'[33]CUADRO DE PRECIOS'!$D$708</definedName>
    <definedName name="__PR870">'[33]CUADRO DE PRECIOS'!$D$710</definedName>
    <definedName name="__PR871">'[33]CUADRO DE PRECIOS'!$D$712</definedName>
    <definedName name="__PR873">'[33]CUADRO DE PRECIOS'!$D$716</definedName>
    <definedName name="__PR875">'[33]CUADRO DE PRECIOS'!$D$720</definedName>
    <definedName name="__PR879">'[33]CUADRO DE PRECIOS'!$D$729</definedName>
    <definedName name="__PR881">'[33]CUADRO DE PRECIOS'!$D$733</definedName>
    <definedName name="__PR901">'[33]CUADRO DE PRECIOS'!$D$739</definedName>
    <definedName name="__PR903">'[33]CUADRO DE PRECIOS'!$D$743</definedName>
    <definedName name="__PR905">'[33]CUADRO DE PRECIOS'!$D$750</definedName>
    <definedName name="__PR908">'[33]CUADRO DE PRECIOS'!$D$756</definedName>
    <definedName name="__PR909">'[33]CUADRO DE PRECIOS'!$D$758</definedName>
    <definedName name="__PR910">'[33]CUADRO DE PRECIOS'!$D$760</definedName>
    <definedName name="__PR911">'[33]CUADRO DE PRECIOS'!$D$762</definedName>
    <definedName name="__PR912">'[33]CUADRO DE PRECIOS'!$D$764</definedName>
    <definedName name="__PR913">'[33]CUADRO DE PRECIOS'!$D$766</definedName>
    <definedName name="__PR914">'[33]CUADRO DE PRECIOS'!$D$770</definedName>
    <definedName name="__PR915">'[33]CUADRO DE PRECIOS'!$D$772</definedName>
    <definedName name="__PR916">'[33]CUADRO DE PRECIOS'!$D$774</definedName>
    <definedName name="__PR917">'[33]CUADRO DE PRECIOS'!$D$776</definedName>
    <definedName name="__PR919">'[33]CUADRO DE PRECIOS'!$D$780</definedName>
    <definedName name="__PR920">'[33]CUADRO DE PRECIOS'!$D$782</definedName>
    <definedName name="__PR921">'[33]CUADRO DE PRECIOS'!$D$784</definedName>
    <definedName name="__PR923">'[33]CUADRO DE PRECIOS'!$D$791</definedName>
    <definedName name="__PR926">'[33]CUADRO DE PRECIOS'!$D$797</definedName>
    <definedName name="__PR927">'[33]CUADRO DE PRECIOS'!$D$799</definedName>
    <definedName name="__PR929">'[33]CUADRO DE PRECIOS'!$D$803</definedName>
    <definedName name="__PR935">'[33]CUADRO DE PRECIOS'!$D$817</definedName>
    <definedName name="__PR937">'[33]CUADRO DE PRECIOS'!$D$821</definedName>
    <definedName name="__PR943">'[33]CUADRO DE PRECIOS'!$D$833</definedName>
    <definedName name="__PR946">'[33]CUADRO DE PRECIOS'!$D$839</definedName>
    <definedName name="__ps1">#REF!</definedName>
    <definedName name="__ps3">#REF!</definedName>
    <definedName name="__PU1000">#REF!</definedName>
    <definedName name="__PU10000">#REF!</definedName>
    <definedName name="__PU10001">#REF!</definedName>
    <definedName name="__PU10002">#REF!</definedName>
    <definedName name="__PU10003">#REF!</definedName>
    <definedName name="__PU10004">#REF!</definedName>
    <definedName name="__PU10005">#REF!</definedName>
    <definedName name="__PU1001">#REF!</definedName>
    <definedName name="__PU1002">#REF!</definedName>
    <definedName name="__PU1003">#REF!</definedName>
    <definedName name="__PU1004">#REF!</definedName>
    <definedName name="__PU1005">#REF!</definedName>
    <definedName name="__PU1006">#REF!</definedName>
    <definedName name="__PU1007">#REF!</definedName>
    <definedName name="__PU1008">#REF!</definedName>
    <definedName name="__PU1009">#REF!</definedName>
    <definedName name="__PU10125">#REF!</definedName>
    <definedName name="__PU1125">#REF!</definedName>
    <definedName name="__pu15000">[17]PRECIOS!$D$64</definedName>
    <definedName name="__PU2000">#REF!</definedName>
    <definedName name="__PU2001">#REF!</definedName>
    <definedName name="__PU2002">#REF!</definedName>
    <definedName name="__PU2003">#REF!</definedName>
    <definedName name="__PU2004">#REF!</definedName>
    <definedName name="__PU2005">#REF!</definedName>
    <definedName name="__PU2006">#REF!</definedName>
    <definedName name="__PU2007">#REF!</definedName>
    <definedName name="__PU2008">#REF!</definedName>
    <definedName name="__PU3000">#REF!</definedName>
    <definedName name="__PU3001">#REF!</definedName>
    <definedName name="__PU3002">#REF!</definedName>
    <definedName name="__PU3003">#REF!</definedName>
    <definedName name="__PU3004">#REF!</definedName>
    <definedName name="__PU3005">#REF!</definedName>
    <definedName name="__PU3006">#REF!</definedName>
    <definedName name="__PU3007">#REF!</definedName>
    <definedName name="__PU3008">#REF!</definedName>
    <definedName name="__PU3009">#REF!</definedName>
    <definedName name="__PU3010">#REF!</definedName>
    <definedName name="__PU3011">#REF!</definedName>
    <definedName name="__PU3012">#REF!</definedName>
    <definedName name="__PU3013">#REF!</definedName>
    <definedName name="__PU3014">#REF!</definedName>
    <definedName name="__PU3015">#REF!</definedName>
    <definedName name="__PU3016">#REF!</definedName>
    <definedName name="__PU3017">#REF!</definedName>
    <definedName name="__PU3018">#REF!</definedName>
    <definedName name="__PU3019">#REF!</definedName>
    <definedName name="__PU3020">#REF!</definedName>
    <definedName name="__PU3021">#REF!</definedName>
    <definedName name="__PU3022">#REF!</definedName>
    <definedName name="__PU3023">#REF!</definedName>
    <definedName name="__PU3024">#REF!</definedName>
    <definedName name="__PU4000">#REF!</definedName>
    <definedName name="__PU4001">#REF!</definedName>
    <definedName name="__PU4002">#REF!</definedName>
    <definedName name="__PU4003">#REF!</definedName>
    <definedName name="__PU4004">#REF!</definedName>
    <definedName name="__PU4005">#REF!</definedName>
    <definedName name="__PU4006">#REF!</definedName>
    <definedName name="__PU4007">#REF!</definedName>
    <definedName name="__PU4008">#REF!</definedName>
    <definedName name="__PU4009">#REF!</definedName>
    <definedName name="__PU4010">#REF!</definedName>
    <definedName name="__PU4011">#REF!</definedName>
    <definedName name="__PU4012">#REF!</definedName>
    <definedName name="__PU4013">#REF!</definedName>
    <definedName name="__PU4014">#REF!</definedName>
    <definedName name="__PU4015">#REF!</definedName>
    <definedName name="__PU5000">#REF!</definedName>
    <definedName name="__PU5001">#REF!</definedName>
    <definedName name="__PU5002">#REF!</definedName>
    <definedName name="__PU5003">#REF!</definedName>
    <definedName name="__PU5004">#REF!</definedName>
    <definedName name="__PU5005">#REF!</definedName>
    <definedName name="__PU5006">#REF!</definedName>
    <definedName name="__PU5007">#REF!</definedName>
    <definedName name="__PU5008">#REF!</definedName>
    <definedName name="__PU5009">#REF!</definedName>
    <definedName name="__PU5010">#REF!</definedName>
    <definedName name="__PU5011">#REF!</definedName>
    <definedName name="__PU5012">#REF!</definedName>
    <definedName name="__PU5013">#REF!</definedName>
    <definedName name="__PU5014">#REF!</definedName>
    <definedName name="__PU6000">#REF!</definedName>
    <definedName name="__PU6001">#REF!</definedName>
    <definedName name="__PU6002">#REF!</definedName>
    <definedName name="__PU6003">#REF!</definedName>
    <definedName name="__PU6004">#REF!</definedName>
    <definedName name="__PU6005">#REF!</definedName>
    <definedName name="__PU6006">#REF!</definedName>
    <definedName name="__PU6007">#REF!</definedName>
    <definedName name="__PU6008">#REF!</definedName>
    <definedName name="__PU6009">#REF!</definedName>
    <definedName name="__PU6010">#REF!</definedName>
    <definedName name="__PU6011">#REF!</definedName>
    <definedName name="__PU6012">#REF!</definedName>
    <definedName name="__PU6013">#REF!</definedName>
    <definedName name="__PU6014">#REF!</definedName>
    <definedName name="__PU6015">#REF!</definedName>
    <definedName name="__PU6016">#REF!</definedName>
    <definedName name="__PU6017">#REF!</definedName>
    <definedName name="__PU6018">#REF!</definedName>
    <definedName name="__PU7000">#REF!</definedName>
    <definedName name="__PU7001">#REF!</definedName>
    <definedName name="__PU7002">#REF!</definedName>
    <definedName name="__PU7003">#REF!</definedName>
    <definedName name="__PU7004">#REF!</definedName>
    <definedName name="__PU7005">#REF!</definedName>
    <definedName name="__PU7006">#REF!</definedName>
    <definedName name="__PU7007">#REF!</definedName>
    <definedName name="__PU7008">#REF!</definedName>
    <definedName name="__PU7009">#REF!</definedName>
    <definedName name="__PU7010">#REF!</definedName>
    <definedName name="__PU7011">#REF!</definedName>
    <definedName name="__PU7012">#REF!</definedName>
    <definedName name="__PU7013">#REF!</definedName>
    <definedName name="__PU7014">#REF!</definedName>
    <definedName name="__PU7015">#REF!</definedName>
    <definedName name="__PU7016">#REF!</definedName>
    <definedName name="__PU7017">#REF!</definedName>
    <definedName name="__PU7018">#REF!</definedName>
    <definedName name="__PU7019">#REF!</definedName>
    <definedName name="__PU7020">#REF!</definedName>
    <definedName name="__PU7021">#REF!</definedName>
    <definedName name="__PU7022">#REF!</definedName>
    <definedName name="__PU7023">#REF!</definedName>
    <definedName name="__PU7024">#REF!</definedName>
    <definedName name="__PU8000">#REF!</definedName>
    <definedName name="__PU8001">#REF!</definedName>
    <definedName name="__PU8002">#REF!</definedName>
    <definedName name="__PU8003">#REF!</definedName>
    <definedName name="__PU8004">#REF!</definedName>
    <definedName name="__PU8005">#REF!</definedName>
    <definedName name="__PU8006">#REF!</definedName>
    <definedName name="__PU8007">#REF!</definedName>
    <definedName name="__PU8008">#REF!</definedName>
    <definedName name="__PU8009">#REF!</definedName>
    <definedName name="__PU8010">#REF!</definedName>
    <definedName name="__PU8011">#REF!</definedName>
    <definedName name="__PU8012">#REF!</definedName>
    <definedName name="__PU8013">#REF!</definedName>
    <definedName name="__PU8014">#REF!</definedName>
    <definedName name="__PU8015">#REF!</definedName>
    <definedName name="__PU8125">#REF!</definedName>
    <definedName name="__PU9000">#REF!</definedName>
    <definedName name="__PU9001">#REF!</definedName>
    <definedName name="__PU9002">#REF!</definedName>
    <definedName name="__PU9003">#REF!</definedName>
    <definedName name="__PU9004">#REF!</definedName>
    <definedName name="__PU9005">#REF!</definedName>
    <definedName name="__PU9006">#REF!</definedName>
    <definedName name="__PU9007">#REF!</definedName>
    <definedName name="__PU9008">#REF!</definedName>
    <definedName name="__PU9009">#REF!</definedName>
    <definedName name="__PU9010">#REF!</definedName>
    <definedName name="__PU9011">#REF!</definedName>
    <definedName name="__PU9012">#REF!</definedName>
    <definedName name="__PU9013">#REF!</definedName>
    <definedName name="__PU9014">#REF!</definedName>
    <definedName name="__PU9015">#REF!</definedName>
    <definedName name="__PU9016">#REF!</definedName>
    <definedName name="__PU9017">#REF!</definedName>
    <definedName name="__PU9018">#REF!</definedName>
    <definedName name="__PU9019">#REF!</definedName>
    <definedName name="__PU9020">#REF!</definedName>
    <definedName name="__PU9021">#REF!</definedName>
    <definedName name="__PU9022">#REF!</definedName>
    <definedName name="__PU9023">#REF!</definedName>
    <definedName name="__PU9024">#REF!</definedName>
    <definedName name="__PU9025">#REF!</definedName>
    <definedName name="__PU9026">#REF!</definedName>
    <definedName name="__PU9027">#REF!</definedName>
    <definedName name="__PU9028">#REF!</definedName>
    <definedName name="__pvc10110">#REF!</definedName>
    <definedName name="__pvc10125">#REF!</definedName>
    <definedName name="__pvc10140">#REF!</definedName>
    <definedName name="__pvc10160">#REF!</definedName>
    <definedName name="__pvc10200">#REF!</definedName>
    <definedName name="__pvc10215">#REF!</definedName>
    <definedName name="__pvc10250">#REF!</definedName>
    <definedName name="__pvc10280">#REF!</definedName>
    <definedName name="__pvc10315">#REF!</definedName>
    <definedName name="__pvc10355">#REF!</definedName>
    <definedName name="__pvc1040">#REF!</definedName>
    <definedName name="__pvc10400">#REF!</definedName>
    <definedName name="__pvc1050">#REF!</definedName>
    <definedName name="__pvc1063">#REF!</definedName>
    <definedName name="__pvc1075">#REF!</definedName>
    <definedName name="__pvc1090">#REF!</definedName>
    <definedName name="__pvc110">#REF!</definedName>
    <definedName name="__pvc125">#REF!</definedName>
    <definedName name="__pvc140">#REF!</definedName>
    <definedName name="__pvc160">#REF!</definedName>
    <definedName name="__pvc200">#REF!</definedName>
    <definedName name="__pvc225">#REF!</definedName>
    <definedName name="__pvc250">#REF!</definedName>
    <definedName name="__pvc280">#REF!</definedName>
    <definedName name="__pvc315">#REF!</definedName>
    <definedName name="__pvc355">#REF!</definedName>
    <definedName name="__pvc40">#REF!</definedName>
    <definedName name="__pvc400">#REF!</definedName>
    <definedName name="__pvc4110">#REF!</definedName>
    <definedName name="__pvc4125">#REF!</definedName>
    <definedName name="__pvc4140">#REF!</definedName>
    <definedName name="__pvc4160">#REF!</definedName>
    <definedName name="__pvc4200">#REF!</definedName>
    <definedName name="__pvc4215">#REF!</definedName>
    <definedName name="__pvc4250">#REF!</definedName>
    <definedName name="__pvc4280">#REF!</definedName>
    <definedName name="__pvc4315">#REF!</definedName>
    <definedName name="__pvc4355">#REF!</definedName>
    <definedName name="__pvc440">#REF!</definedName>
    <definedName name="__pvc4400">#REF!</definedName>
    <definedName name="__pvc450">#REF!</definedName>
    <definedName name="__pvc463">#REF!</definedName>
    <definedName name="__pvc475">#REF!</definedName>
    <definedName name="__pvc490">#REF!</definedName>
    <definedName name="__pvc50">#REF!</definedName>
    <definedName name="__pvc6110">#REF!</definedName>
    <definedName name="__pvc6125">#REF!</definedName>
    <definedName name="__pvc6140">#REF!</definedName>
    <definedName name="__pvc6160">#REF!</definedName>
    <definedName name="__pvc6200">#REF!</definedName>
    <definedName name="__pvc6215">#REF!</definedName>
    <definedName name="__pvc6250">#REF!</definedName>
    <definedName name="__pvc6280">#REF!</definedName>
    <definedName name="__pvc63">#REF!</definedName>
    <definedName name="__pvc6315">#REF!</definedName>
    <definedName name="__pvc6355">#REF!</definedName>
    <definedName name="__pvc640">#REF!</definedName>
    <definedName name="__pvc6400">#REF!</definedName>
    <definedName name="__pvc650">#REF!</definedName>
    <definedName name="__pvc663">#REF!</definedName>
    <definedName name="__pvc675">#REF!</definedName>
    <definedName name="__pvc690">#REF!</definedName>
    <definedName name="__pvc75">#REF!</definedName>
    <definedName name="__pvc90">#REF!</definedName>
    <definedName name="__Q1" hidden="1">{#N/A,#N/A,FALSE,"Ejector 1";#N/A,#N/A,FALSE,"Ejector 2"}</definedName>
    <definedName name="__Q2" hidden="1">{#N/A,#N/A,FALSE,"Ejector 1";#N/A,#N/A,FALSE,"Ejector 2"}</definedName>
    <definedName name="__Q3" hidden="1">{#N/A,#N/A,FALSE,"Ejector 1";#N/A,#N/A,FALSE,"Ejector 2"}</definedName>
    <definedName name="__Q4" hidden="1">{#N/A,#N/A,FALSE,"Ejector 1";#N/A,#N/A,FALSE,"Ejector 2"}</definedName>
    <definedName name="__R">#REF!</definedName>
    <definedName name="__RG11">[11]BOQ!#REF!</definedName>
    <definedName name="__rg45">[11]BOQ!#REF!</definedName>
    <definedName name="__RS1">#REF!</definedName>
    <definedName name="__RTK1">'[28]MAIN MATERIAL DATABASE'!$R$1:$R$65536</definedName>
    <definedName name="__RTU2">[28]DATA!#REF!</definedName>
    <definedName name="__RTU6">[28]DATA!#REF!</definedName>
    <definedName name="__SAS2">[28]DATA!$R$54</definedName>
    <definedName name="__sch401">#REF!</definedName>
    <definedName name="__sch402">#REF!</definedName>
    <definedName name="__SEL32">#REF!</definedName>
    <definedName name="__SFA1">#REF!</definedName>
    <definedName name="__SFA10">#REF!</definedName>
    <definedName name="__SFA11">#REF!</definedName>
    <definedName name="__SFA12">#REF!</definedName>
    <definedName name="__SFA13">#REF!</definedName>
    <definedName name="__SFA14">#REF!</definedName>
    <definedName name="__SFA15">#REF!</definedName>
    <definedName name="__SFA2">#REF!</definedName>
    <definedName name="__SFA20">#REF!</definedName>
    <definedName name="__SFA21">#REF!</definedName>
    <definedName name="__SFA22">#REF!</definedName>
    <definedName name="__SFA23">#REF!</definedName>
    <definedName name="__SFA24">#REF!</definedName>
    <definedName name="__SFA25">#REF!</definedName>
    <definedName name="__SFA3">#REF!</definedName>
    <definedName name="__SFA4">#REF!</definedName>
    <definedName name="__SFA5">#REF!</definedName>
    <definedName name="__SFA6">#REF!</definedName>
    <definedName name="__so1">#REF!</definedName>
    <definedName name="__so2">#REF!</definedName>
    <definedName name="__som4" hidden="1">{#N/A,#N/A,FALSE,"Ejector 1";#N/A,#N/A,FALSE,"Ejector 2"}</definedName>
    <definedName name="__SS1">#REF!</definedName>
    <definedName name="__SUP1">'[28]MAIN MATERIAL DATABASE'!$D$1:$D$65536</definedName>
    <definedName name="__sw1">#REF!</definedName>
    <definedName name="__sw2">#REF!</definedName>
    <definedName name="__tax1">#REF!</definedName>
    <definedName name="__tax2">#REF!</definedName>
    <definedName name="__tax3">#REF!</definedName>
    <definedName name="__tax4">#REF!</definedName>
    <definedName name="__tel1">[11]BOQ!#REF!</definedName>
    <definedName name="__tel2">[11]BOQ!#REF!</definedName>
    <definedName name="__tem1">#N/A</definedName>
    <definedName name="__TOT101">#REF!</definedName>
    <definedName name="__TOT102">#REF!</definedName>
    <definedName name="__TOT2">[28]DATA!$R$19</definedName>
    <definedName name="__TOT5">[28]DATA!$R$11</definedName>
    <definedName name="__TOT6">[29]DATA!$R$29</definedName>
    <definedName name="__TPP1">#REF!</definedName>
    <definedName name="__TT2">#REF!</definedName>
    <definedName name="__TUB2">#REF!</definedName>
    <definedName name="__TUB3">#REF!</definedName>
    <definedName name="__TUB4">#REF!</definedName>
    <definedName name="__W1" hidden="1">{#N/A,#N/A,FALSE,"Ejector 1";#N/A,#N/A,FALSE,"Ejector 2"}</definedName>
    <definedName name="__W2" hidden="1">{#N/A,#N/A,FALSE,"Ejector 1";#N/A,#N/A,FALSE,"Ejector 2"}</definedName>
    <definedName name="__W3" hidden="1">{#N/A,#N/A,FALSE,"Ejector 1";#N/A,#N/A,FALSE,"Ejector 2"}</definedName>
    <definedName name="__W4" hidden="1">{#N/A,#N/A,FALSE,"Ejector 1";#N/A,#N/A,FALSE,"Ejector 2"}</definedName>
    <definedName name="__W5" hidden="1">{#N/A,#N/A,FALSE,"Ejector 1";#N/A,#N/A,FALSE,"Ejector 2"}</definedName>
    <definedName name="__W6" hidden="1">{#N/A,#N/A,FALSE,"Ejector 1";#N/A,#N/A,FALSE,"Ejector 2"}</definedName>
    <definedName name="__W7" hidden="1">{#N/A,#N/A,FALSE,"Ejector 1";#N/A,#N/A,FALSE,"Ejector 2"}</definedName>
    <definedName name="__W8" hidden="1">{#N/A,#N/A,FALSE,"Ejector 1";#N/A,#N/A,FALSE,"Ejector 2"}</definedName>
    <definedName name="__wp62">'[18]6.2 Floor Finishes'!#REF!</definedName>
    <definedName name="__wre1">#REF!</definedName>
    <definedName name="__wre10">#REF!</definedName>
    <definedName name="__wre120">#REF!</definedName>
    <definedName name="__wre150">#REF!</definedName>
    <definedName name="__wre16">#REF!</definedName>
    <definedName name="__wre185">#REF!</definedName>
    <definedName name="__wre2">#REF!</definedName>
    <definedName name="__wre240">#REF!</definedName>
    <definedName name="__wre25">#REF!</definedName>
    <definedName name="__wre3">#REF!</definedName>
    <definedName name="__wre300">#REF!</definedName>
    <definedName name="__wre35">#REF!</definedName>
    <definedName name="__wre4">#REF!</definedName>
    <definedName name="__wre400">#REF!</definedName>
    <definedName name="__wre50">#REF!</definedName>
    <definedName name="__wre500">#REF!</definedName>
    <definedName name="__wre6">#REF!</definedName>
    <definedName name="__wre600">#REF!</definedName>
    <definedName name="__wre70">#REF!</definedName>
    <definedName name="__wre95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#N/A</definedName>
    <definedName name="_1_" hidden="1">[35]DESBASTE!#REF!</definedName>
    <definedName name="_1__123Graph_ACHART_1A" hidden="1">'[19]입찰내역 발주처 양식'!#REF!</definedName>
    <definedName name="_1__123Graph_Aｸﾞﾗﾌ_1" hidden="1">[36]電源計画!$H$249:$AF$249</definedName>
    <definedName name="_10">#N/A</definedName>
    <definedName name="_10__123Graph_Aｸﾞﾗﾌ_7" hidden="1">[36]電源計画!$H$182:$AF$182</definedName>
    <definedName name="_10__123Graph_EChart_1A" hidden="1">'[21]Attach 4-18'!#REF!</definedName>
    <definedName name="_10_000_gln">#REF!</definedName>
    <definedName name="_1000A01">#N/A</definedName>
    <definedName name="_11__123Graph_Aｸﾞﾗﾌ_8" hidden="1">[36]電源計画!$H$183:$AF$183</definedName>
    <definedName name="_12__123Graph_Aｸﾞﾗﾌ_9" hidden="1">[36]電源計画!$H$247:$AF$247</definedName>
    <definedName name="_12__123Graph_FChart_1A" hidden="1">'[21]Attach 4-18'!#REF!</definedName>
    <definedName name="_1200_Perm_Material">[37]PRICES!$K$52</definedName>
    <definedName name="_13__123Graph_Xｸﾞﾗﾌ_1" hidden="1">[36]電源計画!$H$195:$AF$195</definedName>
    <definedName name="_13_ページング_電話関係">#REF!</definedName>
    <definedName name="_14__123Graph_XChart_1A" hidden="1">'[21]Attach 4-18'!#REF!</definedName>
    <definedName name="_14__123Graph_Xｸﾞﾗﾌ_10" hidden="1">[36]電源計画!$H$195:$AF$195</definedName>
    <definedName name="_15__123Graph_Xｸﾞﾗﾌ_11" hidden="1">[36]電源計画!$H$195:$AF$195</definedName>
    <definedName name="_16__123Graph_Xｸﾞﾗﾌ_12" hidden="1">[36]電源計画!$H$195:$AF$195</definedName>
    <definedName name="_17__123Graph_Xｸﾞﾗﾌ_2" hidden="1">[36]電源計画!$H$4:$AF$4</definedName>
    <definedName name="_18__123Graph_Xｸﾞﾗﾌ_3" hidden="1">[36]電源計画!$H$4:$AF$4</definedName>
    <definedName name="_18_0_0" hidden="1">[35]DESBASTE!#REF!</definedName>
    <definedName name="_19__123Graph_Xｸﾞﾗﾌ_4" hidden="1">[36]電源計画!$H$4:$AF$4</definedName>
    <definedName name="_2">#N/A</definedName>
    <definedName name="_2_" hidden="1">[35]DESBASTE!#REF!</definedName>
    <definedName name="_2__123Graph_AChart_1A" hidden="1">'[21]Attach 4-18'!#REF!</definedName>
    <definedName name="_2__123Graph_Aｸﾞﾗﾌ_10" hidden="1">[36]電源計画!$H$248:$AF$248</definedName>
    <definedName name="_2__123Graph_BChart_1A" hidden="1">'[21]Attach 4-18'!#REF!</definedName>
    <definedName name="_2__123Graph_XCHART_1A" hidden="1">'[19]입찰내역 발주처 양식'!#REF!</definedName>
    <definedName name="_2_0ELECB">'[14]Z- GENERAL PRICE SUMMARY'!#REF!</definedName>
    <definedName name="_20__123Graph_Xｸﾞﾗﾌ_5" hidden="1">[36]電源計画!$H$67:$AF$67</definedName>
    <definedName name="_2000_Ind_Pers">#REF!</definedName>
    <definedName name="_21__123Graph_Xｸﾞﾗﾌ_6" hidden="1">[36]電源計画!$H$67:$AF$67</definedName>
    <definedName name="_22__123Graph_Xｸﾞﾗﾌ_7" hidden="1">[36]電源計画!$H$130:$AF$130</definedName>
    <definedName name="_23__123Graph_Xｸﾞﾗﾌ_8" hidden="1">[36]電源計画!$H$130:$AF$130</definedName>
    <definedName name="_24__123Graph_Xｸﾞﾗﾌ_9" hidden="1">[36]電源計画!$H$195:$AF$195</definedName>
    <definedName name="_3">#N/A</definedName>
    <definedName name="_3__123Graph_Aｸﾞﾗﾌ_11" hidden="1">[36]電源計画!$H$190:$AF$190</definedName>
    <definedName name="_3__123Graph_CChart_1A" hidden="1">'[21]Attach 4-18'!#REF!</definedName>
    <definedName name="_3_000_gln">#REF!</definedName>
    <definedName name="_3_0ELECB">'[38]Z- GENERAL PRICE SUMMARY'!#REF!</definedName>
    <definedName name="_3000_Mob_Demob">#REF!</definedName>
    <definedName name="_3100_Temp_Site">#REF!</definedName>
    <definedName name="_3200_Camp">#REF!</definedName>
    <definedName name="_4">#N/A</definedName>
    <definedName name="_4__123Graph_Aｸﾞﾗﾌ_12" hidden="1">[36]電源計画!$H$191:$AF$191</definedName>
    <definedName name="_4__123Graph_BChart_1A" hidden="1">'[21]Attach 4-18'!#REF!</definedName>
    <definedName name="_4__123Graph_DChart_1A" hidden="1">'[21]Attach 4-18'!#REF!</definedName>
    <definedName name="_4_000_gln">#REF!</definedName>
    <definedName name="_400_VAC">#REF!</definedName>
    <definedName name="_4000_Dir_Equip">#REF!</definedName>
    <definedName name="_4100_Construc_Equip">#REF!</definedName>
    <definedName name="_4200_Vehicles">#REF!</definedName>
    <definedName name="_4300_Small_C_Tools">#REF!</definedName>
    <definedName name="_4400_Spec_Equip">#REF!</definedName>
    <definedName name="_4500_Works">#REF!</definedName>
    <definedName name="_4600_Testing">#REF!</definedName>
    <definedName name="_4800_Scaff">#REF!</definedName>
    <definedName name="_4ELECB">'[39]#REF'!#REF!</definedName>
    <definedName name="_5">#N/A</definedName>
    <definedName name="_5__123Graph_Aｸﾞﾗﾌ_2" hidden="1">[36]電源計画!$H$250:$AF$250</definedName>
    <definedName name="_5__123Graph_EChart_1A" hidden="1">'[21]Attach 4-18'!#REF!</definedName>
    <definedName name="_5_000_gln">#REF!</definedName>
    <definedName name="_6">#N/A</definedName>
    <definedName name="_6__123Graph_Aｸﾞﾗﾌ_3" hidden="1">[36]電源計画!$H$56:$AF$56</definedName>
    <definedName name="_6__123Graph_CChart_1A" hidden="1">'[21]Attach 4-18'!#REF!</definedName>
    <definedName name="_6__123Graph_FChart_1A" hidden="1">'[21]Attach 4-18'!#REF!</definedName>
    <definedName name="_6_000_gln">#REF!</definedName>
    <definedName name="_7">#N/A</definedName>
    <definedName name="_7__123Graph_Aｸﾞﾗﾌ_4" hidden="1">[36]電源計画!$H$57:$AF$57</definedName>
    <definedName name="_7__123Graph_XChart_1A" hidden="1">'[21]Attach 4-18'!#REF!</definedName>
    <definedName name="_8">#N/A</definedName>
    <definedName name="_8__123Graph_Aｸﾞﾗﾌ_5" hidden="1">[36]電源計画!$H$120:$AF$120</definedName>
    <definedName name="_8__123Graph_DChart_1A" hidden="1">'[21]Attach 4-18'!#REF!</definedName>
    <definedName name="_8_000_gln">#REF!</definedName>
    <definedName name="_9">#N/A</definedName>
    <definedName name="_9__123Graph_Aｸﾞﾗﾌ_6" hidden="1">[36]電源計画!$H$119:$AF$119</definedName>
    <definedName name="_9연봉입력">#REF!</definedName>
    <definedName name="_A20000">#REF!</definedName>
    <definedName name="_a3">#N/A</definedName>
    <definedName name="_aa2" hidden="1">{"Datos",#N/A,TRUE,"Datos"}</definedName>
    <definedName name="_abb91">[40]chitimc!#REF!</definedName>
    <definedName name="_AEO1">'[29]MAIN MATERIAL DATABASE'!#REF!</definedName>
    <definedName name="_ALP20">#REF!</definedName>
    <definedName name="_att2">#N/A</definedName>
    <definedName name="_BBP5">[29]DATA!$R$45</definedName>
    <definedName name="_BBP6">[29]DATA!$R$47</definedName>
    <definedName name="_BIN202">#REF!</definedName>
    <definedName name="_BIN212">#REF!</definedName>
    <definedName name="_bom2">#REF!</definedName>
    <definedName name="_BUS2">[28]DATA!$R$22</definedName>
    <definedName name="_BUS5">[28]DATA!$R$14</definedName>
    <definedName name="_BUS6">[28]DATA!$R$32</definedName>
    <definedName name="_BUY1">#REF!</definedName>
    <definedName name="_buy10">#REF!</definedName>
    <definedName name="_cab10">#REF!</definedName>
    <definedName name="_cab120">#REF!</definedName>
    <definedName name="_cab150">#REF!</definedName>
    <definedName name="_cab16">#REF!</definedName>
    <definedName name="_cab185">#REF!</definedName>
    <definedName name="_cab240">#REF!</definedName>
    <definedName name="_cab25">#REF!</definedName>
    <definedName name="_cab300">#REF!</definedName>
    <definedName name="_cab3000">[7]power!#REF!</definedName>
    <definedName name="_cab35">#REF!</definedName>
    <definedName name="_cab4">#REF!</definedName>
    <definedName name="_cab50">#REF!</definedName>
    <definedName name="_cab6">#REF!</definedName>
    <definedName name="_cab70">#REF!</definedName>
    <definedName name="_cab95">#REF!</definedName>
    <definedName name="_can430">40.73</definedName>
    <definedName name="_can435">43.3</definedName>
    <definedName name="_cbr1">#REF!</definedName>
    <definedName name="_cbr2">#REF!</definedName>
    <definedName name="_cbr3">#REF!</definedName>
    <definedName name="_cbr4">#REF!</definedName>
    <definedName name="_cbr5">#REF!</definedName>
    <definedName name="_cbr6">#REF!</definedName>
    <definedName name="_cbr7">#REF!</definedName>
    <definedName name="_cbr8">#REF!</definedName>
    <definedName name="_cht14">[8]cables!#REF!</definedName>
    <definedName name="_cht15">[8]cables!#REF!</definedName>
    <definedName name="_cht16">[8]cables!#REF!</definedName>
    <definedName name="_ckt1">#REF!</definedName>
    <definedName name="_ckt10">#REF!</definedName>
    <definedName name="_ckt11">#REF!</definedName>
    <definedName name="_ckt12">#REF!</definedName>
    <definedName name="_ckt13">#REF!</definedName>
    <definedName name="_ckt14">#REF!</definedName>
    <definedName name="_ckt15">#REF!</definedName>
    <definedName name="_ckt16">#REF!</definedName>
    <definedName name="_ckt17">#REF!</definedName>
    <definedName name="_ckt2">#REF!</definedName>
    <definedName name="_ckt3">#REF!</definedName>
    <definedName name="_ckt4">#REF!</definedName>
    <definedName name="_ckt5">#REF!</definedName>
    <definedName name="_ckt6">#REF!</definedName>
    <definedName name="_ckt7">#REF!</definedName>
    <definedName name="_ckt8">#REF!</definedName>
    <definedName name="_ckt9">#REF!</definedName>
    <definedName name="_CPM2">#REF!</definedName>
    <definedName name="_CPM202">#REF!</definedName>
    <definedName name="_CW1">#REF!</definedName>
    <definedName name="_CW2">#REF!</definedName>
    <definedName name="_D">#REF!</definedName>
    <definedName name="_D___0">#REF!</definedName>
    <definedName name="_DAT1">#REF!</definedName>
    <definedName name="_DAT10">'[9]cespiti cet2 piombino (2)'!#REF!</definedName>
    <definedName name="_DAT11">'[9]cespiti cet2 piombino (2)'!#REF!</definedName>
    <definedName name="_DAT12">'[9]cespiti cet2 piombino (2)'!#REF!</definedName>
    <definedName name="_DAT13">'[9]cespiti cet2 piombino (2)'!#REF!</definedName>
    <definedName name="_DAT14">'[9]cespiti cet2 piombino (2)'!#REF!</definedName>
    <definedName name="_DAT17">'[9]cespiti cet2 piombino (2)'!#REF!</definedName>
    <definedName name="_DAT18">'[9]cespiti cet2 piombino (2)'!#REF!</definedName>
    <definedName name="_DAT19">'[9]cespiti cet2 piombino (2)'!#REF!</definedName>
    <definedName name="_DAT2">#REF!</definedName>
    <definedName name="_DAT20">'[9]cespiti cet2 piombino (2)'!#REF!</definedName>
    <definedName name="_DAT21">'[9]cespiti cet2 piombino (2)'!#REF!</definedName>
    <definedName name="_DAT22">'[9]cespiti cet2 piombino (2)'!#REF!</definedName>
    <definedName name="_DAT23">'[9]cespiti cet2 piombino (2)'!#REF!</definedName>
    <definedName name="_DAT24">'[9]cespiti cet2 piombino (2)'!#REF!</definedName>
    <definedName name="_DAT25">'[9]cespiti cet2 piombino (2)'!#REF!</definedName>
    <definedName name="_DAT26">'[9]cespiti cet2 piombino (2)'!#REF!</definedName>
    <definedName name="_DAT27">'[9]cespiti cet2 piombino (2)'!#REF!</definedName>
    <definedName name="_DAT28">'[9]cespiti cet2 piombino (2)'!#REF!</definedName>
    <definedName name="_DAT3">#REF!</definedName>
    <definedName name="_DAT4">'[9]cespiti cet2 piombino (2)'!#REF!</definedName>
    <definedName name="_DAT5">'[9]cespiti cet2 piombino (2)'!#REF!</definedName>
    <definedName name="_DAT6">'[9]cespiti cet2 piombino (2)'!#REF!</definedName>
    <definedName name="_DAT7">'[9]cespiti cet2 piombino (2)'!#REF!</definedName>
    <definedName name="_DAT8">'[9]cespiti cet2 piombino (2)'!#REF!</definedName>
    <definedName name="_DAT9">'[9]cespiti cet2 piombino (2)'!#REF!</definedName>
    <definedName name="_DbName" hidden="1">"KANL01"</definedName>
    <definedName name="_ddn400">#REF!</definedName>
    <definedName name="_ddn600">#REF!</definedName>
    <definedName name="_del1">#REF!</definedName>
    <definedName name="_del2">#REF!</definedName>
    <definedName name="_Description">#REF!</definedName>
    <definedName name="_DetailTxt">#REF!</definedName>
    <definedName name="_dgt100">'[40]dongia (2)'!#REF!</definedName>
    <definedName name="_dsw25">#REF!</definedName>
    <definedName name="_dsw32">#REF!</definedName>
    <definedName name="_dsw63">#REF!</definedName>
    <definedName name="_EES1">'[29]MAIN MATERIAL DATABASE'!$V$1:$V$65536</definedName>
    <definedName name="_EME1">#REF!</definedName>
    <definedName name="_EME2">#REF!</definedName>
    <definedName name="_ETC6">'[41]4J - (6) Non Manual'!$O$54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V1">[30]PLAGCoct03!#REF!,[30]PLAGCoct03!#REF!,[30]PLAGCoct03!#REF!,[30]PLAGCoct03!#REF!,[30]PLAGCoct03!#REF!,[30]PLAGCoct03!#REF!,[30]PLAGCoct03!#REF!</definedName>
    <definedName name="_EV2">[30]PLAGCoct03!#REF!,[30]PLAGCoct03!#REF!,[30]PLAGCoct03!#REF!,[30]PLAGCoct03!#REF!,[30]PLAGCoct03!#REF!,[30]PLAGCoct03!#REF!,[30]PLAGCoct03!#REF!</definedName>
    <definedName name="_ExportID" hidden="1">227482</definedName>
    <definedName name="_F">#REF!</definedName>
    <definedName name="_F3">#REF!</definedName>
    <definedName name="_fds2530">#REF!</definedName>
    <definedName name="_FF3">#REF!</definedName>
    <definedName name="_Fill" hidden="1">#REF!</definedName>
    <definedName name="_Fill2" hidden="1">#REF!</definedName>
    <definedName name="_Fill3" hidden="1">'[42]Cálculos hidráulicos'!#REF!</definedName>
    <definedName name="_xlnm._FilterDatabase" localSheetId="0" hidden="1">'Panel BOM'!$A$6:$CK$32</definedName>
    <definedName name="_xlnm._FilterDatabase" hidden="1">#REF!</definedName>
    <definedName name="_fix1">#REF!</definedName>
    <definedName name="_fix10">#REF!</definedName>
    <definedName name="_fix11">#REF!</definedName>
    <definedName name="_fix12">#REF!</definedName>
    <definedName name="_fix2">#REF!</definedName>
    <definedName name="_fix3">#REF!</definedName>
    <definedName name="_fix4">#REF!</definedName>
    <definedName name="_fix5">#REF!</definedName>
    <definedName name="_fix6">#REF!</definedName>
    <definedName name="_fix7">#REF!</definedName>
    <definedName name="_fix8">#REF!</definedName>
    <definedName name="_fix9">#REF!</definedName>
    <definedName name="_Foll" hidden="1">#REF!</definedName>
    <definedName name="_FOX2">[29]DATA!#REF!</definedName>
    <definedName name="_FRC1">#REF!</definedName>
    <definedName name="_gal1">#REF!</definedName>
    <definedName name="_gal2">#REF!</definedName>
    <definedName name="_gal75">#REF!</definedName>
    <definedName name="_GC1">[30]PLAGCoct03!$K$29:$T$29,[30]PLAGCoct03!#REF!,[30]PLAGCoct03!#REF!,[30]PLAGCoct03!#REF!,[30]PLAGCoct03!#REF!,[30]PLAGCoct03!#REF!,[30]PLAGCoct03!#REF!,[30]PLAGCoct03!#REF!</definedName>
    <definedName name="_GC2">[30]PLAGCoct03!#REF!,[30]PLAGCoct03!#REF!,[30]PLAGCoct03!#REF!,[30]PLAGCoct03!#REF!,[30]PLAGCoct03!#REF!,[30]PLAGCoct03!#REF!,[30]PLAGCoct03!#REF!,[30]PLAGCoct03!#REF!</definedName>
    <definedName name="_GC3">[30]PLAGCoct03!#REF!,[30]PLAGCoct03!#REF!,[30]PLAGCoct03!#REF!,[30]PLAGCoct03!#REF!,[30]PLAGCoct03!#REF!,[30]PLAGCoct03!#REF!,[30]PLAGCoct03!#REF!,[30]PLAGCoct03!#REF!,[30]PLAGCoct03!#REF!,[30]PLAGCoct03!#REF!,[30]PLAGCoct03!#REF!,[30]PLAGCoct03!#REF!</definedName>
    <definedName name="_GID1">'[40]LKVL-CK-HT-GD1'!$A$4</definedName>
    <definedName name="_GIS1">'[43]MAIN OFFER'!#REF!</definedName>
    <definedName name="_GIS6">'[43]MAIN OFFER'!#REF!</definedName>
    <definedName name="_H">#REF!</definedName>
    <definedName name="_H___0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eader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P2">#REF!</definedName>
    <definedName name="_HV1">#REF!</definedName>
    <definedName name="_Import" hidden="1">"imp_ko_002"</definedName>
    <definedName name="_ins251">#REF!</definedName>
    <definedName name="_ins252">#REF!</definedName>
    <definedName name="_ins253">#REF!</definedName>
    <definedName name="_ins254">#REF!</definedName>
    <definedName name="_ins255">#REF!</definedName>
    <definedName name="_ins2550">#REF!</definedName>
    <definedName name="_ins256">#REF!</definedName>
    <definedName name="_ins2560">#REF!</definedName>
    <definedName name="_ins401">#REF!</definedName>
    <definedName name="_ins4010">#REF!</definedName>
    <definedName name="_ins402">#REF!</definedName>
    <definedName name="_ins403">#REF!</definedName>
    <definedName name="_ins404">#REF!</definedName>
    <definedName name="_ins405">#REF!</definedName>
    <definedName name="_ins406">#REF!</definedName>
    <definedName name="_ins408">#REF!</definedName>
    <definedName name="_ins501">#REF!</definedName>
    <definedName name="_ins5010">#REF!</definedName>
    <definedName name="_ins5012">#REF!</definedName>
    <definedName name="_ins502">#REF!</definedName>
    <definedName name="_ins503">#REF!</definedName>
    <definedName name="_ins504">#REF!</definedName>
    <definedName name="_ins505">#REF!</definedName>
    <definedName name="_ins506">#REF!</definedName>
    <definedName name="_ins508">#REF!</definedName>
    <definedName name="_is5" hidden="1">{#N/A,#N/A,FALSE,"inctrnd99"}</definedName>
    <definedName name="_Key1" hidden="1">#REF!</definedName>
    <definedName name="_Key2" hidden="1">[44]PROCURE!#REF!</definedName>
    <definedName name="_kfkf" hidden="1">#REF!</definedName>
    <definedName name="_kul24">[45]Sheet1!$A$281</definedName>
    <definedName name="_kul48">[45]Sheet1!$A$287</definedName>
    <definedName name="_kup48">[45]Sheet1!$A$286</definedName>
    <definedName name="_LA1">#REF!</definedName>
    <definedName name="_LA2">#REF!</definedName>
    <definedName name="_LF6">'[43]MAIN OFFER'!#REF!</definedName>
    <definedName name="_MAC12">#REF!</definedName>
    <definedName name="_MAC46">#REF!</definedName>
    <definedName name="_mar16">#REF!</definedName>
    <definedName name="_mar20">#REF!</definedName>
    <definedName name="_mar25">#REF!</definedName>
    <definedName name="_mar32">#REF!</definedName>
    <definedName name="_mar40">#REF!</definedName>
    <definedName name="_mar50">#REF!</definedName>
    <definedName name="_MatInverse_In" hidden="1">#REF!</definedName>
    <definedName name="_MatInverse_Out" hidden="1">#REF!</definedName>
    <definedName name="_MatMult_A" hidden="1">#REF!</definedName>
    <definedName name="_MatMult_B" hidden="1">#REF!</definedName>
    <definedName name="_MB1">#REF!</definedName>
    <definedName name="_MES10">#REF!</definedName>
    <definedName name="_MES11">#REF!</definedName>
    <definedName name="_MES110">#REF!</definedName>
    <definedName name="_MES14">#REF!</definedName>
    <definedName name="_MES15">#REF!</definedName>
    <definedName name="_MES20">#REF!</definedName>
    <definedName name="_MES21">#REF!</definedName>
    <definedName name="_MES24">#REF!</definedName>
    <definedName name="_MES25">#REF!</definedName>
    <definedName name="_MES40">#REF!</definedName>
    <definedName name="_MES41">#REF!</definedName>
    <definedName name="_MES42">#REF!</definedName>
    <definedName name="_MES43">#REF!</definedName>
    <definedName name="_MES44">#REF!</definedName>
    <definedName name="_MES45">#REF!</definedName>
    <definedName name="_MES5">#REF!</definedName>
    <definedName name="_MES50">#REF!</definedName>
    <definedName name="_MES51">#REF!</definedName>
    <definedName name="_MES52">#REF!</definedName>
    <definedName name="_MES53">#REF!</definedName>
    <definedName name="_MES6">#REF!</definedName>
    <definedName name="_MES62">#REF!</definedName>
    <definedName name="_MES70">#REF!</definedName>
    <definedName name="_MES71">#REF!</definedName>
    <definedName name="_MET2">[29]DATA!$R$41</definedName>
    <definedName name="_MET6">[29]DATA!$R$42</definedName>
    <definedName name="_mit2">#REF!</definedName>
    <definedName name="_mit75">#REF!</definedName>
    <definedName name="_Modus" hidden="1">1</definedName>
    <definedName name="_MU1">[46]TRANSDUCERS!#REF!</definedName>
    <definedName name="_NCL100">#REF!</definedName>
    <definedName name="_NCL200">#REF!</definedName>
    <definedName name="_NCL250">#REF!</definedName>
    <definedName name="_NetRate">#REF!</definedName>
    <definedName name="_NetTotal">#REF!</definedName>
    <definedName name="_nin190">#REF!</definedName>
    <definedName name="_NN1">#N/A</definedName>
    <definedName name="_NN2">#N/A</definedName>
    <definedName name="_NWT2">[16]川崎HRSG!#REF!</definedName>
    <definedName name="_odc1" hidden="1">{#N/A,#N/A,FALSE,"Matrix";#N/A,#N/A,FALSE,"Executive";#N/A,#N/A,FALSE,"Summary"}</definedName>
    <definedName name="_OH1">#REF!</definedName>
    <definedName name="_OH2">#REF!</definedName>
    <definedName name="_OP1">[28]DATA!$R$23</definedName>
    <definedName name="_Order1" hidden="1">255</definedName>
    <definedName name="_Order2" hidden="1">255</definedName>
    <definedName name="_out1">[11]BOQ!#REF!</definedName>
    <definedName name="_out2">[11]BOQ!#REF!</definedName>
    <definedName name="_out3">[11]BOQ!#REF!</definedName>
    <definedName name="_out4">[11]BOQ!#REF!</definedName>
    <definedName name="_P">#REF!</definedName>
    <definedName name="_P___0">#REF!</definedName>
    <definedName name="_PAG1">#REF!</definedName>
    <definedName name="_pag1000">#REF!</definedName>
    <definedName name="_PAG2">#REF!</definedName>
    <definedName name="_PAG3">#REF!</definedName>
    <definedName name="_PAG31">#REF!</definedName>
    <definedName name="_PAG4">#REF!</definedName>
    <definedName name="_PAG5">#REF!</definedName>
    <definedName name="_PAG51">#REF!</definedName>
    <definedName name="_PAG52">#REF!</definedName>
    <definedName name="_Parse_Out" hidden="1">#REF!</definedName>
    <definedName name="_PLC2">[29]DATA!#REF!</definedName>
    <definedName name="_PP54">'[32]TABLA PRESUPUESTOS'!#REF!</definedName>
    <definedName name="_PR1">#N/A</definedName>
    <definedName name="_PR1001">'[33]CUADRO DE PRECIOS'!$D$844</definedName>
    <definedName name="_pr101">'[34]-0.5 TABLA PRESUPUESTOS'!$E$6</definedName>
    <definedName name="_pr102">'[34]-0.5 TABLA PRESUPUESTOS'!$E$7</definedName>
    <definedName name="_pr103">'[34]-0.5 TABLA PRESUPUESTOS'!$E$8</definedName>
    <definedName name="_PR105">'[33]CUADRO DE PRECIOS'!$D$13</definedName>
    <definedName name="_PR106">'[33]CUADRO DE PRECIOS'!$D$15</definedName>
    <definedName name="_PR107">'[33]CUADRO DE PRECIOS'!$D$17</definedName>
    <definedName name="_PR108">'[33]CUADRO DE PRECIOS'!$D$19</definedName>
    <definedName name="_PR109">'[33]CUADRO DE PRECIOS'!$D$21</definedName>
    <definedName name="_PR110">'[33]CUADRO DE PRECIOS'!$D$23</definedName>
    <definedName name="_PR111">'[33]CUADRO DE PRECIOS'!$D$25</definedName>
    <definedName name="_PR119">'[33]CUADRO DE PRECIOS'!$D$41</definedName>
    <definedName name="_pr120">'[34]-0.5 TABLA PRESUPUESTOS'!$E$25</definedName>
    <definedName name="_PR1201">'[33]CUADRO DE PRECIOS'!$D$877</definedName>
    <definedName name="_PR1210">'[33]CUADRO DE PRECIOS'!$D$895</definedName>
    <definedName name="_PR122">'[33]CUADRO DE PRECIOS'!$D$47</definedName>
    <definedName name="_PR129">'[33]CUADRO DE PRECIOS'!$D$61</definedName>
    <definedName name="_PR130">'[33]CUADRO DE PRECIOS'!$D$63</definedName>
    <definedName name="_PR1301">'[33]CUADRO DE PRECIOS'!$D$909</definedName>
    <definedName name="_PR1302">'[33]CUADRO DE PRECIOS'!$D$911</definedName>
    <definedName name="_PR1304">'[33]CUADRO DE PRECIOS'!$D$915</definedName>
    <definedName name="_PR1305">'[33]CUADRO DE PRECIOS'!$D$917</definedName>
    <definedName name="_PR1307">'[33]CUADRO DE PRECIOS'!$D$922</definedName>
    <definedName name="_PR1310">'[33]CUADRO DE PRECIOS'!$D$928</definedName>
    <definedName name="_PR1311">'[33]CUADRO DE PRECIOS'!$D$930</definedName>
    <definedName name="_PR1404">'[33]CUADRO DE PRECIOS'!$D$983</definedName>
    <definedName name="_PR1405">'[33]CUADRO DE PRECIOS'!$D$985</definedName>
    <definedName name="_PR1406">'[33]CUADRO DE PRECIOS'!$D$987</definedName>
    <definedName name="_PR1419">'[33]CUADRO DE PRECIOS'!$D$1019</definedName>
    <definedName name="_PR1420">'[33]CUADRO DE PRECIOS'!$D$1021</definedName>
    <definedName name="_PR1424">'[33]CUADRO DE PRECIOS'!$D$1029</definedName>
    <definedName name="_PR1425">'[33]CUADRO DE PRECIOS'!$D$1031</definedName>
    <definedName name="_PR1427">'[33]CUADRO DE PRECIOS'!$D$1035</definedName>
    <definedName name="_pr1431">'[34]-0.5 TABLA PRESUPUESTOS'!$E$460</definedName>
    <definedName name="_pr1432">'[34]-0.5 TABLA PRESUPUESTOS'!$E$461</definedName>
    <definedName name="_pr1435">'[34]-0.5 TABLA PRESUPUESTOS'!$E$464</definedName>
    <definedName name="_PR1437">'[33]CUADRO DE PRECIOS'!$D$1059</definedName>
    <definedName name="_pr1438">'[34]-0.5 TABLA PRESUPUESTOS'!$E$467</definedName>
    <definedName name="_pr1439">'[34]-0.5 TABLA PRESUPUESTOS'!$E$468</definedName>
    <definedName name="_pr1440">'[34]-0.5 TABLA PRESUPUESTOS'!$E$469</definedName>
    <definedName name="_pr1441">'[34]-0.5 TABLA PRESUPUESTOS'!$E$470</definedName>
    <definedName name="_PR1455">'[33]CUADRO DE PRECIOS'!$D$1098</definedName>
    <definedName name="_PR1456">'[33]CUADRO DE PRECIOS'!$D$1100</definedName>
    <definedName name="_PR2">#N/A</definedName>
    <definedName name="_PR201">'[33]CUADRO DE PRECIOS'!$D$104</definedName>
    <definedName name="_PR202">'[33]CUADRO DE PRECIOS'!$D$106</definedName>
    <definedName name="_PR203">'[33]CUADRO DE PRECIOS'!$D$108</definedName>
    <definedName name="_PR204">'[33]CUADRO DE PRECIOS'!$D$110</definedName>
    <definedName name="_PR205">'[33]CUADRO DE PRECIOS'!$D$112</definedName>
    <definedName name="_PR206">'[33]CUADRO DE PRECIOS'!$D$114</definedName>
    <definedName name="_PR207">'[33]CUADRO DE PRECIOS'!$D$116</definedName>
    <definedName name="_PR208">'[33]CUADRO DE PRECIOS'!$D$118</definedName>
    <definedName name="_PR209">'[33]CUADRO DE PRECIOS'!$D$120</definedName>
    <definedName name="_PR212">'[33]CUADRO DE PRECIOS'!$D$126</definedName>
    <definedName name="_PR213">'[33]CUADRO DE PRECIOS'!$D$128</definedName>
    <definedName name="_PR215">'[33]CUADRO DE PRECIOS'!$D$132</definedName>
    <definedName name="_PR216">'[33]CUADRO DE PRECIOS'!$D$134</definedName>
    <definedName name="_PR223">'[33]CUADRO DE PRECIOS'!$D$148</definedName>
    <definedName name="_PR301">'[33]CUADRO DE PRECIOS'!$D$161</definedName>
    <definedName name="_PR302">'[33]CUADRO DE PRECIOS'!$D$163</definedName>
    <definedName name="_PR303">'[33]CUADRO DE PRECIOS'!$D$165</definedName>
    <definedName name="_PR304">'[33]CUADRO DE PRECIOS'!$D$167</definedName>
    <definedName name="_PR305">'[33]CUADRO DE PRECIOS'!$D$169</definedName>
    <definedName name="_PR306">'[33]CUADRO DE PRECIOS'!$D$171</definedName>
    <definedName name="_PR308">'[33]CUADRO DE PRECIOS'!$D$175</definedName>
    <definedName name="_PR401">'[33]CUADRO DE PRECIOS'!$D$195</definedName>
    <definedName name="_PR402">'[33]CUADRO DE PRECIOS'!$D$197</definedName>
    <definedName name="_PR403">'[33]CUADRO DE PRECIOS'!$D$199</definedName>
    <definedName name="_PR404">'[33]CUADRO DE PRECIOS'!$D$201</definedName>
    <definedName name="_PR406">'[33]CUADRO DE PRECIOS'!$D$207</definedName>
    <definedName name="_PR407">'[33]CUADRO DE PRECIOS'!$D$209</definedName>
    <definedName name="_PR408">'[33]CUADRO DE PRECIOS'!$D$211</definedName>
    <definedName name="_PR409">'[33]CUADRO DE PRECIOS'!$D$213</definedName>
    <definedName name="_PR410">'[33]CUADRO DE PRECIOS'!$D$215</definedName>
    <definedName name="_PR411">'[33]CUADRO DE PRECIOS'!$D$217</definedName>
    <definedName name="_PR412">'[33]CUADRO DE PRECIOS'!$D$219</definedName>
    <definedName name="_PR413">'[33]CUADRO DE PRECIOS'!$D$221</definedName>
    <definedName name="_PR415">'[33]CUADRO DE PRECIOS'!$D$227</definedName>
    <definedName name="_PR416">'[33]CUADRO DE PRECIOS'!$D$229</definedName>
    <definedName name="_PR417">'[33]CUADRO DE PRECIOS'!$D$231</definedName>
    <definedName name="_PR418">'[33]CUADRO DE PRECIOS'!$D$233</definedName>
    <definedName name="_PR420">'[33]CUADRO DE PRECIOS'!$D$237</definedName>
    <definedName name="_PR421">'[33]CUADRO DE PRECIOS'!$D$239</definedName>
    <definedName name="_PR424">'[33]CUADRO DE PRECIOS'!$D$245</definedName>
    <definedName name="_PR426">'[33]CUADRO DE PRECIOS'!$D$251</definedName>
    <definedName name="_PR428">'[33]CUADRO DE PRECIOS'!$D$255</definedName>
    <definedName name="_PR430">'[33]CUADRO DE PRECIOS'!$D$259</definedName>
    <definedName name="_PR431">'[33]CUADRO DE PRECIOS'!$D$261</definedName>
    <definedName name="_PR449">'[33]CUADRO DE PRECIOS'!$D$297</definedName>
    <definedName name="_pr452">'[34]-0.5 TABLA PRESUPUESTOS'!$E$153</definedName>
    <definedName name="_PR470">'[33]CUADRO DE PRECIOS'!$D$342</definedName>
    <definedName name="_PR501">'[33]CUADRO DE PRECIOS'!$D$347</definedName>
    <definedName name="_PR502">'[33]CUADRO DE PRECIOS'!$D$350</definedName>
    <definedName name="_PR506">'[33]CUADRO DE PRECIOS'!$D$358</definedName>
    <definedName name="_PR508">'[33]CUADRO DE PRECIOS'!$D$362</definedName>
    <definedName name="_PR510">'[33]CUADRO DE PRECIOS'!$D$366</definedName>
    <definedName name="_PR514">'[33]CUADRO DE PRECIOS'!$D$376</definedName>
    <definedName name="_PR515">'[33]CUADRO DE PRECIOS'!$D$378</definedName>
    <definedName name="_PR518">'[33]CUADRO DE PRECIOS'!$D$384</definedName>
    <definedName name="_PR523">'[33]CUADRO DE PRECIOS'!$D$394</definedName>
    <definedName name="_PR527">'[33]CUADRO DE PRECIOS'!$D$402</definedName>
    <definedName name="_PR530">'[33]CUADRO DE PRECIOS'!$D$408</definedName>
    <definedName name="_PR532">'[33]CUADRO DE PRECIOS'!$D$414</definedName>
    <definedName name="_PR542">'[33]CUADRO DE PRECIOS'!$D$436</definedName>
    <definedName name="_PR544">'[33]CUADRO DE PRECIOS'!$D$440</definedName>
    <definedName name="_PR545">'[33]CUADRO DE PRECIOS'!$D$442</definedName>
    <definedName name="_pr548">'[34]-0.5 TABLA PRESUPUESTOS'!$E$213</definedName>
    <definedName name="_PR601">'[33]CUADRO DE PRECIOS'!$D$457</definedName>
    <definedName name="_PR602">'[33]CUADRO DE PRECIOS'!$D$460</definedName>
    <definedName name="_PR603">'[33]CUADRO DE PRECIOS'!$D$462</definedName>
    <definedName name="_PR605">'[33]CUADRO DE PRECIOS'!$D$466</definedName>
    <definedName name="_PR606">'[33]CUADRO DE PRECIOS'!$D$468</definedName>
    <definedName name="_PR701">'[33]CUADRO DE PRECIOS'!$D$481</definedName>
    <definedName name="_PR703">'[33]CUADRO DE PRECIOS'!$D$487</definedName>
    <definedName name="_PR708">'[33]CUADRO DE PRECIOS'!$D$497</definedName>
    <definedName name="_PR709">'[33]CUADRO DE PRECIOS'!$D$499</definedName>
    <definedName name="_PR710">'[33]CUADRO DE PRECIOS'!$D$504</definedName>
    <definedName name="_PR715">'[33]CUADRO DE PRECIOS'!$D$514</definedName>
    <definedName name="_PR716">'[33]CUADRO DE PRECIOS'!$D$516</definedName>
    <definedName name="_PR717">'[33]CUADRO DE PRECIOS'!$D$518</definedName>
    <definedName name="_PR721">'[33]CUADRO DE PRECIOS'!$D$530</definedName>
    <definedName name="_PR722">'[33]CUADRO DE PRECIOS'!$D$532</definedName>
    <definedName name="_PR724">'[33]CUADRO DE PRECIOS'!$D$536</definedName>
    <definedName name="_PR728">'[33]CUADRO DE PRECIOS'!$D$544</definedName>
    <definedName name="_PR729">'[33]CUADRO DE PRECIOS'!$D$546</definedName>
    <definedName name="_PR801">'[33]CUADRO DE PRECIOS'!$D$563</definedName>
    <definedName name="_PR802">'[33]CUADRO DE PRECIOS'!$D$565</definedName>
    <definedName name="_PR803">'[33]CUADRO DE PRECIOS'!$D$567</definedName>
    <definedName name="_PR804">'[33]CUADRO DE PRECIOS'!$D$569</definedName>
    <definedName name="_PR805">'[33]CUADRO DE PRECIOS'!$D$571</definedName>
    <definedName name="_PR806">'[33]CUADRO DE PRECIOS'!$D$573</definedName>
    <definedName name="_PR807">'[33]CUADRO DE PRECIOS'!$D$575</definedName>
    <definedName name="_PR808">'[33]CUADRO DE PRECIOS'!$D$577</definedName>
    <definedName name="_PR809">'[33]CUADRO DE PRECIOS'!$D$581</definedName>
    <definedName name="_PR810">'[33]CUADRO DE PRECIOS'!$D$583</definedName>
    <definedName name="_PR811">'[33]CUADRO DE PRECIOS'!$D$585</definedName>
    <definedName name="_PR812">'[33]CUADRO DE PRECIOS'!$D$587</definedName>
    <definedName name="_PR813">'[33]CUADRO DE PRECIOS'!$D$589</definedName>
    <definedName name="_PR814">'[33]CUADRO DE PRECIOS'!$D$591</definedName>
    <definedName name="_PR815">'[33]CUADRO DE PRECIOS'!$D$593</definedName>
    <definedName name="_PR818">'[33]CUADRO DE PRECIOS'!$D$599</definedName>
    <definedName name="_PR819">'[33]CUADRO DE PRECIOS'!$D$601</definedName>
    <definedName name="_PR820">'[33]CUADRO DE PRECIOS'!$D$606</definedName>
    <definedName name="_PR821">'[33]CUADRO DE PRECIOS'!$D$608</definedName>
    <definedName name="_PR822">'[33]CUADRO DE PRECIOS'!$D$610</definedName>
    <definedName name="_PR824">'[33]CUADRO DE PRECIOS'!$D$614</definedName>
    <definedName name="_PR826">'[33]CUADRO DE PRECIOS'!$D$621</definedName>
    <definedName name="_PR827">'[33]CUADRO DE PRECIOS'!$D$623</definedName>
    <definedName name="_PR828">'[33]CUADRO DE PRECIOS'!$D$625</definedName>
    <definedName name="_PR829">'[33]CUADRO DE PRECIOS'!$D$627</definedName>
    <definedName name="_PR830">'[33]CUADRO DE PRECIOS'!$D$629</definedName>
    <definedName name="_PR833">'[33]CUADRO DE PRECIOS'!$D$635</definedName>
    <definedName name="_PR836">'[33]CUADRO DE PRECIOS'!$D$641</definedName>
    <definedName name="_PR838">'[33]CUADRO DE PRECIOS'!$D$645</definedName>
    <definedName name="_PR839">'[33]CUADRO DE PRECIOS'!$D$647</definedName>
    <definedName name="_PR840">'[33]CUADRO DE PRECIOS'!$D$649</definedName>
    <definedName name="_PR841">'[33]CUADRO DE PRECIOS'!$D$651</definedName>
    <definedName name="_PR842">'[33]CUADRO DE PRECIOS'!$D$653</definedName>
    <definedName name="_PR851">'[33]CUADRO DE PRECIOS'!$D$671</definedName>
    <definedName name="_PR852">'[33]CUADRO DE PRECIOS'!$D$673</definedName>
    <definedName name="_PR859">'[33]CUADRO DE PRECIOS'!$D$687</definedName>
    <definedName name="_PR860">'[33]CUADRO DE PRECIOS'!$D$689</definedName>
    <definedName name="_PR861">'[33]CUADRO DE PRECIOS'!$D$691</definedName>
    <definedName name="_PR864">'[33]CUADRO DE PRECIOS'!$D$697</definedName>
    <definedName name="_PR868">'[33]CUADRO DE PRECIOS'!$D$706</definedName>
    <definedName name="_PR869">'[33]CUADRO DE PRECIOS'!$D$708</definedName>
    <definedName name="_PR870">'[33]CUADRO DE PRECIOS'!$D$710</definedName>
    <definedName name="_PR871">'[33]CUADRO DE PRECIOS'!$D$712</definedName>
    <definedName name="_PR873">'[33]CUADRO DE PRECIOS'!$D$716</definedName>
    <definedName name="_PR875">'[33]CUADRO DE PRECIOS'!$D$720</definedName>
    <definedName name="_PR879">'[33]CUADRO DE PRECIOS'!$D$729</definedName>
    <definedName name="_PR881">'[33]CUADRO DE PRECIOS'!$D$733</definedName>
    <definedName name="_PR901">'[33]CUADRO DE PRECIOS'!$D$739</definedName>
    <definedName name="_PR903">'[33]CUADRO DE PRECIOS'!$D$743</definedName>
    <definedName name="_PR905">'[33]CUADRO DE PRECIOS'!$D$750</definedName>
    <definedName name="_PR908">'[33]CUADRO DE PRECIOS'!$D$756</definedName>
    <definedName name="_PR909">'[33]CUADRO DE PRECIOS'!$D$758</definedName>
    <definedName name="_PR910">'[33]CUADRO DE PRECIOS'!$D$760</definedName>
    <definedName name="_PR911">'[33]CUADRO DE PRECIOS'!$D$762</definedName>
    <definedName name="_PR912">'[33]CUADRO DE PRECIOS'!$D$764</definedName>
    <definedName name="_PR913">'[33]CUADRO DE PRECIOS'!$D$766</definedName>
    <definedName name="_PR914">'[33]CUADRO DE PRECIOS'!$D$770</definedName>
    <definedName name="_PR915">'[33]CUADRO DE PRECIOS'!$D$772</definedName>
    <definedName name="_PR916">'[33]CUADRO DE PRECIOS'!$D$774</definedName>
    <definedName name="_PR917">'[33]CUADRO DE PRECIOS'!$D$776</definedName>
    <definedName name="_PR919">'[33]CUADRO DE PRECIOS'!$D$780</definedName>
    <definedName name="_PR920">'[33]CUADRO DE PRECIOS'!$D$782</definedName>
    <definedName name="_PR921">'[33]CUADRO DE PRECIOS'!$D$784</definedName>
    <definedName name="_PR923">'[33]CUADRO DE PRECIOS'!$D$791</definedName>
    <definedName name="_PR926">'[33]CUADRO DE PRECIOS'!$D$797</definedName>
    <definedName name="_PR927">'[33]CUADRO DE PRECIOS'!$D$799</definedName>
    <definedName name="_PR929">'[33]CUADRO DE PRECIOS'!$D$803</definedName>
    <definedName name="_PR935">'[33]CUADRO DE PRECIOS'!$D$817</definedName>
    <definedName name="_PR937">'[33]CUADRO DE PRECIOS'!$D$821</definedName>
    <definedName name="_PR943">'[33]CUADRO DE PRECIOS'!$D$833</definedName>
    <definedName name="_PR946">'[33]CUADRO DE PRECIOS'!$D$839</definedName>
    <definedName name="_prd11">[45]Sheet1!$A$283</definedName>
    <definedName name="_prd3">[45]Sheet1!$A$282</definedName>
    <definedName name="_Project" hidden="1">33085</definedName>
    <definedName name="_ps1">#REF!</definedName>
    <definedName name="_ps2">#REF!</definedName>
    <definedName name="_ps3">#REF!</definedName>
    <definedName name="_ps4">#REF!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[17]PRECIOS!$D$64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pvc10110">#REF!</definedName>
    <definedName name="_pvc10125">#REF!</definedName>
    <definedName name="_pvc10140">#REF!</definedName>
    <definedName name="_pvc10160">#REF!</definedName>
    <definedName name="_pvc10200">#REF!</definedName>
    <definedName name="_pvc10215">#REF!</definedName>
    <definedName name="_pvc10250">#REF!</definedName>
    <definedName name="_pvc10280">#REF!</definedName>
    <definedName name="_pvc10315">#REF!</definedName>
    <definedName name="_pvc10355">#REF!</definedName>
    <definedName name="_pvc1040">#REF!</definedName>
    <definedName name="_pvc10400">#REF!</definedName>
    <definedName name="_pvc1050">#REF!</definedName>
    <definedName name="_pvc1063">#REF!</definedName>
    <definedName name="_pvc1075">#REF!</definedName>
    <definedName name="_pvc1090">#REF!</definedName>
    <definedName name="_pvc110">#REF!</definedName>
    <definedName name="_pvc125">#REF!</definedName>
    <definedName name="_pvc140">#REF!</definedName>
    <definedName name="_pvc160">#REF!</definedName>
    <definedName name="_pvc200">#REF!</definedName>
    <definedName name="_pvc225">#REF!</definedName>
    <definedName name="_pvc250">#REF!</definedName>
    <definedName name="_pvc280">#REF!</definedName>
    <definedName name="_pvc315">#REF!</definedName>
    <definedName name="_pvc355">#REF!</definedName>
    <definedName name="_pvc40">#REF!</definedName>
    <definedName name="_pvc400">#REF!</definedName>
    <definedName name="_pvc4110">#REF!</definedName>
    <definedName name="_pvc4125">#REF!</definedName>
    <definedName name="_pvc4140">#REF!</definedName>
    <definedName name="_pvc4160">#REF!</definedName>
    <definedName name="_pvc4200">#REF!</definedName>
    <definedName name="_pvc4215">#REF!</definedName>
    <definedName name="_pvc4250">#REF!</definedName>
    <definedName name="_pvc4280">#REF!</definedName>
    <definedName name="_pvc4315">#REF!</definedName>
    <definedName name="_pvc4355">#REF!</definedName>
    <definedName name="_pvc440">#REF!</definedName>
    <definedName name="_pvc4400">#REF!</definedName>
    <definedName name="_pvc450">#REF!</definedName>
    <definedName name="_pvc463">#REF!</definedName>
    <definedName name="_pvc475">#REF!</definedName>
    <definedName name="_pvc490">#REF!</definedName>
    <definedName name="_pvc50">#REF!</definedName>
    <definedName name="_pvc6110">#REF!</definedName>
    <definedName name="_pvc6125">#REF!</definedName>
    <definedName name="_pvc6140">#REF!</definedName>
    <definedName name="_pvc6160">#REF!</definedName>
    <definedName name="_pvc6200">#REF!</definedName>
    <definedName name="_pvc6215">#REF!</definedName>
    <definedName name="_pvc6250">#REF!</definedName>
    <definedName name="_pvc6280">#REF!</definedName>
    <definedName name="_pvc63">#REF!</definedName>
    <definedName name="_pvc6315">#REF!</definedName>
    <definedName name="_pvc6355">#REF!</definedName>
    <definedName name="_pvc640">#REF!</definedName>
    <definedName name="_pvc6400">#REF!</definedName>
    <definedName name="_pvc650">#REF!</definedName>
    <definedName name="_pvc663">#REF!</definedName>
    <definedName name="_pvc675">#REF!</definedName>
    <definedName name="_pvc690">#REF!</definedName>
    <definedName name="_pvc75">#REF!</definedName>
    <definedName name="_pvc90">#REF!</definedName>
    <definedName name="_Q1" hidden="1">{#N/A,#N/A,FALSE,"Ejector 1";#N/A,#N/A,FALSE,"Ejector 2"}</definedName>
    <definedName name="_Q2" hidden="1">{#N/A,#N/A,FALSE,"Ejector 1";#N/A,#N/A,FALSE,"Ejector 2"}</definedName>
    <definedName name="_Q3" hidden="1">{#N/A,#N/A,FALSE,"Ejector 1";#N/A,#N/A,FALSE,"Ejector 2"}</definedName>
    <definedName name="_Q4" hidden="1">{#N/A,#N/A,FALSE,"Ejector 1";#N/A,#N/A,FALSE,"Ejector 2"}</definedName>
    <definedName name="_qf1">#REF!</definedName>
    <definedName name="_Quantity">#REF!</definedName>
    <definedName name="_R">#REF!</definedName>
    <definedName name="_r1">#REF!</definedName>
    <definedName name="_RED1">#REF!</definedName>
    <definedName name="_Reference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" hidden="1">#REF!</definedName>
    <definedName name="_REV1">#REF!</definedName>
    <definedName name="_Rev10">[47]Sheet2!#REF!</definedName>
    <definedName name="_Rev11">[47]Sheet2!#REF!</definedName>
    <definedName name="_REV2">#REF!</definedName>
    <definedName name="_REV3">#REF!</definedName>
    <definedName name="_Revision">#REF!</definedName>
    <definedName name="_RG11">[11]BOQ!#REF!</definedName>
    <definedName name="_rg45">[11]BOQ!#REF!</definedName>
    <definedName name="_RS1">#REF!</definedName>
    <definedName name="_RS485">#REF!</definedName>
    <definedName name="_RTK1">'[29]MAIN MATERIAL DATABASE'!$R$1:$R$65536</definedName>
    <definedName name="_RTU2">[29]DATA!#REF!</definedName>
    <definedName name="_RTU6">[29]DATA!#REF!</definedName>
    <definedName name="_S" hidden="1">[48]DESBAST!#REF!</definedName>
    <definedName name="_SAS2">[29]DATA!$R$54</definedName>
    <definedName name="_sc1">#REF!</definedName>
    <definedName name="_SC2">#REF!</definedName>
    <definedName name="_sc3">#REF!</definedName>
    <definedName name="_sch401">#REF!</definedName>
    <definedName name="_sch402">#REF!</definedName>
    <definedName name="_SEL32">#REF!</definedName>
    <definedName name="_SFA1">#REF!</definedName>
    <definedName name="_SFA10">#REF!</definedName>
    <definedName name="_SFA11">#REF!</definedName>
    <definedName name="_SFA12">#REF!</definedName>
    <definedName name="_SFA13">#REF!</definedName>
    <definedName name="_SFA14">#REF!</definedName>
    <definedName name="_SFA15">#REF!</definedName>
    <definedName name="_SFA2">#REF!</definedName>
    <definedName name="_SFA20">#REF!</definedName>
    <definedName name="_SFA21">#REF!</definedName>
    <definedName name="_SFA22">#REF!</definedName>
    <definedName name="_SFA23">#REF!</definedName>
    <definedName name="_SFA24">#REF!</definedName>
    <definedName name="_SFA25">#REF!</definedName>
    <definedName name="_SFA3">#REF!</definedName>
    <definedName name="_SFA4">#REF!</definedName>
    <definedName name="_SFA5">#REF!</definedName>
    <definedName name="_SFA6">#REF!</definedName>
    <definedName name="_SN3">#REF!</definedName>
    <definedName name="_so1">#REF!</definedName>
    <definedName name="_so2">#REF!</definedName>
    <definedName name="_som4" hidden="1">{#N/A,#N/A,FALSE,"Ejector 1";#N/A,#N/A,FALSE,"Ejector 2"}</definedName>
    <definedName name="_Sort" hidden="1">#REF!</definedName>
    <definedName name="_sort2" hidden="1">#REF!</definedName>
    <definedName name="_SS" hidden="1">[48]DESBAST!#REF!</definedName>
    <definedName name="_SS1">#REF!</definedName>
    <definedName name="_SUP1">'[29]MAIN MATERIAL DATABASE'!$D$1:$D$65536</definedName>
    <definedName name="_sw1">#REF!</definedName>
    <definedName name="_sw2">#REF!</definedName>
    <definedName name="_t" hidden="1">#REF!</definedName>
    <definedName name="_t1">#REF!</definedName>
    <definedName name="_t2">#REF!</definedName>
    <definedName name="_Table1_In1" hidden="1">[49]inter!#REF!</definedName>
    <definedName name="_Table1_Out" hidden="1">[49]inter!#REF!</definedName>
    <definedName name="_tax1">#REF!</definedName>
    <definedName name="_tax2">#REF!</definedName>
    <definedName name="_tax3">#REF!</definedName>
    <definedName name="_tax4">#REF!</definedName>
    <definedName name="_tel1">[11]BOQ!#REF!</definedName>
    <definedName name="_tel2">[11]BOQ!#REF!</definedName>
    <definedName name="_tem1">#N/A</definedName>
    <definedName name="_th100">'[50]dongia (2)'!#REF!</definedName>
    <definedName name="_TH160">'[51]dongia (2)'!#REF!</definedName>
    <definedName name="_Time">#REF!</definedName>
    <definedName name="_TimeTotal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oc485978037">#REF!</definedName>
    <definedName name="_Toc485978038">#REF!</definedName>
    <definedName name="_Toc485978039">#REF!</definedName>
    <definedName name="_TOT1">#REF!</definedName>
    <definedName name="_TOT101">#REF!</definedName>
    <definedName name="_TOT102">#REF!</definedName>
    <definedName name="_TOT2">[29]DATA!$R$19</definedName>
    <definedName name="_TOT5">[29]DATA!$R$11</definedName>
    <definedName name="_TOT6">[28]DATA!$R$29</definedName>
    <definedName name="_TPP1">#REF!</definedName>
    <definedName name="_TR250">'[51]dongia (2)'!#REF!</definedName>
    <definedName name="_tr375">[52]giathanh1!#REF!</definedName>
    <definedName name="_TS1">#REF!</definedName>
    <definedName name="_TT2">#REF!</definedName>
    <definedName name="_TUB2">#REF!</definedName>
    <definedName name="_TUB3">#REF!</definedName>
    <definedName name="_TUB4">#REF!</definedName>
    <definedName name="_Type">#REF!</definedName>
    <definedName name="_UDS3225">#REF!</definedName>
    <definedName name="_uds3229">[45]Sheet1!$A$26</definedName>
    <definedName name="_UoM">#REF!</definedName>
    <definedName name="_V">#REF!</definedName>
    <definedName name="_V___0">#REF!</definedName>
    <definedName name="_Vdc2">#REF!</definedName>
    <definedName name="_Vdc3">#REF!</definedName>
    <definedName name="_VL100">#REF!</definedName>
    <definedName name="_VL200">#REF!</definedName>
    <definedName name="_VL250">#REF!</definedName>
    <definedName name="_VT1">#REF!</definedName>
    <definedName name="_VT2">#REF!</definedName>
    <definedName name="_VT3">#REF!</definedName>
    <definedName name="_W1" hidden="1">{#N/A,#N/A,FALSE,"Ejector 1";#N/A,#N/A,FALSE,"Ejector 2"}</definedName>
    <definedName name="_W2" hidden="1">{#N/A,#N/A,FALSE,"Ejector 1";#N/A,#N/A,FALSE,"Ejector 2"}</definedName>
    <definedName name="_W3" hidden="1">{#N/A,#N/A,FALSE,"Ejector 1";#N/A,#N/A,FALSE,"Ejector 2"}</definedName>
    <definedName name="_W4" hidden="1">{#N/A,#N/A,FALSE,"Ejector 1";#N/A,#N/A,FALSE,"Ejector 2"}</definedName>
    <definedName name="_W5" hidden="1">{#N/A,#N/A,FALSE,"Ejector 1";#N/A,#N/A,FALSE,"Ejector 2"}</definedName>
    <definedName name="_W6" hidden="1">{#N/A,#N/A,FALSE,"Ejector 1";#N/A,#N/A,FALSE,"Ejector 2"}</definedName>
    <definedName name="_W7" hidden="1">{#N/A,#N/A,FALSE,"Ejector 1";#N/A,#N/A,FALSE,"Ejector 2"}</definedName>
    <definedName name="_W8" hidden="1">{#N/A,#N/A,FALSE,"Ejector 1";#N/A,#N/A,FALSE,"Ejector 2"}</definedName>
    <definedName name="_WB" hidden="1">"IT13KG"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e1">#REF!</definedName>
    <definedName name="_wre10">#REF!</definedName>
    <definedName name="_wre120">#REF!</definedName>
    <definedName name="_wre150">#REF!</definedName>
    <definedName name="_wre16">#REF!</definedName>
    <definedName name="_wre185">#REF!</definedName>
    <definedName name="_wre2">#REF!</definedName>
    <definedName name="_wre240">#REF!</definedName>
    <definedName name="_wre25">#REF!</definedName>
    <definedName name="_wre3">#REF!</definedName>
    <definedName name="_wre300">#REF!</definedName>
    <definedName name="_wre35">#REF!</definedName>
    <definedName name="_wre4">#REF!</definedName>
    <definedName name="_wre400">#REF!</definedName>
    <definedName name="_wre50">#REF!</definedName>
    <definedName name="_wre500">#REF!</definedName>
    <definedName name="_wre6">#REF!</definedName>
    <definedName name="_wre600">#REF!</definedName>
    <definedName name="_wre70">#REF!</definedName>
    <definedName name="_wre95">#REF!</definedName>
    <definedName name="_ww22" hidden="1">{"Datos",#N/A,TRUE,"Datos"}</definedName>
    <definedName name="_재ㅐ햐" hidden="1">#REF!</definedName>
    <definedName name="´cAE°eE¹" hidden="1">#REF!</definedName>
    <definedName name="￠￥cAE¡ÆeEⓒo" hidden="1">#REF!</definedName>
    <definedName name="√">"SQRT"</definedName>
    <definedName name="◈002MONO현황">#REF!</definedName>
    <definedName name="A">'[53]ﾄﾞﾊﾞｲFUEL GAS追見'!#REF!</definedName>
    <definedName name="A__Formwork">'[54]#REF'!$B$2:$M$49</definedName>
    <definedName name="A__TERRACERIA_Y_URBANIZACION">#REF!</definedName>
    <definedName name="A__TERRACERIA_Y_URBANIZACION___0">#REF!</definedName>
    <definedName name="a_1cover">#REF!</definedName>
    <definedName name="a_cover">#REF!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06GRB">#REF!</definedName>
    <definedName name="A120_">#REF!</definedName>
    <definedName name="A312TP304">#REF!</definedName>
    <definedName name="A312TP316">#REF!</definedName>
    <definedName name="A312TP321">#REF!</definedName>
    <definedName name="A335P11">#REF!</definedName>
    <definedName name="A335P91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a">#N/A</definedName>
    <definedName name="aaaa">#REF!</definedName>
    <definedName name="aaaaa">#REF!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" hidden="1">{#N/A,#N/A,FALSE,"Project Cost Summary";#N/A,#N/A,FALSE,"Man Hour Summary"}</definedName>
    <definedName name="aaaaaaaaaaaaa">[55]TRANSDUCERS!#REF!</definedName>
    <definedName name="aaad">'[56]C-18'!#REF!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B">#REF!</definedName>
    <definedName name="AAC">#REF!</definedName>
    <definedName name="AAD">#REF!</definedName>
    <definedName name="aadfdfdfdddf">#REF!</definedName>
    <definedName name="Aadia">#REF!</definedName>
    <definedName name="AAE">#REF!</definedName>
    <definedName name="AAF">#REF!</definedName>
    <definedName name="aas" hidden="1">{"Datos",#N/A,TRUE,"Datos"}</definedName>
    <definedName name="Aasd">#REF!</definedName>
    <definedName name="Aaspace">#REF!</definedName>
    <definedName name="ab" hidden="1">{#N/A,#N/A,TRUE,"Basic";#N/A,#N/A,TRUE,"EXT-TABLE";#N/A,#N/A,TRUE,"STEEL";#N/A,#N/A,TRUE,"INT-Table";#N/A,#N/A,TRUE,"STEEL";#N/A,#N/A,TRUE,"Door"}</definedName>
    <definedName name="ABBSW">'[28]MAIN MATERIAL DATABASE'!$AO$1:$AO$65536</definedName>
    <definedName name="abc" hidden="1">{#N/A,#N/A,FALSE,"CCTV"}</definedName>
    <definedName name="Abdia">#REF!</definedName>
    <definedName name="abg" hidden="1">{#N/A,#N/A,FALSE,"Sheet 2";#N/A,#N/A,FALSE,"Sheet 1"}</definedName>
    <definedName name="Abspace">#REF!</definedName>
    <definedName name="ac" hidden="1">#REF!</definedName>
    <definedName name="AC_d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"G:\Proposals\PL057 Comalco Alumina Refinery\Manhour Rates 2.mdb"</definedName>
    <definedName name="AccessSort">#REF!</definedName>
    <definedName name="ACCESS중급">#REF!</definedName>
    <definedName name="ACCESS초급">#REF!</definedName>
    <definedName name="Acdia">#REF!</definedName>
    <definedName name="Acspace">#REF!</definedName>
    <definedName name="Act_Mat_Cost">#REF!</definedName>
    <definedName name="AD">[57]総合ＥＳ!$A$1</definedName>
    <definedName name="ADA" hidden="1">#REF!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ER1">#REF!</definedName>
    <definedName name="ADDER8">#REF!</definedName>
    <definedName name="adders">#REF!</definedName>
    <definedName name="adders_end">#REF!</definedName>
    <definedName name="adders_out">#REF!</definedName>
    <definedName name="Addia">#REF!</definedName>
    <definedName name="adght" hidden="1">{"Datos",#N/A,TRUE,"Datos"}</definedName>
    <definedName name="adh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i">[58]ADI!$A$15,[58]ADI!$A$1:$F$49,[58]ADI!$A$53:$F$101,[58]ADI!$H$1:$N$49,[58]ADI!$H$53:$N$101,[58]ADI!$A$105:$F$153,[58]ADI!$A$209:$F$257,[58]ADI!$A$261:$F$309,[58]ADI!$A$313:$F$361,[58]ADI!$A$417:$F$465,[58]ADI!$A$468:$F$516,[58]ADI!#REF!</definedName>
    <definedName name="ADITION" hidden="1">{"'장비'!$A$3:$M$12"}</definedName>
    <definedName name="ADM_Edison_Termo">'[59]ADI Edison Termoelettrica'!#REF!</definedName>
    <definedName name="admin">#REF!</definedName>
    <definedName name="Admin_exp">#REF!</definedName>
    <definedName name="Administracion">#REF!</definedName>
    <definedName name="adqwer" hidden="1">{#N/A,#N/A,FALSE,"Matrix";#N/A,#N/A,FALSE,"Executive";#N/A,#N/A,FALSE,"Summary"}</definedName>
    <definedName name="adsDD">#REF!</definedName>
    <definedName name="adsfdafdf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Adspace">#REF!</definedName>
    <definedName name="ADSS">#REF!</definedName>
    <definedName name="adthtrh" hidden="1">{"Datos",#N/A,TRUE,"Datos"}</definedName>
    <definedName name="ADV_FC">#REF!</definedName>
    <definedName name="ADV_LC">#REF!</definedName>
    <definedName name="ADV_SUP">#REF!</definedName>
    <definedName name="ADVANCE">#REF!</definedName>
    <definedName name="ADYHQA">#REF!</definedName>
    <definedName name="ae">#REF!</definedName>
    <definedName name="AECode">#REF!:#REF!</definedName>
    <definedName name="AED">#REF!</definedName>
    <definedName name="Aedia">#REF!</definedName>
    <definedName name="AEDproEUR">1/[60]Kalk_90_H2!$G$4</definedName>
    <definedName name="aee" hidden="1">{"Datos",#N/A,TRUE,"Datos"}</definedName>
    <definedName name="aef" hidden="1">{"Datos",#N/A,TRUE,"Datos"}</definedName>
    <definedName name="aegrh" hidden="1">{"Datos",#N/A,TRUE,"Datos"}</definedName>
    <definedName name="aeht" hidden="1">{"Datos",#N/A,TRUE,"Datos"}</definedName>
    <definedName name="aera">#REF!</definedName>
    <definedName name="aerh" hidden="1">{"Datos",#N/A,TRUE,"Datos"}</definedName>
    <definedName name="AERUYQWA">#REF!</definedName>
    <definedName name="Aespace">#REF!</definedName>
    <definedName name="afAEGW" hidden="1">#REF!</definedName>
    <definedName name="afdasgh" hidden="1">{#N/A,#N/A,FALSE,"CCTV"}</definedName>
    <definedName name="afdsfdg" hidden="1">{#N/A,#N/A,FALSE,"CCTV"}</definedName>
    <definedName name="aferg" hidden="1">{"Datos",#N/A,TRUE,"Datos"}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aire">#REF!</definedName>
    <definedName name="afffgff" hidden="1">{#N/A,#N/A,FALSE,"CCTV"}</definedName>
    <definedName name="afga">[55]TRANSDUCERS!#REF!</definedName>
    <definedName name="afsdv">#REF!</definedName>
    <definedName name="ag">#REF!</definedName>
    <definedName name="ag142X42">[40]chitimc!#REF!</definedName>
    <definedName name="ag267N59">[40]chitimc!#REF!</definedName>
    <definedName name="aga">#REF!</definedName>
    <definedName name="agdfg" hidden="1">{"Datos",#N/A,TRUE,"Datos"}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hidden="1">{#N/A,#N/A,FALSE,"CCTV"}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med">#REF!</definedName>
    <definedName name="ahr" hidden="1">{"Datos",#N/A,TRUE,"Datos"}</definedName>
    <definedName name="aibom">#REF!</definedName>
    <definedName name="AIR_PIPE">#REF!</definedName>
    <definedName name="air_trap">#REF!</definedName>
    <definedName name="Aislamiento">#REF!</definedName>
    <definedName name="ajartjr">#REF!</definedName>
    <definedName name="al_con">#REF!</definedName>
    <definedName name="ALE">#REF!</definedName>
    <definedName name="alfa">[61]!alfa</definedName>
    <definedName name="All_Item">#REF!</definedName>
    <definedName name="allline">#REF!</definedName>
    <definedName name="alllines">#REF!</definedName>
    <definedName name="AllNames">#REF!</definedName>
    <definedName name="ALPIN">#N/A</definedName>
    <definedName name="ALPJYOU">#N/A</definedName>
    <definedName name="ALPTOI">#N/A</definedName>
    <definedName name="alum11120">#REF!</definedName>
    <definedName name="alum11150">#REF!</definedName>
    <definedName name="alum11185">#REF!</definedName>
    <definedName name="alum11240">#REF!</definedName>
    <definedName name="alum11300">#REF!</definedName>
    <definedName name="alum1135">#REF!</definedName>
    <definedName name="alum1150">#REF!</definedName>
    <definedName name="alum1170">#REF!</definedName>
    <definedName name="alum1195">#REF!</definedName>
    <definedName name="alum22120">#REF!</definedName>
    <definedName name="alum22150">#REF!</definedName>
    <definedName name="alum22185">#REF!</definedName>
    <definedName name="alum22240">#REF!</definedName>
    <definedName name="alum22300">#REF!</definedName>
    <definedName name="alum2235">#REF!</definedName>
    <definedName name="alum2250">#REF!</definedName>
    <definedName name="alum2270">#REF!</definedName>
    <definedName name="alum2295">#REF!</definedName>
    <definedName name="AMEC_ENGINEERING">'[62]OIL SYST DATA SHTS'!#REF!</definedName>
    <definedName name="AMOUNT">#REF!</definedName>
    <definedName name="Ampl">#REF!</definedName>
    <definedName name="Amt_Contingency">#REF!</definedName>
    <definedName name="AMT_CONTINGENCY_FEE">[63]공사수행방안!#REF!</definedName>
    <definedName name="Amt_Demolition">#REF!</definedName>
    <definedName name="Amt_Design.Fee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oject">#REF!</definedName>
    <definedName name="Amt_Sub.Struc">#REF!</definedName>
    <definedName name="Amt_Super.Struc">#REF!</definedName>
    <definedName name="ancho">#REF!</definedName>
    <definedName name="anchz">#REF!</definedName>
    <definedName name="ANEXO3A1">#REF!</definedName>
    <definedName name="ANEXO3A2">#REF!</definedName>
    <definedName name="angle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NTFC">#REF!</definedName>
    <definedName name="ANTFC_1">#REF!</definedName>
    <definedName name="ANTFC_2">#REF!</definedName>
    <definedName name="ANTFO">#REF!</definedName>
    <definedName name="ANTFO_1">#REF!</definedName>
    <definedName name="ANTFO_2">#REF!</definedName>
    <definedName name="ANTLC">#REF!</definedName>
    <definedName name="ANTLC_1">#REF!</definedName>
    <definedName name="ANTLC_2">#REF!</definedName>
    <definedName name="ANTS">#REF!</definedName>
    <definedName name="ANTS_1">#REF!</definedName>
    <definedName name="ANTS_2">#REF!</definedName>
    <definedName name="Anz_DCC">#REF!</definedName>
    <definedName name="aocd">[64]AN!$K$3</definedName>
    <definedName name="aproc">#REF!</definedName>
    <definedName name="aq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cab10">#REF!</definedName>
    <definedName name="arcab120">#REF!</definedName>
    <definedName name="arcab150">#REF!</definedName>
    <definedName name="arcab16">#REF!</definedName>
    <definedName name="arcab185">#REF!</definedName>
    <definedName name="arcab240">#REF!</definedName>
    <definedName name="arcab25">#REF!</definedName>
    <definedName name="arcab300">#REF!</definedName>
    <definedName name="arcab35">#REF!</definedName>
    <definedName name="arcab4">#REF!</definedName>
    <definedName name="arcab50">#REF!</definedName>
    <definedName name="arcab6">#REF!</definedName>
    <definedName name="arcab70">#REF!</definedName>
    <definedName name="arcab95">#REF!</definedName>
    <definedName name="Architectural">#REF!</definedName>
    <definedName name="AREA">#REF!</definedName>
    <definedName name="AREA_DE_IMPRESI">#REF!</definedName>
    <definedName name="Area_stampa_MI">#REF!</definedName>
    <definedName name="area2">[61]!area2</definedName>
    <definedName name="AREA3">[61]!AREA3</definedName>
    <definedName name="Arial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TECHE">'[28]MAIN MATERIAL DATABASE'!$AU$1:$AU$65536</definedName>
    <definedName name="arun" hidden="1">{#N/A,#N/A,FALSE,"Sheet 2";#N/A,#N/A,FALSE,"Sheet 1"}</definedName>
    <definedName name="ary">#REF!</definedName>
    <definedName name="as">#REF!</definedName>
    <definedName name="asas">#REF!</definedName>
    <definedName name="asasas">#REF!</definedName>
    <definedName name="asasasas">'[65]Energía campo 1'!#REF!</definedName>
    <definedName name="asd">[66]AN!$H$5</definedName>
    <definedName name="asdas" hidden="1">{#N/A,#N/A,FALSE,"subcontract"}</definedName>
    <definedName name="asdasd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ASDF">'[67]ANEXO 1 2.2.1 (BUND 101)'!#REF!</definedName>
    <definedName name="asdfs" hidden="1">[68]Cash2!$G$16:$G$31</definedName>
    <definedName name="ASF" hidden="1">#REF!</definedName>
    <definedName name="asfgsdghserh">#REF!</definedName>
    <definedName name="asgrr" hidden="1">{"MF-601",#N/A,TRUE,"MANT-EX-B(fJ)";"MF-602",#N/A,TRUE,"ELECTR-FJ(B)";"MF-603",#N/A,TRUE,"PERSONAL(FJ)B";"MF-604",#N/A,TRUE,"REACT-P(B)";"MF-605",#N/A,TRUE,"OTR-COS.FJ(B)";"MF-60X",#N/A,TRUE,"Resumen"}</definedName>
    <definedName name="assdf" hidden="1">[68]Z!$T$179:$AH$179</definedName>
    <definedName name="assds">[66]AN!$H$3</definedName>
    <definedName name="AssetTypes">#REF!</definedName>
    <definedName name="astg" hidden="1">{"MF-601",#N/A,TRUE,"MANT-EX-B(fJ)";"MF-602",#N/A,TRUE,"ELECTR-FJ(B)";"MF-603",#N/A,TRUE,"PERSONAL(FJ)B";"MF-604",#N/A,TRUE,"REACT-P(B)";"MF-6XX",#N/A,TRUE,"Resumen";"MF-605",#N/A,TRUE,"OTR-COS.FJ(B)"}</definedName>
    <definedName name="aswt4t" hidden="1">{"MF-601",#N/A,TRUE,"MANT-EX-B(fJ)";"MF-602",#N/A,TRUE,"ELECTR-FJ(B)";"MF-603",#N/A,TRUE,"PERSONAL(FJ)B";"MF-604",#N/A,TRUE,"REACT-P(B)";"MF-605",#N/A,TRUE,"OTR-COS.FJ(B)";"MF-60X",#N/A,TRUE,"Resumen"}</definedName>
    <definedName name="attrh" hidden="1">{"Datos",#N/A,TRUE,"Datos"}</definedName>
    <definedName name="AU">'[69]Sithe-PPL'!#REF!</definedName>
    <definedName name="AutoCalcOff">#N/A</definedName>
    <definedName name="AutoCalcOn">#N/A</definedName>
    <definedName name="autofill_data">#REF!</definedName>
    <definedName name="autotransfo">#REF!</definedName>
    <definedName name="Availability">[70]Sheet2!$A:$A</definedName>
    <definedName name="AVBC" hidden="1">#REF!</definedName>
    <definedName name="AvCost1">#REF!</definedName>
    <definedName name="AvCost2">#REF!</definedName>
    <definedName name="AvCost3">#REF!</definedName>
    <definedName name="AvCost4">#REF!</definedName>
    <definedName name="AvCost5">#REF!</definedName>
    <definedName name="AvCost6">#REF!</definedName>
    <definedName name="AvCost7">#REF!</definedName>
    <definedName name="avigilia" hidden="1">{#N/A,#N/A,FALSE,"Project Cost Summary";#N/A,#N/A,FALSE,"Man Hour Summary"}</definedName>
    <definedName name="avigilia1" hidden="1">{#N/A,#N/A,FALSE,"Project Cost Summary";#N/A,#N/A,FALSE,"Man Hour Summary"}</definedName>
    <definedName name="avigilia2" hidden="1">{#N/A,#N/A,FALSE,"Project Cost Summary";#N/A,#N/A,FALSE,"Man Hour Summary"}</definedName>
    <definedName name="avigilia3" hidden="1">{#N/A,#N/A,FALSE,"Project Cost Summary";#N/A,#N/A,FALSE,"Man Hour Summary"}</definedName>
    <definedName name="avigilia4" hidden="1">{#N/A,#N/A,FALSE,"Project Cost Summary";#N/A,#N/A,FALSE,"Man Hour Summary"}</definedName>
    <definedName name="avigilia5" hidden="1">{#N/A,#N/A,FALSE,"Project Cost Summary";#N/A,#N/A,FALSE,"Man Hour Summary"}</definedName>
    <definedName name="avigilia6" hidden="1">{#N/A,#N/A,FALSE,"Project Cost Summary";#N/A,#N/A,FALSE,"Man Hour Summary"}</definedName>
    <definedName name="avigilia7" hidden="1">{#N/A,#N/A,FALSE,"Project Cost Summary";#N/A,#N/A,FALSE,"Man Hour Summary"}</definedName>
    <definedName name="AVIGILIA8" hidden="1">{#N/A,#N/A,FALSE,"Project Cost Summary";#N/A,#N/A,FALSE,"Man Hour Summary"}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">#REF!</definedName>
    <definedName name="aw_Gewerke_Preis_Export">#REF!</definedName>
    <definedName name="awe" hidden="1">{"Datos",#N/A,TRUE,"Datos"}</definedName>
    <definedName name="awerq" hidden="1">{#N/A,#N/A,FALSE,"MAQUINA"}</definedName>
    <definedName name="AX" hidden="1">{#N/A,#N/A,FALSE,"Ejector 1";#N/A,#N/A,FALSE,"Ejector 2"}</definedName>
    <definedName name="ayman" hidden="1">{#N/A,#N/A,FALSE,"Bal.Sht"}</definedName>
    <definedName name="AZ">#REF!</definedName>
    <definedName name="azerty">#REF!</definedName>
    <definedName name="azertyretrre">#REF!</definedName>
    <definedName name="b">#REF!</definedName>
    <definedName name="B_____CONCRETE_PRICING_TABLE">'[54]#REF'!$B$53:$Q$91</definedName>
    <definedName name="b_240">'[40]THPDMoi  (2)'!#REF!</definedName>
    <definedName name="b_280">'[40]THPDMoi  (2)'!#REF!</definedName>
    <definedName name="b_320">'[40]THPDMoi  (2)'!#REF!</definedName>
    <definedName name="B1T">'[71]Bill 1'!$F$833</definedName>
    <definedName name="B2T">'[71]Bill 2'!$F$755</definedName>
    <definedName name="B3T">'[71]Bill 3'!$F$683</definedName>
    <definedName name="B4T">'[71]Bill 4'!$F$568</definedName>
    <definedName name="B5T">'[71]Bill 5'!$F$247</definedName>
    <definedName name="B6T">'[71]Bill 6'!$F$377</definedName>
    <definedName name="B7T">'[71]Bill 7'!$F$437</definedName>
    <definedName name="Ba">#REF!</definedName>
    <definedName name="back_pressure">#REF!</definedName>
    <definedName name="BAD">#REF!</definedName>
    <definedName name="Badia">#REF!</definedName>
    <definedName name="ball">#REF!</definedName>
    <definedName name="Bandeja">OFFSET([72]Filtrado!$BS$4,0,0,COUNTA([72]Filtrado!$BS:$BS),1)</definedName>
    <definedName name="bangciti">'[40]dongia (2)'!#REF!</definedName>
    <definedName name="BAR_FC">#REF!</definedName>
    <definedName name="BAR_LC">#REF!</definedName>
    <definedName name="BAR_SUP">#REF!</definedName>
    <definedName name="BASE">#REF!</definedName>
    <definedName name="BASE_PLATE">#REF!</definedName>
    <definedName name="BASES">#REF!</definedName>
    <definedName name="Basic_data">#REF!</definedName>
    <definedName name="Baspace">#REF!</definedName>
    <definedName name="batch">#REF!</definedName>
    <definedName name="batterie_125">#REF!</definedName>
    <definedName name="batterie_48">#REF!</definedName>
    <definedName name="BAUfaktor">'[73]Khalifa Parkf'!#REF!</definedName>
    <definedName name="BB">#REF!</definedName>
    <definedName name="BB_DCS">#REF!</definedName>
    <definedName name="BB_ES">#REF!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">#REF!</definedName>
    <definedName name="bbbbb" hidden="1">{"'照明目录'!$A$1:$H$31"}</definedName>
    <definedName name="Bbdia">#REF!</definedName>
    <definedName name="bbnb" hidden="1">{"Datos",#N/A,TRUE,"Datos"}</definedName>
    <definedName name="BBP_0">'[31]DATA-1'!#REF!</definedName>
    <definedName name="BBP_1">'[31]DATA-1'!#REF!</definedName>
    <definedName name="BBP5P">[28]DATA!$U$45</definedName>
    <definedName name="BBP6P">[28]DATA!$U$47</definedName>
    <definedName name="Bbspace">#REF!</definedName>
    <definedName name="BC">[74]RELAYS!$E$73</definedName>
    <definedName name="BC220LC">[28]DATA!$W$22</definedName>
    <definedName name="BC220PP">[28]DATA!$Y$22</definedName>
    <definedName name="BC220RC">[28]DATA!$U$22</definedName>
    <definedName name="Bcdia">#REF!</definedName>
    <definedName name="BCF">#REF!</definedName>
    <definedName name="BCOS_Pct">#REF!</definedName>
    <definedName name="Bcspace">#REF!</definedName>
    <definedName name="bcvb" hidden="1">{"Datos",#N/A,TRUE,"Datos"}</definedName>
    <definedName name="Bd">#REF!</definedName>
    <definedName name="Bddia">#REF!</definedName>
    <definedName name="bdht15nc">[40]gtrinh!#REF!</definedName>
    <definedName name="bdht15vl">[40]gtrinh!#REF!</definedName>
    <definedName name="bdht25nc">[40]gtrinh!#REF!</definedName>
    <definedName name="bdht25vl">[40]gtrinh!#REF!</definedName>
    <definedName name="bdht325nc">[40]gtrinh!#REF!</definedName>
    <definedName name="bdht325vl">[40]gtrinh!#REF!</definedName>
    <definedName name="BDP">#REF!</definedName>
    <definedName name="Bdspace">#REF!</definedName>
    <definedName name="Be">#REF!</definedName>
    <definedName name="Bedia">#REF!</definedName>
    <definedName name="Beds">#REF!</definedName>
    <definedName name="beet20">[75]cables!$E$120</definedName>
    <definedName name="BELL" hidden="1">{#N/A,#N/A,TRUE,"Basic";#N/A,#N/A,TRUE,"EXT-TABLE";#N/A,#N/A,TRUE,"STEEL";#N/A,#N/A,TRUE,"INT-Table";#N/A,#N/A,TRUE,"STEEL";#N/A,#N/A,TRUE,"Door"}</definedName>
    <definedName name="Benutzer">24040</definedName>
    <definedName name="Bernd_Muller">#REF!</definedName>
    <definedName name="Bespace">#REF!</definedName>
    <definedName name="beta1">#REF!</definedName>
    <definedName name="bfbfdhfdhdfgh" hidden="1">{#N/A,#N/A,FALSE,"CCTV"}</definedName>
    <definedName name="bfr">#REF!</definedName>
    <definedName name="BG_Ins" hidden="1">4</definedName>
    <definedName name="BG_Mod" hidden="1">6</definedName>
    <definedName name="Bid2001_STATE_List">[76]입찰업무현황!$A$3:$Q$14</definedName>
    <definedName name="BIF">'[77]S1+S2+S3'!$K$147</definedName>
    <definedName name="Bill.2.Cost.Sum">#REF!</definedName>
    <definedName name="Bill.2.Sell.Sum">#REF!</definedName>
    <definedName name="Bill.2.Sum">#REF!</definedName>
    <definedName name="Bill.3.CostSum">#REF!</definedName>
    <definedName name="Bill.3.Sell.Sum">#REF!</definedName>
    <definedName name="Bill.3.Sum">#REF!</definedName>
    <definedName name="Bill.4.Cost.Sum">#REF!</definedName>
    <definedName name="Bill.4.Sell.Sum">#REF!</definedName>
    <definedName name="Bill.4.Sum">#REF!</definedName>
    <definedName name="BIN">#REF!</definedName>
    <definedName name="bkd" hidden="1">{"'Sheet1'!$L$16"}</definedName>
    <definedName name="BL_220">[78]DONNE!$B$3</definedName>
    <definedName name="blackcurrent">#REF!</definedName>
    <definedName name="blackprecalc">#REF!</definedName>
    <definedName name="Blattname">MID(CELL("Dateiname"),FIND("]",CELL("Dateiname"),1)+1,LEN(CELL("Dateiname")))</definedName>
    <definedName name="Bld_Eq">#REF!</definedName>
    <definedName name="BLDG">[79]LEGEND!$D$8</definedName>
    <definedName name="BLOQUE">#REF!</definedName>
    <definedName name="Bloques">OFFSET([72]Resúmen!$B$28,0,0,COUNTA([72]Resúmen!$B:$B),COUNTA([72]Resúmen!$28:$28))</definedName>
    <definedName name="BLUELETTERS">#REF!,#REF!,#REF!,#REF!,#REF!,#REF!</definedName>
    <definedName name="BM" hidden="1">{#N/A,#N/A,FALSE,"CCTV"}</definedName>
    <definedName name="bms">#REF!</definedName>
    <definedName name="bn" hidden="1">{"'Sheet1'!$L$16"}</definedName>
    <definedName name="BNE_MESSAGES_HIDDEN" hidden="1">#REF!</definedName>
    <definedName name="bnm" hidden="1">{"Datos",#N/A,TRUE,"Datos"}</definedName>
    <definedName name="BO">[80]!COIORYG</definedName>
    <definedName name="bom">#REF!</definedName>
    <definedName name="bom_t">#REF!</definedName>
    <definedName name="BOND">#REF!</definedName>
    <definedName name="BOP_LABEL">#REF!</definedName>
    <definedName name="BOQ">#REF!</definedName>
    <definedName name="BOQGroups">#REF!</definedName>
    <definedName name="BOQLastColumn">#REF!</definedName>
    <definedName name="BOQLineStart">#REF!</definedName>
    <definedName name="BOQOYIP">#REF!</definedName>
    <definedName name="BOR_P3">#REF!</definedName>
    <definedName name="BOR_P5">#REF!</definedName>
    <definedName name="Bored_60">#REF!</definedName>
    <definedName name="Botón2_AlHacerClic">[61]!Botón2_AlHacerClic</definedName>
    <definedName name="bott">#REF!</definedName>
    <definedName name="Bottoni">#REF!</definedName>
    <definedName name="BOX_RA02">#REF!</definedName>
    <definedName name="BOX_RB02">#REF!</definedName>
    <definedName name="boxes">#REF!</definedName>
    <definedName name="ＢＱ">[80]!COIORYG</definedName>
    <definedName name="BQ集計_1">[81]!BQ集計_1</definedName>
    <definedName name="Braid_con">#REF!</definedName>
    <definedName name="Brazil">#REF!</definedName>
    <definedName name="Brazilr">#REF!</definedName>
    <definedName name="BREAKDOWN">'[82]Summary Sheets'!$A$2:$K$36</definedName>
    <definedName name="BREMARK13">'[83]PAGE 2'!#REF!</definedName>
    <definedName name="BREMARK3">'[83]PAGE 2'!#REF!</definedName>
    <definedName name="BREMARK4">'[83]PAGE 2'!#REF!</definedName>
    <definedName name="BREMARK5">'[83]PAGE 2'!#REF!</definedName>
    <definedName name="BREMARK6">'[83]PAGE 2'!#REF!</definedName>
    <definedName name="bs0.75">[11]mechanical!#REF!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may" hidden="1">{#N/A,#N/A,FALSE,"inctrnd99"}</definedName>
    <definedName name="BT">[84]ST!#REF!</definedName>
    <definedName name="BT_60">[78]DONNE!$B$4</definedName>
    <definedName name="BuiltIn_Print_Area">#REF!</definedName>
    <definedName name="burden_2">[85]Totals!$J$9</definedName>
    <definedName name="BUS">#REF!</definedName>
    <definedName name="BUS6LC">[28]DATA!$W$32</definedName>
    <definedName name="BUS6PP">[28]DATA!$Y$32</definedName>
    <definedName name="BUS6RC">[28]DATA!$U$32</definedName>
    <definedName name="butterfly">#REF!</definedName>
    <definedName name="Button_33">"tipici_Fg5_Elenca"</definedName>
    <definedName name="button_area_1">#REF!</definedName>
    <definedName name="Buy_mu">#REF!</definedName>
    <definedName name="BUYOUT">#REF!</definedName>
    <definedName name="buysell1">#REF!</definedName>
    <definedName name="buysell10">#REF!</definedName>
    <definedName name="bv" hidden="1">{"Datos",#N/A,TRUE,"Datos"}</definedName>
    <definedName name="bvbv" hidden="1">{"MF-601",#N/A,TRUE,"MANT-EX-B(fJ)";"MF-602",#N/A,TRUE,"ELECTR-FJ(B)";"MF-603",#N/A,TRUE,"PERSONAL(FJ)B";"MF-604",#N/A,TRUE,"REACT-P(B)";"MF-6XX",#N/A,TRUE,"Resumen";"MF-605",#N/A,TRUE,"OTR-COS.FJ(B)"}</definedName>
    <definedName name="bvcn" hidden="1">{"Datos",#N/A,TRUE,"Datos"}</definedName>
    <definedName name="bvn" hidden="1">{"Datos",#N/A,TRUE,"Datos"}</definedName>
    <definedName name="bvv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C_">#REF!</definedName>
    <definedName name="C_____STEEL_REBAR">'[54]#REF'!$B$97:$J$126</definedName>
    <definedName name="CA_70">#REF!</definedName>
    <definedName name="CAA">#REF!</definedName>
    <definedName name="CABLE">#REF!</definedName>
    <definedName name="cai">#REF!</definedName>
    <definedName name="caiao">#REF!</definedName>
    <definedName name="caiaohv">#REF!</definedName>
    <definedName name="caihv">#REF!</definedName>
    <definedName name="calc.">[86]CURENCY!$D$1:$D$65536</definedName>
    <definedName name="calcsum">#REF!</definedName>
    <definedName name="CALIFICACION">[87]Datos!$A$18:$A$26</definedName>
    <definedName name="CAM">#REF!</definedName>
    <definedName name="Cambio">#REF!</definedName>
    <definedName name="CANT_TOTAL">#REF!</definedName>
    <definedName name="CANT_UNIT">#REF!</definedName>
    <definedName name="CAP">#REF!</definedName>
    <definedName name="CAPDAT">[40]phuluc1!#REF!</definedName>
    <definedName name="carp_tot">#REF!</definedName>
    <definedName name="carp_weight">#REF!</definedName>
    <definedName name="carpenterie">#REF!</definedName>
    <definedName name="carpenterie_base">#REF!</definedName>
    <definedName name="carpenterie_esc">#REF!</definedName>
    <definedName name="carpenterie_escalate">#REF!</definedName>
    <definedName name="CARTA">#REF!</definedName>
    <definedName name="Case_100">#REF!</definedName>
    <definedName name="Case_80">#REF!</definedName>
    <definedName name="CASH">#REF!</definedName>
    <definedName name="CASH_COS">#REF!</definedName>
    <definedName name="CASH_PAY">#REF!</definedName>
    <definedName name="cashfl" hidden="1">{#N/A,#N/A,TRUE,"Cover";#N/A,#N/A,TRUE,"Conts";#N/A,#N/A,TRUE,"VOS";#N/A,#N/A,TRUE,"Warrington";#N/A,#N/A,TRUE,"Widnes"}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">#REF!</definedName>
    <definedName name="CB_230">#REF!</definedName>
    <definedName name="CB_500_single">#REF!</definedName>
    <definedName name="CB_500_three_pole">#REF!</definedName>
    <definedName name="cbl">[80]!COIORYG</definedName>
    <definedName name="cbv" hidden="1">{"Datos",#N/A,TRUE,"Datos"}</definedName>
    <definedName name="cc">'[65]Energía campo 1'!#REF!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R" hidden="1">{#N/A,#N/A,TRUE,"Cover";#N/A,#N/A,TRUE,"Conts";#N/A,#N/A,TRUE,"VOS";#N/A,#N/A,TRUE,"Warrington";#N/A,#N/A,TRUE,"Widnes"}</definedName>
    <definedName name="CCS">#REF!</definedName>
    <definedName name="CCT">#REF!</definedName>
    <definedName name="ccvcv">#REF!</definedName>
    <definedName name="CCVT">[28]DATA!$R$74</definedName>
    <definedName name="CCVT_Q">[28]DATA!$U$74</definedName>
    <definedName name="CDD">#REF!</definedName>
    <definedName name="CDDD">'[40]THPDMoi  (2)'!#REF!</definedName>
    <definedName name="cddd1p">'[40]TONG HOP VL-NC'!$C$3</definedName>
    <definedName name="cddd3p">'[40]TONG HOP VL-NC'!$C$2</definedName>
    <definedName name="CdL">#REF!</definedName>
    <definedName name="cdn_us">#REF!</definedName>
    <definedName name="CDNBOND">#REF!</definedName>
    <definedName name="CDNTOTAL">#REF!</definedName>
    <definedName name="CDNUNIT">#REF!</definedName>
    <definedName name="cdsdim">[88]csdim!$A$2:$A$1375</definedName>
    <definedName name="cdsloadrange">[88]cdsload!$A$3:$A$70</definedName>
    <definedName name="celltips_area">#REF!</definedName>
    <definedName name="Center">#REF!</definedName>
    <definedName name="Cerramiento">OFFSET([72]Filtrado!$N$4,0,0,COUNTA([72]Filtrado!$N:$N),COUNTA([72]Filtrado!$4:$4))</definedName>
    <definedName name="Certi_unitprice">#REF!</definedName>
    <definedName name="Certi_unitprice_h">#REF!</definedName>
    <definedName name="Certi_unitprice_u">#REF!</definedName>
    <definedName name="CEWE">'[28]MAIN MATERIAL DATABASE'!$M$1:$M$65536</definedName>
    <definedName name="CEWEIND">'[28]MAIN MATERIAL DATABASE'!#REF!</definedName>
    <definedName name="CfgValues_AI">#REF!</definedName>
    <definedName name="CfgValues_AUX">#REF!</definedName>
    <definedName name="CfgValues_COMMERCIAL">#REF!</definedName>
    <definedName name="CfgValues_COOL">#REF!</definedName>
    <definedName name="CfgValues_ELECTRICAL">#REF!</definedName>
    <definedName name="CfgValues_ENC">#REF!</definedName>
    <definedName name="CfgValues_EXH">#REF!</definedName>
    <definedName name="CfgValues_GT_PROJECT_MGM">#REF!</definedName>
    <definedName name="CfgValues_I_C">#REF!</definedName>
    <definedName name="CG">#REF!</definedName>
    <definedName name="cgionc">'[40]lam-moi'!#REF!</definedName>
    <definedName name="cgiovl">'[40]lam-moi'!#REF!</definedName>
    <definedName name="CH">#REF!</definedName>
    <definedName name="CH_N11">'[31]DATA-1'!$AG$51</definedName>
    <definedName name="CH_N12">'[31]DATA-1'!$AG$52</definedName>
    <definedName name="CH_N13">'[31]DATA-1'!$AG$53</definedName>
    <definedName name="CH_N21">'[31]DATA-1'!$AG$58</definedName>
    <definedName name="CH_N22">'[31]DATA-1'!$AG$59</definedName>
    <definedName name="change_monnaie">#REF!</definedName>
    <definedName name="chap11email1">[39]Sheet1!$A$991:$G$1034</definedName>
    <definedName name="CHARG24">#REF!</definedName>
    <definedName name="CHARG48">#REF!</definedName>
    <definedName name="charger_125">#REF!</definedName>
    <definedName name="charger_48">#REF!</definedName>
    <definedName name="check">#REF!</definedName>
    <definedName name="CHF">#REF!</definedName>
    <definedName name="chhtnc">'[40]lam-moi'!#REF!</definedName>
    <definedName name="chhtvl">'[40]lam-moi'!#REF!</definedName>
    <definedName name="chnc">'[40]lam-moi'!#REF!</definedName>
    <definedName name="Choices_Wrapper">[89]!Choices_Wrapper</definedName>
    <definedName name="chsdim">[88]csdim!$A$1376:$A$2509</definedName>
    <definedName name="chsloadrange">[88]chsload!$A$3:$A$62</definedName>
    <definedName name="chvl">'[40]lam-moi'!#REF!</definedName>
    <definedName name="ci" hidden="1">{"'照明目录'!$A$1:$H$31"}</definedName>
    <definedName name="CIAP" hidden="1">{#N/A,#N/A,FALSE,"Ejector 1";#N/A,#N/A,FALSE,"Ejector 2"}</definedName>
    <definedName name="CIAPANI" hidden="1">{#N/A,#N/A,FALSE,"Ejector 1";#N/A,#N/A,FALSE,"Ejector 2"}</definedName>
    <definedName name="CIF">#REF!</definedName>
    <definedName name="CIFM">#REF!</definedName>
    <definedName name="CIFN">#REF!</definedName>
    <definedName name="CIFT">#REF!</definedName>
    <definedName name="citidd">'[40]dongia (2)'!#REF!</definedName>
    <definedName name="CityIndex">#REF!</definedName>
    <definedName name="civ_tot">#REF!</definedName>
    <definedName name="Civil" hidden="1">#REF!</definedName>
    <definedName name="Civil_Eq">#REF!</definedName>
    <definedName name="civile">#REF!</definedName>
    <definedName name="civile_esc">#REF!</definedName>
    <definedName name="CK">#REF!</definedName>
    <definedName name="cknc">'[40]lam-moi'!#REF!</definedName>
    <definedName name="ckvl">'[40]lam-moi'!#REF!</definedName>
    <definedName name="cl" hidden="1">{"'照明目录'!$A$1:$H$31"}</definedName>
    <definedName name="Class">#REF!</definedName>
    <definedName name="CLIENT">#REF!</definedName>
    <definedName name="clvc1">[40]chitiet!$D$3</definedName>
    <definedName name="CLVC3">0.1</definedName>
    <definedName name="CLVCTB">#REF!</definedName>
    <definedName name="CM">'[90]Project Brief'!$E$27</definedName>
    <definedName name="cn" hidden="1">{"'Sheet1'!$L$16"}</definedName>
    <definedName name="CN3p">'[40]TONGKE3p '!$X$295</definedName>
    <definedName name="cncv" hidden="1">{"Datos",#N/A,TRUE,"Datos"}</definedName>
    <definedName name="Cnm">#REF!</definedName>
    <definedName name="CNS">#REF!</definedName>
    <definedName name="CNSFrom">#REF!</definedName>
    <definedName name="CNSTo">#REF!</definedName>
    <definedName name="CO">'[69]Sithe-PPL'!#REF!</definedName>
    <definedName name="COA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AX">[28]DATA!$R$73</definedName>
    <definedName name="coc">#REF!</definedName>
    <definedName name="CODE">[91]LABTOTAL!$C$7:$BN$480</definedName>
    <definedName name="Code_Unit04">'[92]4'!$C$15:$C$46</definedName>
    <definedName name="Code_Unit05">'[92]5'!$C$15:$C$46</definedName>
    <definedName name="Code_Unit06">'[92]6'!$C$15:$C$46</definedName>
    <definedName name="Code_Unit07">'[92]7'!$C$15:$C$46</definedName>
    <definedName name="Code_Unit08">'[92]8'!$C$15:$C$46</definedName>
    <definedName name="Code_Unit09">'[92]9'!$C$15:$C$46</definedName>
    <definedName name="Code_Unit10">'[92]10'!$C$15:$C$46</definedName>
    <definedName name="Code_Unit11">'[92]11'!$C$15:$C$46</definedName>
    <definedName name="Code_Unit12">'[92]12'!$C$15:$C$46</definedName>
    <definedName name="Code_Unit13">'[92]13'!$C$15:$C$46</definedName>
    <definedName name="Code_Unit14">'[92]14'!$C$15:$C$46</definedName>
    <definedName name="Code1">[93]References!$N$5:$N$7</definedName>
    <definedName name="code2">[93]References!$N$9:$N$10</definedName>
    <definedName name="CODIGOS">#REF!</definedName>
    <definedName name="Códigos">#REF!</definedName>
    <definedName name="COE">#REF!</definedName>
    <definedName name="Coef1">#REF!</definedName>
    <definedName name="Coef2">#REF!</definedName>
    <definedName name="Coef3">#REF!</definedName>
    <definedName name="coeff_commissionning">#REF!</definedName>
    <definedName name="coeff_gc_et_install">#REF!</definedName>
    <definedName name="coeff_rabais">#REF!</definedName>
    <definedName name="coeff_testing">#REF!</definedName>
    <definedName name="coeff_vente_autre">#REF!</definedName>
    <definedName name="coeff_vente_CB">#REF!</definedName>
    <definedName name="coeff_vente_spare">#REF!</definedName>
    <definedName name="coeff_vente_transfo">#REF!</definedName>
    <definedName name="Cöï_ly_vaän_chuyeãn">#REF!</definedName>
    <definedName name="CÖÏ_LY_VAÄN_CHUYEÅN">#REF!</definedName>
    <definedName name="coin_change">[94]synthesis!$B$16</definedName>
    <definedName name="coin_change_Sonelgaz">[94]synthesis!$B$16</definedName>
    <definedName name="COL_AREA">#REF!</definedName>
    <definedName name="COL_AREAP">#REF!</definedName>
    <definedName name="COL_DDHEIGHT">#REF!</definedName>
    <definedName name="COL_DDIAM">#REF!</definedName>
    <definedName name="COL_DESC">#REF!</definedName>
    <definedName name="COL_DISC">#REF!</definedName>
    <definedName name="COL_DP_SH_MAX">#REF!</definedName>
    <definedName name="COL_DP_SH_MIN">#REF!</definedName>
    <definedName name="COL_DP_TU_MAX">#REF!</definedName>
    <definedName name="COL_DP_TU_MIN">#REF!</definedName>
    <definedName name="COL_DT_SH_MAX">#REF!</definedName>
    <definedName name="COL_DT_SH_MIN">#REF!</definedName>
    <definedName name="COL_DT_TU_MAX">#REF!</definedName>
    <definedName name="COL_DT_TU_MIN">#REF!</definedName>
    <definedName name="COL_DUTY">#REF!</definedName>
    <definedName name="COL_FLOW">#REF!</definedName>
    <definedName name="COL_GROUP">#REF!</definedName>
    <definedName name="COL_HEAD">#REF!</definedName>
    <definedName name="COL_INS_TH">#REF!</definedName>
    <definedName name="COL_INS_TYPE">#REF!</definedName>
    <definedName name="COL_ITEM_TYP">#REF!</definedName>
    <definedName name="COL_MAT_SH">#REF!</definedName>
    <definedName name="COL_MAT_TU">#REF!</definedName>
    <definedName name="COL_MR">#REF!</definedName>
    <definedName name="COL_OT_SH">#REF!</definedName>
    <definedName name="COL_OT_TU">#REF!</definedName>
    <definedName name="COL_PAINT">#REF!</definedName>
    <definedName name="COL_PART">#REF!</definedName>
    <definedName name="COL_PID">#REF!</definedName>
    <definedName name="COL_POWER">#REF!</definedName>
    <definedName name="COL_QUAN">#REF!</definedName>
    <definedName name="COL_QUAN_UNIT">#REF!</definedName>
    <definedName name="COL_REMARKS">#REF!</definedName>
    <definedName name="COL_REV">#REF!</definedName>
    <definedName name="COL_TAG">#REF!</definedName>
    <definedName name="COL_TEST_FLUID">#REF!</definedName>
    <definedName name="COL_TESTP_SHELL">#REF!</definedName>
    <definedName name="COL_TESTP_TUBE">#REF!</definedName>
    <definedName name="COL_TYPE">#REF!</definedName>
    <definedName name="COL_VOL">#REF!</definedName>
    <definedName name="COL_WEIGHT">#REF!</definedName>
    <definedName name="COLCOPIERVALEURSemail1">[39]Sheet1!$A:$G</definedName>
    <definedName name="COLCOPIERVALEURSemail2">#REF!</definedName>
    <definedName name="COLDEBUT">[14]PLAGCoct03!#REF!</definedName>
    <definedName name="COLFIN">[14]PLAGCoct03!#REF!</definedName>
    <definedName name="Colonnes">#REF!</definedName>
    <definedName name="COM6BBPP">[28]DATA!#REF!</definedName>
    <definedName name="COM6METP">[28]DATA!#REF!</definedName>
    <definedName name="COM6SCADAP">[28]DATA!#REF!</definedName>
    <definedName name="COM6SCAP">[28]DATA!#REF!</definedName>
    <definedName name="COMBOP_LABEL">#REF!</definedName>
    <definedName name="comm">'[95]Price Breakdown'!$B$3</definedName>
    <definedName name="comm_admin_esp1">#REF!</definedName>
    <definedName name="comm_admin_esp2">#REF!</definedName>
    <definedName name="Comm_exp">#REF!</definedName>
    <definedName name="Commercial___Industrial_Division___Dubai">#REF!</definedName>
    <definedName name="Commercial___Industrial_Division___Kuwait">#REF!</definedName>
    <definedName name="COMMISSION">#REF!</definedName>
    <definedName name="COMMPART">[88]CLAMP!$A$2:$D$605</definedName>
    <definedName name="COMP1">[28]DATA!$U$35</definedName>
    <definedName name="Company_Profit_for_new_VOs">'[41]4A'!$C$45</definedName>
    <definedName name="CompHWSubT">#REF!</definedName>
    <definedName name="completed_kuwait">#REF!</definedName>
    <definedName name="COMPONENT_CODE___SIZE">#REF!</definedName>
    <definedName name="Compost">#REF!</definedName>
    <definedName name="Con_unitprice">#REF!</definedName>
    <definedName name="Conc">#REF!</definedName>
    <definedName name="conc32">#REF!</definedName>
    <definedName name="conc41">#REF!</definedName>
    <definedName name="CONCA">#REF!</definedName>
    <definedName name="CONCB">#REF!</definedName>
    <definedName name="CONCC">#REF!</definedName>
    <definedName name="CONCRETE_WORK_DURATION">#REF!</definedName>
    <definedName name="condition" hidden="1">{"'장비'!$A$3:$M$12"}</definedName>
    <definedName name="CONDUIT">#REF!</definedName>
    <definedName name="CONFIGPROMAN">[45]Sheet1!$H$370</definedName>
    <definedName name="cong1x15">[40]giathanh1!#REF!</definedName>
    <definedName name="ConnectENDs">#REF!</definedName>
    <definedName name="consolidated">#REF!</definedName>
    <definedName name="Consolidated_Cummulative_Monthly_Plan">#REF!</definedName>
    <definedName name="consolidated_kuwait">#REF!</definedName>
    <definedName name="CONSUM">#REF!</definedName>
    <definedName name="CONT1">#REF!</definedName>
    <definedName name="CONT2">#REF!</definedName>
    <definedName name="Contents">#N/A</definedName>
    <definedName name="Contingency_Start">#REF!</definedName>
    <definedName name="Continua">#REF!</definedName>
    <definedName name="contrat">[64]AN!$H$2</definedName>
    <definedName name="Contry_risk">#REF!</definedName>
    <definedName name="COPRO">#REF!</definedName>
    <definedName name="copy1">#REF!</definedName>
    <definedName name="copy2">#REF!</definedName>
    <definedName name="cos">#REF!</definedName>
    <definedName name="COS_PM">[96]Totals!$I$12</definedName>
    <definedName name="COS_SE">[96]Totals!$I$11</definedName>
    <definedName name="cost">#REF!</definedName>
    <definedName name="Cost_Temp.Equip">#REF!</definedName>
    <definedName name="COST_UNIT">#REF!</definedName>
    <definedName name="Cost1">#REF!</definedName>
    <definedName name="COST2" hidden="1">{#N/A,#N/A,TRUE,"Basic";#N/A,#N/A,TRUE,"EXT-TABLE";#N/A,#N/A,TRUE,"STEEL";#N/A,#N/A,TRUE,"INT-Table";#N/A,#N/A,TRUE,"STEEL";#N/A,#N/A,TRUE,"Door"}</definedName>
    <definedName name="Cost3">#REF!</definedName>
    <definedName name="Cost4">#REF!</definedName>
    <definedName name="Cost5">#REF!</definedName>
    <definedName name="Cost6">#REF!</definedName>
    <definedName name="Cost7">#REF!</definedName>
    <definedName name="COSTES1">#REF!</definedName>
    <definedName name="COSTES2">#REF!</definedName>
    <definedName name="Costtab">[97]Subc.rates!$A$1:$H$1400</definedName>
    <definedName name="Cot_thep">[98]Du_lieu!$C$19</definedName>
    <definedName name="COUNTRIES">#REF!</definedName>
    <definedName name="Country">'[99]GM 000'!$I$4</definedName>
    <definedName name="Country_name">#REF!</definedName>
    <definedName name="Country_risk">#REF!</definedName>
    <definedName name="cover">#REF!</definedName>
    <definedName name="COVER1" hidden="1">{#N/A,#N/A,FALSE,"Ejector 1";#N/A,#N/A,FALSE,"Ejector 2"}</definedName>
    <definedName name="COVER50">[100]CAT_5!#REF!</definedName>
    <definedName name="CP">[28]RELAYS!#REF!</definedName>
    <definedName name="CPMV.23">#REF!</definedName>
    <definedName name="cproc">#REF!</definedName>
    <definedName name="CPVC100">#REF!</definedName>
    <definedName name="CPVC1KM">'[40]TH VL, NC, DDHT Thanhphuoc'!$J$19</definedName>
    <definedName name="CPVCDN">'[40]#REF'!$K$33</definedName>
    <definedName name="CR_FC">#REF!</definedName>
    <definedName name="CR_LC">#REF!</definedName>
    <definedName name="CR_SUP">#REF!</definedName>
    <definedName name="CRD">#REF!</definedName>
    <definedName name="CreationDate">#REF!</definedName>
    <definedName name="cris" hidden="1">[101]DESBAST!#REF!</definedName>
    <definedName name="crit1">#REF!</definedName>
    <definedName name="crit2">#REF!</definedName>
    <definedName name="_xlnm.Criteria">'[1]KR2&amp;KVCM(MAR 1-6''99)'!#REF!</definedName>
    <definedName name="CRN">[102]VAR!$B$8:$B$11</definedName>
    <definedName name="CRS">#REF!</definedName>
    <definedName name="CS">#REF!</definedName>
    <definedName name="CSAVENEW">#REF!</definedName>
    <definedName name="CSAVEOLD">#REF!</definedName>
    <definedName name="csd3p">#REF!</definedName>
    <definedName name="csddg1p">#REF!</definedName>
    <definedName name="csddt1p">#REF!</definedName>
    <definedName name="csht3p">#REF!</definedName>
    <definedName name="CSS">#N/A</definedName>
    <definedName name="CST">#REF!</definedName>
    <definedName name="CT_0">'[31]DATA-1'!#REF!</definedName>
    <definedName name="CT_1">'[31]DATA-1'!#REF!</definedName>
    <definedName name="ct_1_2">#REF!</definedName>
    <definedName name="CT_1_2_3">#REF!</definedName>
    <definedName name="ct_3_4">#REF!</definedName>
    <definedName name="cti3x15">[40]giathanh1!#REF!</definedName>
    <definedName name="cttravF">#REF!</definedName>
    <definedName name="culy1">[40]DONGIA!#REF!</definedName>
    <definedName name="culy2">[40]DONGIA!#REF!</definedName>
    <definedName name="culy3">[40]DONGIA!#REF!</definedName>
    <definedName name="culy4">[40]DONGIA!#REF!</definedName>
    <definedName name="culy5">[40]DONGIA!#REF!</definedName>
    <definedName name="cuoc">[40]DONGIA!#REF!</definedName>
    <definedName name="curr">[103]DATA!$G$1:$G$7</definedName>
    <definedName name="CURRENCY">'[104]Currency Table'!$C$4:$D$8</definedName>
    <definedName name="CurrencyCode">#REF!</definedName>
    <definedName name="CurrencyCodes">[105]FxExchangeRatesBudget!$A$5:$A$120</definedName>
    <definedName name="Customer">#REF!</definedName>
    <definedName name="CUSTOMER_NAME">#REF!</definedName>
    <definedName name="CUT">[106]取り纏め!#REF!</definedName>
    <definedName name="CV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vcbn" hidden="1">{"Datos",#N/A,TRUE,"Datos"}</definedName>
    <definedName name="cvfgf" hidden="1">{"MF-601",#N/A,TRUE,"MANT-EX-B(fJ)";"MF-602",#N/A,TRUE,"ELECTR-FJ(B)";"MF-603",#N/A,TRUE,"PERSONAL(FJ)B";"MF-604",#N/A,TRUE,"REACT-P(B)";"MF-605",#N/A,TRUE,"OTR-COS.FJ(B)";"MF-60X",#N/A,TRUE,"Resumen"}</definedName>
    <definedName name="CVR">#N/A</definedName>
    <definedName name="cvsdim">[88]csdim!$A$2510:$A$3147</definedName>
    <definedName name="cvsloadrange">[88]cvsload!$A$3:$A$66</definedName>
    <definedName name="CW">#REF!</definedName>
    <definedName name="CWC">#REF!</definedName>
    <definedName name="CWEIND">'[28]MAIN MATERIAL DATABASE'!#REF!</definedName>
    <definedName name="CX">#REF!</definedName>
    <definedName name="cxhtnc">'[40]lam-moi'!#REF!</definedName>
    <definedName name="cxhtvl">'[40]lam-moi'!#REF!</definedName>
    <definedName name="cxnc">'[40]lam-moi'!#REF!</definedName>
    <definedName name="cx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xvl">'[40]lam-moi'!#REF!</definedName>
    <definedName name="cxvz">'[56]C-18'!#REF!</definedName>
    <definedName name="cxxnc">'[40]lam-moi'!#REF!</definedName>
    <definedName name="cxxvl">'[40]lam-moi'!#REF!</definedName>
    <definedName name="Cy">#REF!</definedName>
    <definedName name="CYCLE___LVL_1____1_HEXENE">'[82]Summary Sheets'!$L$382:$V$416</definedName>
    <definedName name="CYCLE___LVL_1____DOCK">'[82]Summary Sheets'!$L$762:$V$796</definedName>
    <definedName name="CYCLE___LVL_1____NFGP">'[107]ITB COST'!$L$398:$V$438</definedName>
    <definedName name="CYCLE___LVL_1____OFFSITES">'[82]Summary Sheets'!$L$572:$V$606</definedName>
    <definedName name="CYCLE___LVL_1____PIPELINE">'[107]ITB COST'!$L$574:$V$614</definedName>
    <definedName name="CYCLE___LVL_1____TANK">'[107]ITB COST'!$L$706:$V$746</definedName>
    <definedName name="CYCLE___LVL_1_DKADU">'[107]ITB COST'!$L$2:$V$42</definedName>
    <definedName name="CYCLE___LVL_1_ETHYLENE">'[82]Summary Sheets'!$L$2:$V$36</definedName>
    <definedName name="CYCLE___LVL_1_NGL4">'[107]ITB COST'!$L$178:$V$218</definedName>
    <definedName name="CYCLE___LVL_1_POLYETHYLENE">'[82]Summary Sheets'!$L$192:$V$226</definedName>
    <definedName name="CYCLE_LVL_1_PGM">'[107]ITB COST'!$L$881:$V$922</definedName>
    <definedName name="D">[108]EQFRM2!#REF!</definedName>
    <definedName name="d.20">#REF!</definedName>
    <definedName name="D.20COMM">#REF!</definedName>
    <definedName name="D.20SPLIT">#REF!</definedName>
    <definedName name="D_____MASONRY___PLASTER_WORKS">'[54]#REF'!$B$130:$N$176</definedName>
    <definedName name="D1_1">'[109]D&amp;W'!$B$2</definedName>
    <definedName name="D1_2">'[109]D&amp;W'!$B$3</definedName>
    <definedName name="D1_3">'[109]D&amp;W'!$B$4</definedName>
    <definedName name="D1_4">'[109]D&amp;W'!$B$5</definedName>
    <definedName name="D1_5">'[109]D&amp;W'!$B$6</definedName>
    <definedName name="D1_6">'[109]D&amp;W'!$B$7</definedName>
    <definedName name="D1_7">'[109]D&amp;W'!$B$8</definedName>
    <definedName name="D1_8">'[109]D&amp;W'!$B$9</definedName>
    <definedName name="D10BIN">#REF!</definedName>
    <definedName name="D10M">#REF!</definedName>
    <definedName name="D12_">#N/A</definedName>
    <definedName name="D1FO">#REF!</definedName>
    <definedName name="D1x49">[40]chitimc!#REF!</definedName>
    <definedName name="D1x49x49">[40]chitimc!#REF!</definedName>
    <definedName name="D2_1">'[109]D&amp;W'!$B$10</definedName>
    <definedName name="D2_2">'[109]D&amp;W'!$B$11</definedName>
    <definedName name="D2_3">'[109]D&amp;W'!$B$12</definedName>
    <definedName name="D20_">#N/A</definedName>
    <definedName name="D20_copy2">#REF!</definedName>
    <definedName name="D20_crit1">#REF!</definedName>
    <definedName name="D20_crit2">#REF!</definedName>
    <definedName name="D20_end">#REF!</definedName>
    <definedName name="D20_start">#REF!</definedName>
    <definedName name="D200_9SLOT_AC">#REF!</definedName>
    <definedName name="D200_9SLOT_DC">#REF!</definedName>
    <definedName name="d20ac1">[45]Sheet1!$A$112</definedName>
    <definedName name="d20ac2">[45]Sheet1!$A$113</definedName>
    <definedName name="D20AC20_60">#REF!</definedName>
    <definedName name="D20AC40_150">#REF!</definedName>
    <definedName name="D20CABLE">#REF!</definedName>
    <definedName name="D20M">#REF!</definedName>
    <definedName name="D20M1">#REF!</definedName>
    <definedName name="D20M10">#REF!</definedName>
    <definedName name="D20M11">#REF!</definedName>
    <definedName name="D20M12">#REF!</definedName>
    <definedName name="D20M13">#REF!</definedName>
    <definedName name="D20M14">#REF!</definedName>
    <definedName name="D20M2">#REF!</definedName>
    <definedName name="D20M3">#REF!</definedName>
    <definedName name="D20M4">#REF!</definedName>
    <definedName name="D20M5">#REF!</definedName>
    <definedName name="D20M6">#REF!</definedName>
    <definedName name="D20M7">#REF!</definedName>
    <definedName name="D20M8">#REF!</definedName>
    <definedName name="D20M9">#REF!</definedName>
    <definedName name="D20ME1">#REF!</definedName>
    <definedName name="D20ME2">#REF!</definedName>
    <definedName name="D20MEVME1">#REF!</definedName>
    <definedName name="D20MVME">#REF!</definedName>
    <definedName name="D20MVME1">#REF!</definedName>
    <definedName name="D20MVME2">#REF!</definedName>
    <definedName name="D20MVME3">#REF!</definedName>
    <definedName name="D20MVME4">#REF!</definedName>
    <definedName name="D20MVME5">#REF!</definedName>
    <definedName name="D20MVME6">#REF!</definedName>
    <definedName name="D20MVME7">#REF!</definedName>
    <definedName name="D20MVME8">#REF!</definedName>
    <definedName name="D20MVME9">#REF!</definedName>
    <definedName name="d20wes">#REF!</definedName>
    <definedName name="d24nc">'[40]lam-moi'!#REF!</definedName>
    <definedName name="d24vl">'[40]lam-moi'!#REF!</definedName>
    <definedName name="D25_1">#REF!</definedName>
    <definedName name="D2FO">#REF!</definedName>
    <definedName name="D3_1">'[109]D&amp;W'!$B$13</definedName>
    <definedName name="D3_2">'[109]D&amp;W'!$B$14</definedName>
    <definedName name="D3_3">'[109]D&amp;W'!$B$15</definedName>
    <definedName name="D3_4">'[109]D&amp;W'!$B$16</definedName>
    <definedName name="D3_5">'[109]D&amp;W'!$B$17</definedName>
    <definedName name="D3FO">#REF!</definedName>
    <definedName name="D4_1">'[109]D&amp;W'!$B$20</definedName>
    <definedName name="D4_2">'[109]D&amp;W'!$B$21</definedName>
    <definedName name="D6_1">'[109]D&amp;W'!$B$23</definedName>
    <definedName name="D7_1">'[109]D&amp;W'!$B$24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DADF">[46]TRANSDUCERS!#REF!</definedName>
    <definedName name="DAHDFHYA">#REF!</definedName>
    <definedName name="DaiExClie">#REF!</definedName>
    <definedName name="DaiExCus">#REF!</definedName>
    <definedName name="DaiExMadrid">#REF!</definedName>
    <definedName name="DaiExSie">#REF!</definedName>
    <definedName name="DASDAD">[110]CAT_5!#REF!</definedName>
    <definedName name="DASDSAD">#REF!</definedName>
    <definedName name="data">#REF!</definedName>
    <definedName name="DATA_1">'[111]BLR 1'!$S$1:$S$65536</definedName>
    <definedName name="DATA_10">[111]GEN!$R$1:$R$65536</definedName>
    <definedName name="DATA_11">[111]GAS!$R$1:$R$65536</definedName>
    <definedName name="DATA_12">[111]DEAE!$S$1:$S$65536</definedName>
    <definedName name="DATA_2">[111]BLR2!$S$1:$S$65536</definedName>
    <definedName name="DATA_3">[111]BLR3!$S$1:$S$65536</definedName>
    <definedName name="DATA_4">[111]BLR4!$S$1:$S$65536</definedName>
    <definedName name="DATA_5">[111]BLR5!$S$1:$S$65536</definedName>
    <definedName name="DATA_6">[111]DEM!$R$1:$R$65536</definedName>
    <definedName name="DATA_7">[111]SAM!$R$1:$R$65536</definedName>
    <definedName name="DATA_8">[111]CHEM!$R$1:$R$65536</definedName>
    <definedName name="DATA_9">[111]COP!$R$1:$R$65536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Filter">[1]!DataFilter</definedName>
    <definedName name="datalist">#REF!</definedName>
    <definedName name="DataSort">[1]!DataSort</definedName>
    <definedName name="DATASS">[28]DATA!$Q$2:$Q$37</definedName>
    <definedName name="DatatoExport">#REF!</definedName>
    <definedName name="DatatoExporttoAccess">#REF!</definedName>
    <definedName name="dataww" hidden="1">#REF!</definedName>
    <definedName name="Date">'[99]GM 000'!$H$1</definedName>
    <definedName name="Date_Bidding">'[90]Project Brief'!$E$110</definedName>
    <definedName name="DATE_OLD">#REF!</definedName>
    <definedName name="datum">[112]Page2!$AQ$27:$AQ$30</definedName>
    <definedName name="dc">#REF!</definedName>
    <definedName name="DCS_Cable">#REF!</definedName>
    <definedName name="DCS_Clen">#REF!</definedName>
    <definedName name="DCS_IO">#REF!</definedName>
    <definedName name="DCS_LABEL">#REF!</definedName>
    <definedName name="DD">#N/A</definedName>
    <definedName name="DD_1">#N/A</definedName>
    <definedName name="dd1pnc">[40]chitiet!$G$404</definedName>
    <definedName name="dd1pvl">[40]chitiet!$G$383</definedName>
    <definedName name="dd1x2">[113]gvl!$N$9</definedName>
    <definedName name="dd3pctnc">'[40]lam-moi'!#REF!</definedName>
    <definedName name="dd3pctvl">'[40]lam-moi'!#REF!</definedName>
    <definedName name="dd3plmvl">'[40]lam-moi'!#REF!</definedName>
    <definedName name="dd3pnc">'[40]lam-moi'!#REF!</definedName>
    <definedName name="dd3pvl">'[40]lam-moi'!#REF!</definedName>
    <definedName name="dda">#REF!</definedName>
    <definedName name="ddasfsf" hidden="1">{"Datos",#N/A,TRUE,"Datos"}</definedName>
    <definedName name="DDD">#REF!</definedName>
    <definedName name="DDDD">#REF!</definedName>
    <definedName name="ddddd" hidden="1">{#N/A,#N/A,TRUE,"Basic";#N/A,#N/A,TRUE,"EXT-TABLE";#N/A,#N/A,TRUE,"STEEL";#N/A,#N/A,TRUE,"INT-Table";#N/A,#N/A,TRUE,"STEEL";#N/A,#N/A,TRUE,"Door"}</definedName>
    <definedName name="dddddd">#REF!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dddddd" hidden="1">{#N/A,#N/A,TRUE,"Basic";#N/A,#N/A,TRUE,"EXT-TABLE";#N/A,#N/A,TRUE,"STEEL";#N/A,#N/A,TRUE,"INT-Table";#N/A,#N/A,TRUE,"STEEL";#N/A,#N/A,TRUE,"Door"}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D" hidden="1">{#N/A,#N/A,FALSE,"CCTV"}</definedName>
    <definedName name="ddhtnc">'[40]lam-moi'!#REF!</definedName>
    <definedName name="ddhtvl">'[40]lam-moi'!#REF!</definedName>
    <definedName name="ddt2nc">[40]gtrinh!#REF!</definedName>
    <definedName name="ddt2vl">[40]gtrinh!#REF!</definedName>
    <definedName name="ddtd3pnc">'[40]thao-go'!#REF!</definedName>
    <definedName name="ddtt1pnc">[40]gtrinh!#REF!</definedName>
    <definedName name="ddtt1pvl">[40]gtrinh!#REF!</definedName>
    <definedName name="ddtt3pnc">[40]gtrinh!#REF!</definedName>
    <definedName name="ddtt3pvl">[40]gtrinh!#REF!</definedName>
    <definedName name="DebugMode">#REF!</definedName>
    <definedName name="début_chantier">#REF!</definedName>
    <definedName name="declared">#REF!</definedName>
    <definedName name="deco16">#REF!</definedName>
    <definedName name="deco20">#REF!</definedName>
    <definedName name="deco25">#REF!</definedName>
    <definedName name="deco32">#REF!</definedName>
    <definedName name="deco40">#REF!</definedName>
    <definedName name="deco50">#REF!</definedName>
    <definedName name="DefaultGroup">#REF!</definedName>
    <definedName name="degaset" hidden="1">{"MF-601",#N/A,TRUE,"MANT-EX-B(fJ)";"MF-602",#N/A,TRUE,"ELECTR-FJ(B)";"MF-603",#N/A,TRUE,"PERSONAL(FJ)B";"MF-604",#N/A,TRUE,"REACT-P(B)";"MF-6XX",#N/A,TRUE,"Resumen";"MF-605",#N/A,TRUE,"OTR-COS.FJ(B)"}</definedName>
    <definedName name="DELIVER">#REF!</definedName>
    <definedName name="Delshan" hidden="1">{#N/A,#N/A,FALSE,"VCR"}</definedName>
    <definedName name="DeltaP">#N/A</definedName>
    <definedName name="demoliz_base">#REF!</definedName>
    <definedName name="Department">#REF!</definedName>
    <definedName name="DepreciationOptionTypes">#REF!</definedName>
    <definedName name="DESCRIPCION__DE__MATERIALES">#REF!</definedName>
    <definedName name="Description">#REF!</definedName>
    <definedName name="DETAIL_TEXT">#REF!</definedName>
    <definedName name="DETAILS">#REF!</definedName>
    <definedName name="Dev_Engineer">#REF!</definedName>
    <definedName name="Dev_Opt">#REF!</definedName>
    <definedName name="Dev_ProMan">#REF!</definedName>
    <definedName name="DevbyEur">[114]DB1!$D$1</definedName>
    <definedName name="DF">#REF!</definedName>
    <definedName name="dfac">#REF!</definedName>
    <definedName name="dfadfdf" hidden="1">{"MF-601",#N/A,TRUE,"MANT-EX-B(fJ)";"MF-602",#N/A,TRUE,"ELECTR-FJ(B)";"MF-603",#N/A,TRUE,"PERSONAL(FJ)B";"MF-604",#N/A,TRUE,"REACT-P(B)";"MF-605",#N/A,TRUE,"OTR-COS.FJ(B)";"MF-60X",#N/A,TRUE,"Resumen"}</definedName>
    <definedName name="dfaf" hidden="1">{"'장비'!$A$3:$M$12"}</definedName>
    <definedName name="DFDA">[115]CAT_5!#REF!</definedName>
    <definedName name="dfddf" hidden="1">{"Datos",#N/A,TRUE,"Datos"}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adfadf" hidden="1">{"MF-601",#N/A,TRUE,"MANT-EX-B(fJ)";"MF-602",#N/A,TRUE,"ELECTR-FJ(B)";"MF-603",#N/A,TRUE,"PERSONAL(FJ)B";"MF-604",#N/A,TRUE,"REACT-P(B)";"MF-6XX",#N/A,TRUE,"Resumen";"MF-605",#N/A,TRUE,"OTR-COS.FJ(B)"}</definedName>
    <definedName name="dfdfdf" hidden="1">{"Datos",#N/A,TRUE,"Datos"}</definedName>
    <definedName name="dfdfs" hidden="1">{"Datos",#N/A,TRUE,"Datos"}</definedName>
    <definedName name="dfdfsdf" hidden="1">{"Datos",#N/A,TRUE,"Datos"}</definedName>
    <definedName name="dfds" hidden="1">{#N/A,#N/A,FALSE,"Pos 10"}</definedName>
    <definedName name="DFf">#REF!</definedName>
    <definedName name="dffd" hidden="1">{"Datos",#N/A,TRUE,"Datos"}</definedName>
    <definedName name="dffdfdf" hidden="1">{"Datos",#N/A,TRUE,"Datos"}</definedName>
    <definedName name="dfgd" hidden="1">{"Datos",#N/A,TRUE,"Datos"}</definedName>
    <definedName name="dfgdfg">#REF!</definedName>
    <definedName name="dfgdfgdfg">#REF!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h" hidden="1">{"Datos",#N/A,TRUE,"Datos"}</definedName>
    <definedName name="dflt1">'[116]Customize Your Invoice'!$E$22</definedName>
    <definedName name="dflt2">'[116]Customize Your Invoice'!$E$23</definedName>
    <definedName name="dflt3">'[116]Customize Your Invoice'!$D$24</definedName>
    <definedName name="dflt4">'[116]Customize Your Invoice'!$E$26</definedName>
    <definedName name="dflt5">'[116]Customize Your Invoice'!$E$27</definedName>
    <definedName name="dflt6">'[116]Customize Your Invoice'!$D$28</definedName>
    <definedName name="dflt7">'[116]Customize Your Invoice'!$G$27</definedName>
    <definedName name="dfrgr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S">#REF!</definedName>
    <definedName name="dfsa" hidden="1">#REF!</definedName>
    <definedName name="DFSAs">#REF!</definedName>
    <definedName name="dfsdfd" hidden="1">{"Datos",#N/A,TRUE,"Datos"}</definedName>
    <definedName name="DFSHA">#REF!</definedName>
    <definedName name="dg" hidden="1">{"MF-601",#N/A,TRUE,"MANT-EX-B(fJ)";"MF-602",#N/A,TRUE,"ELECTR-FJ(B)";"MF-603",#N/A,TRUE,"PERSONAL(FJ)B";"MF-604",#N/A,TRUE,"REACT-P(B)";"MF-605",#N/A,TRUE,"OTR-COS.FJ(B)";"MF-60X",#N/A,TRUE,"Resumen"}</definedName>
    <definedName name="dgas" hidden="1">{"Datos",#N/A,TRUE,"Datos"}</definedName>
    <definedName name="DGASD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e" hidden="1">{"Datos",#N/A,TRUE,"Datos"}</definedName>
    <definedName name="dgf" hidden="1">{"Datos",#N/A,TRUE,"Datos"}</definedName>
    <definedName name="dgfg">#REF!</definedName>
    <definedName name="dgfgjgj" hidden="1">{#N/A,#N/A,FALSE,"CCTV"}</definedName>
    <definedName name="dgh" hidden="1">{"Datos",#N/A,TRUE,"Datos"}</definedName>
    <definedName name="DGM">[40]DONGIA!$A$453:$F$459</definedName>
    <definedName name="dgnc">#REF!</definedName>
    <definedName name="DGS">'[56]COA-17'!#REF!</definedName>
    <definedName name="DGTH">[40]DONGIA!#REF!</definedName>
    <definedName name="DGTH1">[40]DONGIA!$A$414:$G$452</definedName>
    <definedName name="dgth2">[40]DONGIA!$A$414:$G$439</definedName>
    <definedName name="DGTR">[40]DONGIA!$A$472:$I$521</definedName>
    <definedName name="dgvl">#REF!</definedName>
    <definedName name="DGVL1">[40]DONGIA!$A$5:$F$235</definedName>
    <definedName name="DGVT">'[40]DON GIA'!$C$5:$G$137</definedName>
    <definedName name="dh">#REF!</definedName>
    <definedName name="DHAEGE">#REF!</definedName>
    <definedName name="dhf" hidden="1">{"MF-601",#N/A,TRUE,"MANT-EX-B(fJ)";"MF-602",#N/A,TRUE,"ELECTR-FJ(B)";"MF-603",#N/A,TRUE,"PERSONAL(FJ)B";"MF-604",#N/A,TRUE,"REACT-P(B)";"MF-605",#N/A,TRUE,"OTR-COS.FJ(B)";"MF-60X",#N/A,TRUE,"Resumen"}</definedName>
    <definedName name="dhfss">#REF!</definedName>
    <definedName name="DHS">#REF!</definedName>
    <definedName name="dhyfhts">#REF!</definedName>
    <definedName name="diagram">[117]beam!#REF!</definedName>
    <definedName name="diameter">#REF!</definedName>
    <definedName name="diaphragm">#REF!</definedName>
    <definedName name="dico">#REF!</definedName>
    <definedName name="DIK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IN">[93]References!$D$5:$E$27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cion">#REF!</definedName>
    <definedName name="DirectHours">#REF!</definedName>
    <definedName name="Directo">#REF!</definedName>
    <definedName name="DISC_CODE">#REF!</definedName>
    <definedName name="Discipline">#REF!</definedName>
    <definedName name="Disciplines">#REF!</definedName>
    <definedName name="discount">#REF!</definedName>
    <definedName name="DiscountA">#REF!</definedName>
    <definedName name="DiscountB">#REF!</definedName>
    <definedName name="discwimax">#REF!</definedName>
    <definedName name="display_area_2">#REF!</definedName>
    <definedName name="displaychassis">#REF!</definedName>
    <definedName name="displayrack">#REF!</definedName>
    <definedName name="Div.8">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g" hidden="1">{"Datos",#N/A,TRUE,"Datos"}</definedName>
    <definedName name="djjku" hidden="1">{"Datos",#N/A,TRUE,"Datos"}</definedName>
    <definedName name="djlxdthjd">#REF!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K">#REF!</definedName>
    <definedName name="DL15HT">'[40]TONGKE-HT'!#REF!</definedName>
    <definedName name="DL16HT">'[40]TONGKE-HT'!#REF!</definedName>
    <definedName name="DL19HT">'[40]TONGKE-HT'!#REF!</definedName>
    <definedName name="DL20HT">'[40]TONGKE-HT'!#REF!</definedName>
    <definedName name="dlq">#N/A</definedName>
    <definedName name="dlqckf2">#N/A</definedName>
    <definedName name="DM">#REF!</definedName>
    <definedName name="Dmark">#REF!</definedName>
    <definedName name="DN">#REF!</definedName>
    <definedName name="DOC">'[118]PAGE 1'!$Q$77</definedName>
    <definedName name="DOC_CODE">#REF!</definedName>
    <definedName name="DOC_Title">'[99]GM 000'!$C$1</definedName>
    <definedName name="DOC_TYPE">#REF!</definedName>
    <definedName name="dolar">#REF!</definedName>
    <definedName name="dollar">#REF!</definedName>
    <definedName name="DOLLARFORFUND">[14]Sheet1!$D$7</definedName>
    <definedName name="Dollarforgoods">[14]Sheet1!$D$10</definedName>
    <definedName name="dongia">[40]DG!$A$4:$I$567</definedName>
    <definedName name="dongia1">[40]DG!$A$4:$H$606</definedName>
    <definedName name="door">#REF!</definedName>
    <definedName name="doorsill">[119]BOQ건축!$E$282,[119]BOQ건축!$E$954,[119]BOQ건축!$E$1151</definedName>
    <definedName name="dp">#REF!</definedName>
    <definedName name="DP_ACT">#REF!</definedName>
    <definedName name="DP_MCC">#REF!</definedName>
    <definedName name="dplc">[120]RELAYS!$M$70</definedName>
    <definedName name="dproc">#REF!</definedName>
    <definedName name="Dpt">#REF!</definedName>
    <definedName name="DPT_CODE">#REF!</definedName>
    <definedName name="DR">#REF!</definedName>
    <definedName name="dradrdr" hidden="1">{"Datos",#N/A,TRUE,"Datos"}</definedName>
    <definedName name="drain_trap">#REF!</definedName>
    <definedName name="drsge" hidden="1">{"Datos",#N/A,TRUE,"Datos"}</definedName>
    <definedName name="ds">#N/A</definedName>
    <definedName name="DS_230">#REF!</definedName>
    <definedName name="DS_500">#REF!</definedName>
    <definedName name="DS_500_malt">#REF!</definedName>
    <definedName name="ds1004p">#REF!</definedName>
    <definedName name="ds1004pwp">#REF!</definedName>
    <definedName name="ds1254p">#REF!</definedName>
    <definedName name="ds1254pwp">#REF!</definedName>
    <definedName name="ds1604p">#REF!</definedName>
    <definedName name="ds1604pwp">#REF!</definedName>
    <definedName name="ds1pnc">#REF!</definedName>
    <definedName name="ds1pvl">#REF!</definedName>
    <definedName name="ds2004pwp">#REF!</definedName>
    <definedName name="ds202p">#REF!</definedName>
    <definedName name="ds202pwp">#REF!</definedName>
    <definedName name="ds204p">#REF!</definedName>
    <definedName name="ds2504pwp">#REF!</definedName>
    <definedName name="ds252p">#REF!</definedName>
    <definedName name="ds254p">#REF!</definedName>
    <definedName name="ds254pwp">#REF!</definedName>
    <definedName name="ds322p">#REF!</definedName>
    <definedName name="ds322pwp">#REF!</definedName>
    <definedName name="ds3pnc">#REF!</definedName>
    <definedName name="ds3pvl">#REF!</definedName>
    <definedName name="ds4004pwp">#REF!</definedName>
    <definedName name="ds402p">#REF!</definedName>
    <definedName name="ds402pwp">#REF!</definedName>
    <definedName name="ds404p">#REF!</definedName>
    <definedName name="ds404pwp">#REF!</definedName>
    <definedName name="ds634p">#REF!</definedName>
    <definedName name="ds634pwp">#REF!</definedName>
    <definedName name="dsa">IF([121]품의서!SET*[121]품의서!N3L*[121]품의서!NAT*[121]품의서!NXL=1,1,0)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aSFDWE">[66]AN!$H$5</definedName>
    <definedName name="dsct3pnc">'[40]#REF'!#REF!</definedName>
    <definedName name="dsct3pvl">'[40]#REF'!#REF!</definedName>
    <definedName name="DSDS">#REF!</definedName>
    <definedName name="dsdsaqd">[66]AN!$H$4</definedName>
    <definedName name="DSF">'[56]COA-17'!#REF!</definedName>
    <definedName name="DSFC">#REF!</definedName>
    <definedName name="dsgh" hidden="1">{"Datos",#N/A,TRUE,"Datos"}</definedName>
    <definedName name="DSLC">#REF!</definedName>
    <definedName name="DSS">#REF!</definedName>
    <definedName name="dtj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dtusdiuty">#REF!</definedName>
    <definedName name="dtyj" hidden="1">{"MF-601",#N/A,TRUE,"MANT-EX-B(fJ)";"MF-602",#N/A,TRUE,"ELECTR-FJ(B)";"MF-603",#N/A,TRUE,"PERSONAL(FJ)B";"MF-604",#N/A,TRUE,"REACT-P(B)";"MF-6XX",#N/A,TRUE,"Resumen";"MF-605",#N/A,TRUE,"OTR-COS.FJ(B)"}</definedName>
    <definedName name="dual_plate_check">#REF!</definedName>
    <definedName name="dualask">#REF!</definedName>
    <definedName name="dualc">#REF!</definedName>
    <definedName name="dubai">#REF!</definedName>
    <definedName name="DUCT">#REF!</definedName>
    <definedName name="duong1">[40]DONGIA!#REF!</definedName>
    <definedName name="duong2">[40]DONGIA!#REF!</definedName>
    <definedName name="duong3">[40]DONGIA!#REF!</definedName>
    <definedName name="duong4">[40]DONGIA!#REF!</definedName>
    <definedName name="duong5">[40]DONGIA!#REF!</definedName>
    <definedName name="duplex_strainer">#REF!</definedName>
    <definedName name="dur">#REF!</definedName>
    <definedName name="Duración">#REF!</definedName>
    <definedName name="durée_chantier">#REF!</definedName>
    <definedName name="durée_instal">#REF!</definedName>
    <definedName name="DUTY">#REF!</definedName>
    <definedName name="dw" hidden="1">{"'Sheet1'!$L$16"}</definedName>
    <definedName name="DW9_">#N/A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yt" hidden="1">{"MF-601",#N/A,TRUE,"MANT-EX-B(fJ)";"MF-602",#N/A,TRUE,"ELECTR-FJ(B)";"MF-603",#N/A,TRUE,"PERSONAL(FJ)B";"MF-604",#N/A,TRUE,"REACT-P(B)";"MF-605",#N/A,TRUE,"OTR-COS.FJ(B)";"MF-60X",#N/A,TRUE,"Resumen"}</definedName>
    <definedName name="e" hidden="1">{#N/A,#N/A,FALSE,"Ejector 1";#N/A,#N/A,FALSE,"Ejector 2"}</definedName>
    <definedName name="E____FLOORING___WALL_TILES">'[54]#REF'!$B$181:$I$217</definedName>
    <definedName name="E_I_Eq">#REF!</definedName>
    <definedName name="e_r">#REF!</definedName>
    <definedName name="E0.5">#REF!</definedName>
    <definedName name="Earth_p60">#REF!</definedName>
    <definedName name="Earth_p70">#REF!</definedName>
    <definedName name="Earth_p90">#REF!</definedName>
    <definedName name="Earthing">#REF!</definedName>
    <definedName name="ECHARGE">[14]PLAGCoct03!$BE$32:$BH$32,[14]PLAGCoct03!#REF!,[14]PLAGCoct03!#REF!,[14]PLAGCoct03!#REF!</definedName>
    <definedName name="edar" hidden="1">{"Datos",#N/A,TRUE,"Datos"}</definedName>
    <definedName name="edds">[66]AN!$H$6</definedName>
    <definedName name="edf">#REF!</definedName>
    <definedName name="edyst">#REF!</definedName>
    <definedName name="ee">#REF!</definedName>
    <definedName name="eee">#REF!</definedName>
    <definedName name="eer" hidden="1">{"Datos",#N/A,TRUE,"Datos"}</definedName>
    <definedName name="eet" hidden="1">{"Datos",#N/A,TRUE,"Datos"}</definedName>
    <definedName name="eew">#REF!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GEGEG1">#REF!</definedName>
    <definedName name="eghdfsd">#REF!</definedName>
    <definedName name="EGP">#REF!</definedName>
    <definedName name="egylux1">#REF!</definedName>
    <definedName name="egylux10">#REF!</definedName>
    <definedName name="egylux11">#REF!</definedName>
    <definedName name="egylux12">#REF!</definedName>
    <definedName name="egylux13">#REF!</definedName>
    <definedName name="egylux14">#REF!</definedName>
    <definedName name="egylux15">#REF!</definedName>
    <definedName name="egylux16">#REF!</definedName>
    <definedName name="egylux17">#REF!</definedName>
    <definedName name="egylux18">#REF!</definedName>
    <definedName name="egylux19">#REF!</definedName>
    <definedName name="egylux2">#REF!</definedName>
    <definedName name="egylux20">#REF!</definedName>
    <definedName name="egylux21">#REF!</definedName>
    <definedName name="egylux22">#REF!</definedName>
    <definedName name="egylux23">#REF!</definedName>
    <definedName name="egylux24">#REF!</definedName>
    <definedName name="egylux25">#REF!</definedName>
    <definedName name="egylux26">#REF!</definedName>
    <definedName name="egylux27">#REF!</definedName>
    <definedName name="egylux28">#REF!</definedName>
    <definedName name="egylux4">#REF!</definedName>
    <definedName name="egylux511">#REF!</definedName>
    <definedName name="egylux6">#REF!</definedName>
    <definedName name="egylux7">#REF!</definedName>
    <definedName name="egylux8">#REF!</definedName>
    <definedName name="egylux9">#REF!</definedName>
    <definedName name="eibom">#REF!</definedName>
    <definedName name="el">#REF!</definedName>
    <definedName name="ele">#REF!</definedName>
    <definedName name="ELEC_LABEL">#REF!</definedName>
    <definedName name="ELEC1">[14]PLAGCoct03!$AQ$30:$AT$30,[14]PLAGCoct03!#REF!,[14]PLAGCoct03!$AU$45:$BB$45,[14]PLAGCoct03!#REF!,[14]PLAGCoct03!#REF!,[14]PLAGCoct03!#REF!,[14]PLAGCoct03!#REF!,[14]PLAGCoct03!#REF!</definedName>
    <definedName name="ELEC2">[14]PLAGCoct03!#REF!,[14]PLAGCoct03!#REF!,[14]PLAGCoct03!#REF!,[14]PLAGCoct03!#REF!,[14]PLAGCoct03!#REF!,[14]PLAGCoct03!#REF!,[14]PLAGCoct03!#REF!,[14]PLAGCoct03!#REF!,[14]PLAGCoct03!#REF!,[14]PLAGCoct03!#REF!,[14]PLAGCoct03!#REF!</definedName>
    <definedName name="elec91">#REF!</definedName>
    <definedName name="elec92">#REF!</definedName>
    <definedName name="elec93">#REF!</definedName>
    <definedName name="elec94">#REF!</definedName>
    <definedName name="elec95">#REF!</definedName>
    <definedName name="ELECBILL">#REF!</definedName>
    <definedName name="ELECT">#N/A</definedName>
    <definedName name="ELECTRA">'[28]MAIN MATERIAL DATABASE'!$G$1:$G$65536</definedName>
    <definedName name="ELECTRA1">'[28]MAIN MATERIAL DATABASE'!#REF!</definedName>
    <definedName name="ELECTRA2">'[28]MAIN MATERIAL DATABASE'!#REF!</definedName>
    <definedName name="eLECTRICAL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ELECTSUM">#REF!</definedName>
    <definedName name="ELESTER">'[28]MAIN MATERIAL DATABASE'!$AX$1:$AX$65536</definedName>
    <definedName name="emco20">#REF!</definedName>
    <definedName name="emco25">#REF!</definedName>
    <definedName name="emco32">#REF!</definedName>
    <definedName name="emco40">#REF!</definedName>
    <definedName name="emco50">#REF!</definedName>
    <definedName name="EMEmic1">#REF!</definedName>
    <definedName name="EMEmic2">#REF!</definedName>
    <definedName name="EMEmic3">#REF!</definedName>
    <definedName name="Emetteur__prechan">#REF!</definedName>
    <definedName name="Emilio" hidden="1">[122]DESBASTE!#REF!</definedName>
    <definedName name="emilio1" hidden="1">#REF!</definedName>
    <definedName name="Emilio2" hidden="1">[123]LLEGADA!#REF!</definedName>
    <definedName name="EMPRESA_1">#REF!</definedName>
    <definedName name="EMPRESA_2">#REF!</definedName>
    <definedName name="EMPRESA_3">#REF!</definedName>
    <definedName name="EMPRESA_4">#REF!</definedName>
    <definedName name="EMPRESA_5">#REF!</definedName>
    <definedName name="end">#REF!</definedName>
    <definedName name="END_COS_FC">#REF!</definedName>
    <definedName name="END_COS_SUP">#REF!</definedName>
    <definedName name="end_del">#REF!</definedName>
    <definedName name="END_EX_COSS">#REF!</definedName>
    <definedName name="END_EX_PAYFC">#REF!</definedName>
    <definedName name="END_EX_PAYLC">#REF!</definedName>
    <definedName name="END_EX_PAYS">#REF!</definedName>
    <definedName name="END_PAY_FC">#REF!</definedName>
    <definedName name="END_PAY_LC">#REF!</definedName>
    <definedName name="END_PAY_SUP">#REF!</definedName>
    <definedName name="endall_del">#REF!</definedName>
    <definedName name="EndTime">#REF!</definedName>
    <definedName name="Eng_costs_FC">#REF!</definedName>
    <definedName name="Eng_costs_LC">#REF!</definedName>
    <definedName name="Eng_hours">[124]Eng.hour_DB!$A$2:$J$329</definedName>
    <definedName name="ENTETE">#REF!</definedName>
    <definedName name="Entradas">NA()</definedName>
    <definedName name="ENTREGA">#REF!</definedName>
    <definedName name="EQ">'[125]ANEXO 1 2.2.1 (BUND 101)'!#REF!</definedName>
    <definedName name="eq_name">[126]eq_data!$C$5:$C$54</definedName>
    <definedName name="equip">#REF!</definedName>
    <definedName name="equip_name">#REF!</definedName>
    <definedName name="equip_no">#REF!</definedName>
    <definedName name="EquipmentHP">'[127]6,000'!#REF!</definedName>
    <definedName name="Equipo">#REF!</definedName>
    <definedName name="Equipo_Electrico">#REF!</definedName>
    <definedName name="equivalente">'[128]OT 70346 Costo tarjetas '!$F$39</definedName>
    <definedName name="ER" hidden="1">{#N/A,#N/A,FALSE,"Ejector 1";#N/A,#N/A,FALSE,"Ejector 2"}</definedName>
    <definedName name="ER0.75">#REF!</definedName>
    <definedName name="era">#REF!</definedName>
    <definedName name="ERE">#REF!</definedName>
    <definedName name="EREC0.5">#REF!</definedName>
    <definedName name="EREC0.75">#REF!</definedName>
    <definedName name="EREC1">#REF!</definedName>
    <definedName name="EREC1.25">#REF!</definedName>
    <definedName name="EREC1.5">#REF!</definedName>
    <definedName name="EREC10">#REF!</definedName>
    <definedName name="erec12">#REF!</definedName>
    <definedName name="erec14">#REF!</definedName>
    <definedName name="erec16">#REF!</definedName>
    <definedName name="erec18">#REF!</definedName>
    <definedName name="EREC2">#REF!</definedName>
    <definedName name="EREC2.5">#REF!</definedName>
    <definedName name="erec20">#REF!</definedName>
    <definedName name="erec24">#REF!</definedName>
    <definedName name="EREC3">#REF!</definedName>
    <definedName name="EREC4">#REF!</definedName>
    <definedName name="EREC5">#REF!</definedName>
    <definedName name="EREC6">#REF!</definedName>
    <definedName name="EREC8">#REF!</definedName>
    <definedName name="Erect_FC">#REF!</definedName>
    <definedName name="Erect_LC">#REF!</definedName>
    <definedName name="erect_ttl">#REF!</definedName>
    <definedName name="Erect_Unit01">'[92]1'!#REF!</definedName>
    <definedName name="Erection_and_Civil">#REF!</definedName>
    <definedName name="ERESG">[129]設計費!$T$10</definedName>
    <definedName name="ERESN">[129]設計費!$S$10</definedName>
    <definedName name="ERQASDF">#REF!</definedName>
    <definedName name="ErrName162821590" hidden="1">[68]Cash2!$K$16:$K$36</definedName>
    <definedName name="ErrName410073220">#REF!</definedName>
    <definedName name="ErrName646587132">"SQRT"</definedName>
    <definedName name="ERS">#REF!</definedName>
    <definedName name="Ersteller">#REF!</definedName>
    <definedName name="ERT" hidden="1">{#N/A,#N/A,FALSE,"Ejector 1";#N/A,#N/A,FALSE,"Ejector 2"}</definedName>
    <definedName name="ertgtr" hidden="1">{"Datos",#N/A,TRUE,"Datos"}</definedName>
    <definedName name="ertr" hidden="1">{"Datos",#N/A,TRUE,"Datos"}</definedName>
    <definedName name="erttte" hidden="1">{"Datos",#N/A,TRUE,"Datos"}</definedName>
    <definedName name="erty" hidden="1">#REF!</definedName>
    <definedName name="ERTYUIOPèASDFG" hidden="1">{#N/A,#N/A,FALSE,"Ejector 1";#N/A,#N/A,FALSE,"Ejector 2"}</definedName>
    <definedName name="ERTYUIOPèASDFGH" hidden="1">{#N/A,#N/A,FALSE,"Ejector 1";#N/A,#N/A,FALSE,"Ejector 2"}</definedName>
    <definedName name="ery" hidden="1">{"Datos",#N/A,TRUE,"Datos"}</definedName>
    <definedName name="eryaey" hidden="1">{"Datos",#N/A,TRUE,"Datos"}</definedName>
    <definedName name="es" hidden="1">{"'Sheet1'!$L$16"}</definedName>
    <definedName name="ES_DCS">#REF!</definedName>
    <definedName name="est">'[14]WITHOUT C&amp;I PROFIT (3)'!#REF!</definedName>
    <definedName name="ESTIMACION">[130]SHEETS!$B$66:$B$67</definedName>
    <definedName name="estimateb" hidden="1">{#N/A,#N/A,TRUE,"Cover";#N/A,#N/A,TRUE,"Conts";#N/A,#N/A,TRUE,"VOS";#N/A,#N/A,TRUE,"Warrington";#N/A,#N/A,TRUE,"Widnes"}</definedName>
    <definedName name="ESTRAZIONE">#REF!</definedName>
    <definedName name="ESTRUCTURAS">[131]SHEETS!$B$26:$B$35</definedName>
    <definedName name="et" hidden="1">{"'Sheet1'!$L$16"}</definedName>
    <definedName name="ety" hidden="1">{"Datos",#N/A,TRUE,"Datos"}</definedName>
    <definedName name="EUR">#REF!</definedName>
    <definedName name="euro">#REF!</definedName>
    <definedName name="EUROforGOODS">[14]Sheet1!$D$8</definedName>
    <definedName name="euty" hidden="1">{"Datos",#N/A,TRUE,"Datos"}</definedName>
    <definedName name="EV__LASTREFTIME__" hidden="1">"17.01.2008 09:28:45"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134217855</definedName>
    <definedName name="EV__WBVERSION__" hidden="1">0</definedName>
    <definedName name="EW">#N/A</definedName>
    <definedName name="EWEIND">'[28]MAIN MATERIAL DATABASE'!#REF!</definedName>
    <definedName name="ewf" hidden="1">[22]FitOutConfCentre!#REF!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_joint">#REF!</definedName>
    <definedName name="Exca_unitprice">#REF!</definedName>
    <definedName name="Exca_unitprice_h">#REF!</definedName>
    <definedName name="Exca_unitprice_u">#REF!</definedName>
    <definedName name="excav">#REF!</definedName>
    <definedName name="excdp">#REF!</definedName>
    <definedName name="Excel_BuiltIn_Recorder">#REF!</definedName>
    <definedName name="EXCEL고급">#REF!</definedName>
    <definedName name="EXCEL중급">#REF!</definedName>
    <definedName name="ExcessAllocationTypes">#REF!</definedName>
    <definedName name="EXCH">#REF!</definedName>
    <definedName name="Exch_rates">[132]Exch_rates!$A$1:$C$17</definedName>
    <definedName name="exchange">[96]D25!$AA$1</definedName>
    <definedName name="Exchange_Rate">'[90]Project Brief'!$E$100</definedName>
    <definedName name="ExchangeRates">[105]FxExchangeRatesBudget!$A$4:$C$120</definedName>
    <definedName name="ExchRate">#REF!</definedName>
    <definedName name="eXCLUSIONS" hidden="1">{#N/A,#N/A,TRUE,"Cover";#N/A,#N/A,TRUE,"Conts";#N/A,#N/A,TRUE,"VOS";#N/A,#N/A,TRUE,"Warrington";#N/A,#N/A,TRUE,"Widnes"}</definedName>
    <definedName name="EXDF">#REF!</definedName>
    <definedName name="EXMC">#REF!</definedName>
    <definedName name="EXMOB">#REF!</definedName>
    <definedName name="EXP_COS">#REF!</definedName>
    <definedName name="EXP_PAY">#REF!</definedName>
    <definedName name="EXPAFC">#REF!</definedName>
    <definedName name="EXPALC">#REF!</definedName>
    <definedName name="EXPOS">#REF!</definedName>
    <definedName name="exrate">#REF!</definedName>
    <definedName name="EXTIM2">#REF!</definedName>
    <definedName name="EXTIM3">#REF!</definedName>
    <definedName name="EXTIM4">#REF!</definedName>
    <definedName name="extrac_a_trier">#REF!</definedName>
    <definedName name="_xlnm.Extract">'[1]KR2&amp;KVCM(MAR 1-6''99)'!#REF!</definedName>
    <definedName name="ey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eyteyt" hidden="1">{#N/A,#N/A,FALSE,"CCTV"}</definedName>
    <definedName name="eyy" hidden="1">{"MF-601",#N/A,TRUE,"MANT-EX-B(fJ)";"MF-602",#N/A,TRUE,"ELECTR-FJ(B)";"MF-603",#N/A,TRUE,"PERSONAL(FJ)B";"MF-604",#N/A,TRUE,"REACT-P(B)";"MF-6XX",#N/A,TRUE,"Resumen";"MF-605",#N/A,TRUE,"OTR-COS.FJ(B)"}</definedName>
    <definedName name="F">#REF!</definedName>
    <definedName name="f.p.1001">#REF!</definedName>
    <definedName name="f.p.1001.5">#REF!</definedName>
    <definedName name="f.p.1002.5">#REF!</definedName>
    <definedName name="f.p.2002x1">#REF!</definedName>
    <definedName name="f.p.2002x1.5">#REF!</definedName>
    <definedName name="f.p.2004x1">#REF!</definedName>
    <definedName name="f.p.2004x1.5">#REF!</definedName>
    <definedName name="F_____PAINTING">'[54]#REF'!$B$220:$N$250</definedName>
    <definedName name="f92F56">[40]dtxl!#REF!</definedName>
    <definedName name="FAC">#REF!</definedName>
    <definedName name="fac_value">#REF!</definedName>
    <definedName name="FACFC">#REF!</definedName>
    <definedName name="FACLC">#REF!</definedName>
    <definedName name="FACS">#REF!</definedName>
    <definedName name="fact_Ach_Ch">#REF!</definedName>
    <definedName name="fact_ach_charpente">#REF!</definedName>
    <definedName name="fact_arr_tr">#REF!</definedName>
    <definedName name="fact_cfr">#REF!</definedName>
    <definedName name="fact_civil">#REF!</definedName>
    <definedName name="fact_euro">#REF!</definedName>
    <definedName name="fact_euros">#REF!</definedName>
    <definedName name="fact_fob">#REF!</definedName>
    <definedName name="fact_Marge">#REF!</definedName>
    <definedName name="fact_marge_BT">#REF!</definedName>
    <definedName name="fact_marge_câble">#REF!</definedName>
    <definedName name="fact_marge_Ch">#REF!</definedName>
    <definedName name="fact_marge_divers">#REF!</definedName>
    <definedName name="fact_marge_eaui">#REF!</definedName>
    <definedName name="fact_marge_equi">#REF!</definedName>
    <definedName name="fact_marge_HF">#REF!</definedName>
    <definedName name="fact_marge_HT">#REF!</definedName>
    <definedName name="fact_marge_MT">#REF!</definedName>
    <definedName name="fact_marge_SA">#REF!</definedName>
    <definedName name="fact_mont_charp">#REF!</definedName>
    <definedName name="fact_quant_trav">#REF!</definedName>
    <definedName name="fact_taux_hor">#REF!</definedName>
    <definedName name="fact_taux_mont">#REF!</definedName>
    <definedName name="fact_taxes">#REF!</definedName>
    <definedName name="fact_taxes_four">#REF!</definedName>
    <definedName name="fact_th">#REF!</definedName>
    <definedName name="fact_th_mont">#REF!</definedName>
    <definedName name="fact_th_pose">#REF!</definedName>
    <definedName name="fact_th_racc">#REF!</definedName>
    <definedName name="fact_trd">#REF!</definedName>
    <definedName name="fact_trd2">#REF!</definedName>
    <definedName name="fact_trtr">#REF!</definedName>
    <definedName name="fact_trtr2">#REF!</definedName>
    <definedName name="Factor">#REF!</definedName>
    <definedName name="factor1">#REF!</definedName>
    <definedName name="factor2">#REF!</definedName>
    <definedName name="Factora">[60]Kalk_90_H2!$C$42/[60]Kalk_90_H2!$C$35</definedName>
    <definedName name="fafdadg" hidden="1">#REF!</definedName>
    <definedName name="FAREND2">[28]DATA!#REF!</definedName>
    <definedName name="FAREND2LC">[28]DATA!$W$24</definedName>
    <definedName name="FAREND2PP">[28]DATA!$Y$24</definedName>
    <definedName name="FAREND2RC">[28]DATA!$U$24</definedName>
    <definedName name="FAREND6LC">[28]DATA!$W$34</definedName>
    <definedName name="FAREND6PP">[28]DATA!$Y$34</definedName>
    <definedName name="FAREND6RC">[28]DATA!$U$34</definedName>
    <definedName name="FARENDP2">[28]DATA!#REF!</definedName>
    <definedName name="FARENDPP">[28]DATA!#REF!</definedName>
    <definedName name="FARENDPP2">[28]DATA!#REF!</definedName>
    <definedName name="fasfsdfsdfasdfsdfsd" hidden="1">{#N/A,#N/A,TRUE,"Basic";#N/A,#N/A,TRUE,"EXT-TABLE";#N/A,#N/A,TRUE,"STEEL";#N/A,#N/A,TRUE,"INT-Table";#N/A,#N/A,TRUE,"STEEL";#N/A,#N/A,TRUE,"Door"}</definedName>
    <definedName name="Fb">#REF!</definedName>
    <definedName name="FC">#REF!</definedName>
    <definedName name="FC_LC_Rate">#REF!</definedName>
    <definedName name="FC_SC">#REF!</definedName>
    <definedName name="fcb_Tender_reference">[39]Sheet1!$E$5</definedName>
    <definedName name="fcbom">#REF!</definedName>
    <definedName name="FCode" hidden="1">#REF!</definedName>
    <definedName name="fd" hidden="1">{"'Sheet1'!$L$16"}</definedName>
    <definedName name="fdasfaf" hidden="1">[133]Staffing!#REF!</definedName>
    <definedName name="fdd">#REF!</definedName>
    <definedName name="fddfhdfhdgh" hidden="1">{#N/A,#N/A,FALSE,"CCTV"}</definedName>
    <definedName name="FDDFS">#REF!</definedName>
    <definedName name="fdf" hidden="1">{#N/A,#N/A,FALSE,"CCTV"}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" hidden="1">{#N/A,#N/A,FALSE,"CCTV"}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fdg">#REF!</definedName>
    <definedName name="fdgh">#REF!</definedName>
    <definedName name="fdgk" hidden="1">{"'Sheet1'!$L$16"}</definedName>
    <definedName name="fdhgh" hidden="1">{"Datos",#N/A,TRUE,"Datos"}</definedName>
    <definedName name="FDS">'[56]COA-17'!#REF!</definedName>
    <definedName name="fds1004p">#REF!</definedName>
    <definedName name="fds1004pwp">#REF!</definedName>
    <definedName name="fds1254pwp">#REF!</definedName>
    <definedName name="fds1604p">#REF!</definedName>
    <definedName name="fds1604pwp">#REF!</definedName>
    <definedName name="fds2004pwp">#REF!</definedName>
    <definedName name="fds202p">#REF!</definedName>
    <definedName name="fds202pwp">#REF!</definedName>
    <definedName name="fds203pwp">#REF!</definedName>
    <definedName name="fds2504pwp">#REF!</definedName>
    <definedName name="fds252p">#REF!</definedName>
    <definedName name="fds253p">#REF!</definedName>
    <definedName name="fds253pwp">#REF!</definedName>
    <definedName name="fds322p">#REF!</definedName>
    <definedName name="fds322pwp">#REF!</definedName>
    <definedName name="fds4004pwp">#REF!</definedName>
    <definedName name="fds402p">#REF!</definedName>
    <definedName name="fds402pwp">#REF!</definedName>
    <definedName name="fds403p">#REF!</definedName>
    <definedName name="fds404p">#REF!</definedName>
    <definedName name="fds404pwp">#REF!</definedName>
    <definedName name="fds634p">#REF!</definedName>
    <definedName name="fds634pwp">#REF!</definedName>
    <definedName name="FDSF">#REF!</definedName>
    <definedName name="fe" hidden="1">{"'Sheet1'!$L$16"}</definedName>
    <definedName name="feA">#REF!</definedName>
    <definedName name="Fecha">#REF!</definedName>
    <definedName name="FED">#REF!</definedName>
    <definedName name="fedf">#REF!</definedName>
    <definedName name="feeder">[134]Data!$J$12:$L$13</definedName>
    <definedName name="FEF">#REF!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rro">#REF!</definedName>
    <definedName name="ff" hidden="1">{#N/A,#N/A,FALSE,"CCTV"}</definedName>
    <definedName name="ffdg" hidden="1">{"Datos",#N/A,TRUE,"Datos"}</definedName>
    <definedName name="ffds" hidden="1">{"Datos",#N/A,TRUE,"Datos"}</definedName>
    <definedName name="fff" hidden="1">#REF!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">#REF!</definedName>
    <definedName name="fgbvfd" hidden="1">{"Datos",#N/A,TRUE,"Datos"}</definedName>
    <definedName name="FGF" hidden="1">{#N/A,#N/A,FALSE,"CCTV"}</definedName>
    <definedName name="FGG" hidden="1">#REF!</definedName>
    <definedName name="fghf" hidden="1">{"Datos",#N/A,TRUE,"Datos"}</definedName>
    <definedName name="fghj" hidden="1">#REF!</definedName>
    <definedName name="fgj" hidden="1">{"Datos",#N/A,TRUE,"Datos"}</definedName>
    <definedName name="fgnhfg" hidden="1">#REF!</definedName>
    <definedName name="fgqa">#REF!</definedName>
    <definedName name="fgt">#REF!</definedName>
    <definedName name="fh">#REF!</definedName>
    <definedName name="fhgh" hidden="1">{"Datos",#N/A,TRUE,"Datos"}</definedName>
    <definedName name="fhgjfghfghgf" hidden="1">{#N/A,#N/A,FALSE,"CCTV"}</definedName>
    <definedName name="Fianza">#REF!,#REF!</definedName>
    <definedName name="FICHA">#REF!</definedName>
    <definedName name="FILE">'[118]PAGE 1'!$G$77</definedName>
    <definedName name="Filename">#REF!</definedName>
    <definedName name="filename1">#REF!</definedName>
    <definedName name="FileNameSummary">[135]Main!#REF!</definedName>
    <definedName name="final">[136]BOQ!#REF!</definedName>
    <definedName name="fire821">#REF!</definedName>
    <definedName name="fire822">#REF!</definedName>
    <definedName name="fire823">#REF!</definedName>
    <definedName name="fire824">#REF!</definedName>
    <definedName name="firesum">#REF!</definedName>
    <definedName name="FIRST_ISSUE">#REF!</definedName>
    <definedName name="FISUP">'[28]MAIN MATERIAL DATABASE'!$AC$1:$AC$65536</definedName>
    <definedName name="Fitters">#REF!</definedName>
    <definedName name="fjjh" hidden="1">{"Datos",#N/A,TRUE,"Datos"}</definedName>
    <definedName name="fkyuu" hidden="1">{"Datos",#N/A,TRUE,"Datos"}</definedName>
    <definedName name="fl">#REF!</definedName>
    <definedName name="FlightClie">#REF!</definedName>
    <definedName name="FlightCus">#REF!</definedName>
    <definedName name="FlightSie">#REF!</definedName>
    <definedName name="Fluid">#REF!</definedName>
    <definedName name="Fluid_group">[93]References!$J$5:$L$27</definedName>
    <definedName name="FO">[28]DATA!$R$65</definedName>
    <definedName name="FOB">#REF!</definedName>
    <definedName name="FOB_FC_Group">#REF!</definedName>
    <definedName name="FOB_FC_Main">#REF!</definedName>
    <definedName name="FOB_FC_Other">#REF!</definedName>
    <definedName name="FOB_LC_Main">#REF!</definedName>
    <definedName name="FOB_LC_Other">#REF!</definedName>
    <definedName name="FOMDF">[28]DATA!$W$65</definedName>
    <definedName name="FOOT">#N/A</definedName>
    <definedName name="FOP">[28]DATA!$U$65</definedName>
    <definedName name="Foreman">#REF!</definedName>
    <definedName name="forfaitE">#REF!</definedName>
    <definedName name="forfaitF">#REF!</definedName>
    <definedName name="Form_support">#REF!</definedName>
    <definedName name="Form_unitp">#REF!</definedName>
    <definedName name="Form_unitp_h">#REF!</definedName>
    <definedName name="Form_unitph">#REF!</definedName>
    <definedName name="Form_unitprice">#REF!</definedName>
    <definedName name="Form_unitprice_h">#REF!</definedName>
    <definedName name="Form_up_h">#REF!</definedName>
    <definedName name="FORM1">#REF!</definedName>
    <definedName name="FORMATO">#REF!</definedName>
    <definedName name="FoulFactorUnit">#REF!</definedName>
    <definedName name="FOUNDATION">#REF!</definedName>
    <definedName name="FOUNDATIONS">#REF!</definedName>
    <definedName name="FR">[28]DATA!$R$59</definedName>
    <definedName name="fraw" hidden="1">{"Datos",#N/A,TRUE,"Datos"}</definedName>
    <definedName name="FRC">#REF!</definedName>
    <definedName name="FRF">#REF!</definedName>
    <definedName name="frgtrgtrgtrtr">#REF!</definedName>
    <definedName name="From_support">#REF!</definedName>
    <definedName name="front">#REF!</definedName>
    <definedName name="fs" hidden="1">{"'Sheet1'!$L$16"}</definedName>
    <definedName name="fSD">#REF!</definedName>
    <definedName name="fsda" hidden="1">{#N/A,#N/A,TRUE,"Basic";#N/A,#N/A,TRUE,"EXT-TABLE";#N/A,#N/A,TRUE,"STEEL";#N/A,#N/A,TRUE,"INT-Table";#N/A,#N/A,TRUE,"STEEL";#N/A,#N/A,TRUE,"Door"}</definedName>
    <definedName name="fsDd">#REF!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sd" hidden="1">#REF!</definedName>
    <definedName name="FSF">[137]CAT_5!#REF!</definedName>
    <definedName name="Fuera">#REF!</definedName>
    <definedName name="FueraSS">#REF!</definedName>
    <definedName name="FueraSS___0">#REF!</definedName>
    <definedName name="FUNDATION">[131]SHEETS!$B$55:$B$59</definedName>
    <definedName name="FUNDATIONS">[130]SHEETS!$B$55:$B$59</definedName>
    <definedName name="FUNKE">'[28]MAIN MATERIAL DATABASE'!$AJ$1:$AJ$65536</definedName>
    <definedName name="fx">#REF!</definedName>
    <definedName name="fxz">'[56]C-18'!#REF!</definedName>
    <definedName name="fy">#REF!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>#REF!</definedName>
    <definedName name="FYStartYear">#REF!</definedName>
    <definedName name="G">#REF!</definedName>
    <definedName name="G______SANITARY___PLUMBING">'[54]#REF'!$B$254:$M$331</definedName>
    <definedName name="G2_5">#REF!</definedName>
    <definedName name="ga" hidden="1">{#N/A,#N/A,FALSE,"Ejector 1";#N/A,#N/A,FALSE,"Ejector 2"}</definedName>
    <definedName name="gaaAA">#REF!</definedName>
    <definedName name="gaag">#REF!</definedName>
    <definedName name="gal" hidden="1">{#N/A,#N/A,FALSE,"Ejector 1";#N/A,#N/A,FALSE,"Ejector 2"}</definedName>
    <definedName name="gali" hidden="1">{#N/A,#N/A,FALSE,"Ejector 1";#N/A,#N/A,FALSE,"Ejector 2"}</definedName>
    <definedName name="galia" hidden="1">{#N/A,#N/A,FALSE,"Ejector 1";#N/A,#N/A,FALSE,"Ejector 2"}</definedName>
    <definedName name="galiar" hidden="1">{#N/A,#N/A,FALSE,"Ejector 1";#N/A,#N/A,FALSE,"Ejector 2"}</definedName>
    <definedName name="galiard" hidden="1">{#N/A,#N/A,FALSE,"Ejector 1";#N/A,#N/A,FALSE,"Ejector 2"}</definedName>
    <definedName name="Gamme">#REF!</definedName>
    <definedName name="gasgh" hidden="1">{#N/A,#N/A,FALSE,"Project Cost Summary";#N/A,#N/A,FALSE,"Man Hour Summary"}</definedName>
    <definedName name="gate">#REF!</definedName>
    <definedName name="gb">#REF!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P">#REF!</definedName>
    <definedName name="ＧＣＦ">#REF!</definedName>
    <definedName name="GCI">[16]川崎HRSG!#REF!</definedName>
    <definedName name="GD">#REF!</definedName>
    <definedName name="gdfdf">[66]AN!$H$3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sd" hidden="1">{"Datos",#N/A,TRUE,"Datos"}</definedName>
    <definedName name="gdsgsg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tting_Started">#REF!</definedName>
    <definedName name="GEu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">#REF!</definedName>
    <definedName name="gfasd">#REF!</definedName>
    <definedName name="gfd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gfdg" hidden="1">{"Datos",#N/A,TRUE,"Datos"}</definedName>
    <definedName name="gfdh" hidden="1">{"Datos",#N/A,TRUE,"Datos"}</definedName>
    <definedName name="gff" hidden="1">{"Datos",#N/A,TRUE,"Datos"}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g" hidden="1">{"Datos",#N/A,TRUE,"Datos"}</definedName>
    <definedName name="gfhd" hidden="1">{"Datos",#N/A,TRUE,"Datos"}</definedName>
    <definedName name="gfhst" hidden="1">{"Datos",#N/A,TRUE,"Datos"}</definedName>
    <definedName name="gfjgfh" hidden="1">{#N/A,#N/A,FALSE,"CCTV"}</definedName>
    <definedName name="gfjgfhfg" hidden="1">{#N/A,#N/A,FALSE,"CCTV"}</definedName>
    <definedName name="GFO">#REF!</definedName>
    <definedName name="gfs" hidden="1">{"Datos",#N/A,TRUE,"Datos"}</definedName>
    <definedName name="gg">#REF!</definedName>
    <definedName name="ggffg">#REF!</definedName>
    <definedName name="ggg">#REF!</definedName>
    <definedName name="gggg" hidden="1">#REF!</definedName>
    <definedName name="g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">#N/A</definedName>
    <definedName name="ghbtrea">#REF!</definedName>
    <definedName name="ghdfd">#REF!</definedName>
    <definedName name="ghdjktu" hidden="1">{"Datos",#N/A,TRUE,"Datos"}</definedName>
    <definedName name="ghfhf" hidden="1">#REF!</definedName>
    <definedName name="ghfj" hidden="1">{"Datos",#N/A,TRUE,"Datos"}</definedName>
    <definedName name="ghg">#REF!</definedName>
    <definedName name="ghh" hidden="1">{"Datos",#N/A,TRUE,"Datos"}</definedName>
    <definedName name="ghhh">#REF!</definedName>
    <definedName name="ghku" hidden="1">{"Datos",#N/A,TRUE,"Datos"}</definedName>
    <definedName name="ghldg">#N/A</definedName>
    <definedName name="ghsf" hidden="1">{"Datos",#N/A,TRUE,"Datos"}</definedName>
    <definedName name="ghtgf">#REF!</definedName>
    <definedName name="ghth">#REF!</definedName>
    <definedName name="ghyjfsth">#REF!</definedName>
    <definedName name="gid" hidden="1">{"'Sheet1'!$L$16"}</definedName>
    <definedName name="giluuo" hidden="1">{"Datos",#N/A,TRUE,"Datos"}</definedName>
    <definedName name="girth">#REF!</definedName>
    <definedName name="GIU" hidden="1">{#N/A,#N/A,FALSE,"Ejector 1";#N/A,#N/A,FALSE,"Ejector 2"}</definedName>
    <definedName name="giul" hidden="1">{#N/A,#N/A,FALSE,"Ejector 1";#N/A,#N/A,FALSE,"Ejector 2"}</definedName>
    <definedName name="giuli" hidden="1">{#N/A,#N/A,FALSE,"Ejector 1";#N/A,#N/A,FALSE,"Ejector 2"}</definedName>
    <definedName name="giulia" hidden="1">{#N/A,#N/A,FALSE,"Ejector 1";#N/A,#N/A,FALSE,"Ejector 2"}</definedName>
    <definedName name="giulian" hidden="1">{#N/A,#N/A,FALSE,"Ejector 1";#N/A,#N/A,FALSE,"Ejector 2"}</definedName>
    <definedName name="giuliano" hidden="1">{#N/A,#N/A,FALSE,"Ejector 1";#N/A,#N/A,FALSE,"Ejector 2"}</definedName>
    <definedName name="giulianog" hidden="1">{#N/A,#N/A,FALSE,"Ejector 1";#N/A,#N/A,FALSE,"Ejector 2"}</definedName>
    <definedName name="giulianoga" hidden="1">{#N/A,#N/A,FALSE,"Ejector 1";#N/A,#N/A,FALSE,"Ejector 2"}</definedName>
    <definedName name="gj" hidden="1">{"'Sheet1'!$L$16"}</definedName>
    <definedName name="gjkhj" hidden="1">{"Datos",#N/A,TRUE,"Datos"}</definedName>
    <definedName name="gkd" hidden="1">{"'Sheet1'!$L$16"}</definedName>
    <definedName name="gklg">#REF!</definedName>
    <definedName name="gklgglglg">[55]TRANSDUCERS!#REF!</definedName>
    <definedName name="gl3p">#REF!</definedName>
    <definedName name="globale_marge">#REF!</definedName>
    <definedName name="globe">#REF!</definedName>
    <definedName name="gm_markup">#REF!</definedName>
    <definedName name="gmd" hidden="1">{#N/A,#N/A,FALSE,"Matrix";#N/A,#N/A,FALSE,"Executive";#N/A,#N/A,FALSE,"Summary"}</definedName>
    <definedName name="Go_Cost">#N/A</definedName>
    <definedName name="GoBack">[1]!GoBack</definedName>
    <definedName name="golK" hidden="1">"hugo2004"</definedName>
    <definedName name="GPS">[45]Sheet1!$A$46</definedName>
    <definedName name="Gr_FC_FOB_PlMat">#REF!</definedName>
    <definedName name="Gr_FC_LocTransp">#REF!</definedName>
    <definedName name="Gr_FC_OceanFr">#REF!</definedName>
    <definedName name="grege" hidden="1">{"Datos",#N/A,TRUE,"Datos"}</definedName>
    <definedName name="grey11">#REF!</definedName>
    <definedName name="grey13">#REF!</definedName>
    <definedName name="grey16">#REF!</definedName>
    <definedName name="grey19">#REF!</definedName>
    <definedName name="grey20">#REF!</definedName>
    <definedName name="grey23">#REF!</definedName>
    <definedName name="grey25">#REF!</definedName>
    <definedName name="grey29">#REF!</definedName>
    <definedName name="grey32">#REF!</definedName>
    <definedName name="grey36">#REF!</definedName>
    <definedName name="grey40">#REF!</definedName>
    <definedName name="grey48">#REF!</definedName>
    <definedName name="grey50">#REF!</definedName>
    <definedName name="grfd">#REF!</definedName>
    <definedName name="Group_Summary">#REF!</definedName>
    <definedName name="gs">#REF!</definedName>
    <definedName name="gsdgda">#REF!</definedName>
    <definedName name="gsdgs">#REF!</definedName>
    <definedName name="gsfhb">#REF!</definedName>
    <definedName name="gshf">#REF!</definedName>
    <definedName name="gshg" hidden="1">{"Datos",#N/A,TRUE,"Datos"}</definedName>
    <definedName name="gshgsf">#REF!</definedName>
    <definedName name="GT">#REF!</definedName>
    <definedName name="GT_LABEL">#REF!</definedName>
    <definedName name="gted">#REF!</definedName>
    <definedName name="gtfgfadg">#REF!</definedName>
    <definedName name="gtr">#REF!</definedName>
    <definedName name="gtsfd">#REF!</definedName>
    <definedName name="gulfd">#REF!</definedName>
    <definedName name="GV" hidden="1">{#N/A,#N/A,FALSE,"CCTV"}</definedName>
    <definedName name="GW">#REF!</definedName>
    <definedName name="gwpb1">#REF!</definedName>
    <definedName name="gwpb2">#REF!</definedName>
    <definedName name="gwpb3">#REF!</definedName>
    <definedName name="gwpb4">#REF!</definedName>
    <definedName name="gwpb5">#REF!</definedName>
    <definedName name="gwpb6">#REF!</definedName>
    <definedName name="gwpb7">#REF!</definedName>
    <definedName name="gwpb8">#REF!</definedName>
    <definedName name="gwsys1">#REF!</definedName>
    <definedName name="gwsys10">#REF!</definedName>
    <definedName name="gwsys11">#REF!</definedName>
    <definedName name="gwsys11.">#REF!</definedName>
    <definedName name="gwsys2">#REF!</definedName>
    <definedName name="gwsys3">#REF!</definedName>
    <definedName name="gwsys4">#REF!</definedName>
    <definedName name="gwsys5">#REF!</definedName>
    <definedName name="gwsys6">#REF!</definedName>
    <definedName name="gwsys7">#REF!</definedName>
    <definedName name="gwsys8">#REF!</definedName>
    <definedName name="gwsys9">#REF!</definedName>
    <definedName name="gyt" hidden="1">#REF!</definedName>
    <definedName name="gyyy" hidden="1">[22]FitOutConfCentre!#REF!</definedName>
    <definedName name="H">#REF!</definedName>
    <definedName name="H_______EARTH_WORKS">'[54]#REF'!$B$334:$O$382</definedName>
    <definedName name="H_______PLUMBING_PVC_PIPES">'[54]#REF'!$B$459:$I$481</definedName>
    <definedName name="H_300">#REF!</definedName>
    <definedName name="H_350">#REF!</definedName>
    <definedName name="h_price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ntra">#REF!</definedName>
    <definedName name="hc">#REF!</definedName>
    <definedName name="hd">#REF!</definedName>
    <definedName name="hddfh" hidden="1">{"MF-601",#N/A,TRUE,"MANT-EX-B(fJ)";"MF-602",#N/A,TRUE,"ELECTR-FJ(B)";"MF-603",#N/A,TRUE,"PERSONAL(FJ)B";"MF-604",#N/A,TRUE,"REACT-P(B)";"MF-6XX",#N/A,TRUE,"Resumen";"MF-605",#N/A,TRUE,"OTR-COS.FJ(B)"}</definedName>
    <definedName name="hdf" hidden="1">{"Datos",#N/A,TRUE,"Datos"}</definedName>
    <definedName name="hdfhs" hidden="1">#REF!</definedName>
    <definedName name="hdfstr">#REF!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eä_soá_laép_xaø_H">1.7</definedName>
    <definedName name="heä_soá_sình_laày">#REF!</definedName>
    <definedName name="Head_Quarter___Dubai">#REF!</definedName>
    <definedName name="header">#REF!</definedName>
    <definedName name="HeadQuarter___Kuwait">#REF!</definedName>
    <definedName name="heat">[134]Data!$J$6:$L$6</definedName>
    <definedName name="HEATER">#REF!</definedName>
    <definedName name="HEC">#REF!</definedName>
    <definedName name="Helper">#REF!</definedName>
    <definedName name="here2">[119]BOQ건축!#REF!</definedName>
    <definedName name="hfd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fdgfdg" hidden="1">{#N/A,#N/A,FALSE,"CCTV"}</definedName>
    <definedName name="hfgf">#REF!</definedName>
    <definedName name="hfgsd">#REF!</definedName>
    <definedName name="hfjhhjj" hidden="1">{#N/A,#N/A,FALSE,"CCTV"}</definedName>
    <definedName name="hfs" hidden="1">{"Datos",#N/A,TRUE,"Datos"}</definedName>
    <definedName name="hfys">#REF!</definedName>
    <definedName name="HG">#N/A</definedName>
    <definedName name="hgdfgfjj" hidden="1">#REF!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dhg">[66]AN!$H$6</definedName>
    <definedName name="hgfhgshghsh" hidden="1">{#N/A,#N/A,FALSE,"Project Cost Summary";#N/A,#N/A,FALSE,"Man Hour Summary"}</definedName>
    <definedName name="hgfhh" hidden="1">{"Datos",#N/A,TRUE,"Datos"}</definedName>
    <definedName name="hgfsd">#REF!</definedName>
    <definedName name="HGH">#N/A</definedName>
    <definedName name="hgjfgh" hidden="1">{#N/A,#N/A,FALSE,"CCTV"}</definedName>
    <definedName name="hgjgfhgh" hidden="1">{#N/A,#N/A,FALSE,"CCTV"}</definedName>
    <definedName name="hgshsh" hidden="1">{#N/A,#N/A,FALSE,"Project Cost Summary";#N/A,#N/A,FALSE,"Man Hour Summary"}</definedName>
    <definedName name="hgts">#REF!</definedName>
    <definedName name="hh" hidden="1">{#N/A,#N/A,FALSE,"CCTV"}</definedName>
    <definedName name="HH15HT">'[138]TONGKE-HT'!#REF!</definedName>
    <definedName name="HH16HT">'[138]TONGKE-HT'!#REF!</definedName>
    <definedName name="HH19HT">'[138]TONGKE-HT'!#REF!</definedName>
    <definedName name="HH20HT">'[138]TONGKE-HT'!#REF!</definedName>
    <definedName name="hhdf" hidden="1">[139]inter!#REF!</definedName>
    <definedName name="hhgkghkgh" hidden="1">[140]PROCURE!#REF!</definedName>
    <definedName name="HHH" hidden="1">{#N/A,#N/A,FALSE,"CCTV"}</definedName>
    <definedName name="hhhh" hidden="1">{"bechtel1",#N/A,TRUE,"BECHTEL";"bechtelhours",#N/A,TRUE,"BECHTEL";"bechtel$",#N/A,TRUE,"BECHTEL"}</definedName>
    <definedName name="hhkl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i">#REF!</definedName>
    <definedName name="HiddenRows" hidden="1">#REF!</definedName>
    <definedName name="hide1">#REF!</definedName>
    <definedName name="hikil" hidden="1">{"Datos",#N/A,TRUE,"Datos"}</definedName>
    <definedName name="himar">#REF!</definedName>
    <definedName name="hj" hidden="1">{"'Sheet1'!$L$16"}</definedName>
    <definedName name="hjdfjt" hidden="1">{"Datos",#N/A,TRUE,"Datos"}</definedName>
    <definedName name="hjgdj" hidden="1">{"Datos",#N/A,TRUE,"Datos"}</definedName>
    <definedName name="hjgfhj" hidden="1">{"Datos",#N/A,TRUE,"Datos"}</definedName>
    <definedName name="hjggh" hidden="1">{"MF-601",#N/A,TRUE,"MANT-EX-B(fJ)";"MF-602",#N/A,TRUE,"ELECTR-FJ(B)";"MF-603",#N/A,TRUE,"PERSONAL(FJ)B";"MF-604",#N/A,TRUE,"REACT-P(B)";"MF-6XX",#N/A,TRUE,"Resumen";"MF-605",#N/A,TRUE,"OTR-COS.FJ(B)"}</definedName>
    <definedName name="hjgk" hidden="1">{"Datos",#N/A,TRUE,"Datos"}</definedName>
    <definedName name="hjgs">#REF!</definedName>
    <definedName name="hjj" hidden="1">[22]FitOutConfCentre!#REF!</definedName>
    <definedName name="hjk" hidden="1">#REF!</definedName>
    <definedName name="hjklui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hkfn" hidden="1">{"Datos",#N/A,TRUE,"Datos"}</definedName>
    <definedName name="hkhkhkj">#REF!</definedName>
    <definedName name="HKJL">[141]Contingency!#REF!</definedName>
    <definedName name="ＨＭ_ＨＥ_合__計">#REF!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N">#REF!</definedName>
    <definedName name="hngfbv">#REF!</definedName>
    <definedName name="hoja3" hidden="1">[35]DESBASTE!#REF!</definedName>
    <definedName name="HOME">'[142]Filter Spec.'!#REF!</definedName>
    <definedName name="HOOKUP">#REF!</definedName>
    <definedName name="Horsepower">#N/A</definedName>
    <definedName name="Hosam" hidden="1">{#N/A,#N/A,FALSE,"inctrnd99"}</definedName>
    <definedName name="HourlyRates">#REF!</definedName>
    <definedName name="HOY">[143]PRECIOS!$D$4</definedName>
    <definedName name="HP">#REF!</definedName>
    <definedName name="hrcs">#REF!</definedName>
    <definedName name="HRSG_LABEL">#REF!</definedName>
    <definedName name="HSCT3">0.1</definedName>
    <definedName name="hsdc1">#REF!</definedName>
    <definedName name="HSDD">[144]phuluc1!#REF!</definedName>
    <definedName name="HSDN">2.5</definedName>
    <definedName name="hsf">#REF!</definedName>
    <definedName name="HSHH">#REF!</definedName>
    <definedName name="HSHHUT">#REF!</definedName>
    <definedName name="hskk1">[145]CHITIET!$D$4</definedName>
    <definedName name="HSNC">[98]Du_lieu!$C$6</definedName>
    <definedName name="HSSL">#REF!</definedName>
    <definedName name="HSVC1">#REF!</definedName>
    <definedName name="HSVC2">#REF!</definedName>
    <definedName name="HSVC3">#REF!</definedName>
    <definedName name="ht25nc">'[146]lam-moi'!#REF!</definedName>
    <definedName name="ht25vl">'[146]lam-moi'!#REF!</definedName>
    <definedName name="ht325nc">'[146]lam-moi'!#REF!</definedName>
    <definedName name="ht325vl">'[146]lam-moi'!#REF!</definedName>
    <definedName name="ht37k">'[146]lam-moi'!#REF!</definedName>
    <definedName name="ht37nc">'[146]lam-moi'!#REF!</definedName>
    <definedName name="ht50nc">'[146]lam-moi'!#REF!</definedName>
    <definedName name="ht50vl">'[146]lam-moi'!#REF!</definedName>
    <definedName name="hth">[66]AN!$H$5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juk">#REF!</definedName>
    <definedName name="HTM">#REF!</definedName>
    <definedName name="HTML" hidden="1">{"'장비'!$A$3:$M$12"}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NC">#REF!</definedName>
    <definedName name="htrrs" hidden="1">{"Datos",#N/A,TRUE,"Datos"}</definedName>
    <definedName name="htryutr" hidden="1">{"MF-601",#N/A,TRUE,"MANT-EX-B(fJ)";"MF-602",#N/A,TRUE,"ELECTR-FJ(B)";"MF-603",#N/A,TRUE,"PERSONAL(FJ)B";"MF-604",#N/A,TRUE,"REACT-P(B)";"MF-605",#N/A,TRUE,"OTR-COS.FJ(B)";"MF-60X",#N/A,TRUE,"Resumen"}</definedName>
    <definedName name="hts">#REF!</definedName>
    <definedName name="HTVL">#REF!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KUMI_B">[147]バルブ材質選定データ!$B$14</definedName>
    <definedName name="hvac">#REF!</definedName>
    <definedName name="hvac_esc">#REF!</definedName>
    <definedName name="hvac_tot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841">#REF!</definedName>
    <definedName name="hvac842">#REF!</definedName>
    <definedName name="hvac843">#REF!</definedName>
    <definedName name="hvac844">#REF!</definedName>
    <definedName name="HWMAN">[45]Sheet1!$H$367</definedName>
    <definedName name="HWP">#REF!</definedName>
    <definedName name="hygtsr">#REF!</definedName>
    <definedName name="hyreh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I" hidden="1">{#N/A,#N/A,FALSE,"Ejector 1";#N/A,#N/A,FALSE,"Ejector 2"}</definedName>
    <definedName name="I2É6">[148]chitimc!#REF!</definedName>
    <definedName name="IA">'[69]Sithe-PPL'!#REF!</definedName>
    <definedName name="iar">#REF!</definedName>
    <definedName name="ibom">#REF!</definedName>
    <definedName name="ie" hidden="1">{"'Sheet1'!$L$16"}</definedName>
    <definedName name="ii" hidden="1">{#N/A,#N/A,FALSE,"CCTV"}</definedName>
    <definedName name="IIF__PAGE_NUM___5___BUILDING_COSTS____SITEWORK_COSTS">#REF!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ouolkll" hidden="1">{#N/A,#N/A,FALSE,"CCTV"}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ufñoui" hidden="1">{"Datos",#N/A,TRUE,"Datos"}</definedName>
    <definedName name="imci20">#REF!</definedName>
    <definedName name="imci25">#REF!</definedName>
    <definedName name="imci40">#REF!</definedName>
    <definedName name="imci50">#REF!</definedName>
    <definedName name="imcl20">#REF!</definedName>
    <definedName name="imcl25">#REF!</definedName>
    <definedName name="imcl32">#REF!</definedName>
    <definedName name="imcl40">#REF!</definedName>
    <definedName name="imcl50">#REF!</definedName>
    <definedName name="impellerremark1">'[149]UOP 508 PG 2-9'!#REF!</definedName>
    <definedName name="ImplScope">#REF!</definedName>
    <definedName name="impression">#REF!</definedName>
    <definedName name="Imprevistos">#REF!</definedName>
    <definedName name="Imprimir_títulos_IM">[150]CRONisomax!$3:$7</definedName>
    <definedName name="Inc.Tax_Korean">#REF!</definedName>
    <definedName name="Inc.Tax_Local.Reg">#REF!</definedName>
    <definedName name="Inc.Tax_Third.N">#REF!</definedName>
    <definedName name="INCF">#REF!</definedName>
    <definedName name="INCOM6">[28]DATA!$R$33</definedName>
    <definedName name="INCOM6LC">[28]DATA!$W$33</definedName>
    <definedName name="INCOM6LCO">'[28]DATA OPTIONS'!$W$33</definedName>
    <definedName name="INCOM6o">'[28]DATA OPTIONS'!$R$33</definedName>
    <definedName name="INCOM6PP">[28]DATA!$Y$33</definedName>
    <definedName name="INCOM6RC">[28]DATA!$U$33</definedName>
    <definedName name="Income">'[41]Income Details'!$H$75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agine_geotecnica">#REF!</definedName>
    <definedName name="Indice">#REF!</definedName>
    <definedName name="indirect">#REF!</definedName>
    <definedName name="IndirectHours">#REF!</definedName>
    <definedName name="Indirecto">#REF!</definedName>
    <definedName name="indirectos">#REF!</definedName>
    <definedName name="indirectos___0">#REF!</definedName>
    <definedName name="InhaltsvezSUMMEN">#REF!</definedName>
    <definedName name="InputData">[151]Testing!$E$8:$E$12,[151]Testing!$E$15:$E$18,[151]Testing!$E$21:$E$23,[151]Testing!$E$26:$E$27,[151]Testing!$E$30:$E$33,[151]Testing!$E$35:$E$37,[151]Testing!$D$43:$F$47</definedName>
    <definedName name="ins250.5">#REF!</definedName>
    <definedName name="ins250.75">#REF!</definedName>
    <definedName name="ins251.25">#REF!</definedName>
    <definedName name="ins251.5">#REF!</definedName>
    <definedName name="ins252.5">#REF!</definedName>
    <definedName name="ins400.5">#REF!</definedName>
    <definedName name="ins400.75">#REF!</definedName>
    <definedName name="ins401.25">#REF!</definedName>
    <definedName name="ins401.5">#REF!</definedName>
    <definedName name="ins402.5">#REF!</definedName>
    <definedName name="ins500.5">#REF!</definedName>
    <definedName name="ins500.75">#REF!</definedName>
    <definedName name="ins501.25">#REF!</definedName>
    <definedName name="ins501.5">#REF!</definedName>
    <definedName name="ins502.5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lation">#REF!</definedName>
    <definedName name="int">#REF!</definedName>
    <definedName name="Int_with_adv">#REF!</definedName>
    <definedName name="Int_without_adv">#REF!</definedName>
    <definedName name="inter">#REF!</definedName>
    <definedName name="Interest_FC">#REF!</definedName>
    <definedName name="Interest_LC">#REF!</definedName>
    <definedName name="interest_on_adv">#REF!</definedName>
    <definedName name="interest_wth_adv">#REF!</definedName>
    <definedName name="INTERNET중급">#REF!</definedName>
    <definedName name="INTERNET초급">#REF!</definedName>
    <definedName name="IO">#REF!</definedName>
    <definedName name="iop" hidden="1">{"'Sheet1'!$L$16"}</definedName>
    <definedName name="Irrigation">#REF!</definedName>
    <definedName name="is" hidden="1">{"'Sheet1'!$L$16"}</definedName>
    <definedName name="ismay" hidden="1">{#N/A,#N/A,FALSE,"inctrnd99"}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ue">#REF!</definedName>
    <definedName name="it" hidden="1">{"'Sheet1'!$L$16"}</definedName>
    <definedName name="ITEM">#REF!</definedName>
    <definedName name="ITEM_____6__2___13">#REF!</definedName>
    <definedName name="ITEM_____6__2___13___0">#REF!</definedName>
    <definedName name="iteration">[152]!iteration</definedName>
    <definedName name="itl">#REF!</definedName>
    <definedName name="iu">#REF!</definedName>
    <definedName name="iuo">#REF!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VA">#REF!</definedName>
    <definedName name="ix">#REF!</definedName>
    <definedName name="iy">#REF!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>#REF!</definedName>
    <definedName name="jangan">[119]BOQ건축!#REF!</definedName>
    <definedName name="jartj">#REF!</definedName>
    <definedName name="Jassim" hidden="1">{#N/A,#N/A,FALSE,"inctrnd99"}</definedName>
    <definedName name="JB">#REF!</definedName>
    <definedName name="jdfy" hidden="1">{"Datos",#N/A,TRUE,"Datos"}</definedName>
    <definedName name="JE">#REF!</definedName>
    <definedName name="jghjghk" hidden="1">{"MF-601",#N/A,TRUE,"MANT-EX-B(fJ)";"MF-602",#N/A,TRUE,"ELECTR-FJ(B)";"MF-603",#N/A,TRUE,"PERSONAL(FJ)B";"MF-604",#N/A,TRUE,"REACT-P(B)";"MF-6XX",#N/A,TRUE,"Resumen";"MF-605",#N/A,TRUE,"OTR-COS.FJ(B)"}</definedName>
    <definedName name="jhfjh" hidden="1">{"Datos",#N/A,TRUE,"Datos"}</definedName>
    <definedName name="jhg" hidden="1">{"Datos",#N/A,TRUE,"Datos"}</definedName>
    <definedName name="jhgf">#REF!</definedName>
    <definedName name="jhgg">#REF!</definedName>
    <definedName name="jhhhh" hidden="1">{#N/A,#N/A,FALSE,"CCTV"}</definedName>
    <definedName name="JIG">#REF!</definedName>
    <definedName name="jj">#REF!</definedName>
    <definedName name="JJJ">#N/A</definedName>
    <definedName name="JJK">#N/A</definedName>
    <definedName name="jk" hidden="1">{"MF-601",#N/A,TRUE,"MANT-EX-B(fJ)";"MF-602",#N/A,TRUE,"ELECTR-FJ(B)";"MF-603",#N/A,TRUE,"PERSONAL(FJ)B";"MF-604",#N/A,TRUE,"REACT-P(B)";"MF-6XX",#N/A,TRUE,"Resumen";"MF-605",#N/A,TRUE,"OTR-COS.FJ(B)"}</definedName>
    <definedName name="jkghk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ghkug" hidden="1">{"MF-601",#N/A,TRUE,"MANT-EX-B(fJ)";"MF-602",#N/A,TRUE,"ELECTR-FJ(B)";"MF-603",#N/A,TRUE,"PERSONAL(FJ)B";"MF-604",#N/A,TRUE,"REACT-P(B)";"MF-605",#N/A,TRUE,"OTR-COS.FJ(B)";"MF-60X",#N/A,TRUE,"Resumen"}</definedName>
    <definedName name="jkhglkjge" hidden="1">[153]Presupuesto!#REF!</definedName>
    <definedName name="jkjk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ku">#REF!</definedName>
    <definedName name="jmkjuj">#REF!</definedName>
    <definedName name="JOR">#REF!</definedName>
    <definedName name="jtjety" hidden="1">{"MF-601",#N/A,TRUE,"MANT-EX-B(fJ)";"MF-602",#N/A,TRUE,"ELECTR-FJ(B)";"MF-603",#N/A,TRUE,"PERSONAL(FJ)B";"MF-604",#N/A,TRUE,"REACT-P(B)";"MF-605",#N/A,TRUE,"OTR-COS.FJ(B)";"MF-60X",#N/A,TRUE,"Resumen"}</definedName>
    <definedName name="jtkk" hidden="1">#REF!</definedName>
    <definedName name="jtyj" hidden="1">{"Datos",#N/A,TRUE,"Datos"}</definedName>
    <definedName name="jtykk" hidden="1">#REF!</definedName>
    <definedName name="jugd" hidden="1">{"Datos",#N/A,TRUE,"Datos"}</definedName>
    <definedName name="JUNC_BOX">#REF!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WTW" hidden="1">[133]Staffing!#REF!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t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jytj" hidden="1">{"Datos",#N/A,TRUE,"Datos"}</definedName>
    <definedName name="jytktk" hidden="1">#REF!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\">#REF!</definedName>
    <definedName name="K_0">'[31]DATA-1'!#REF!</definedName>
    <definedName name="K_1">'[31]DATA-1'!#REF!</definedName>
    <definedName name="K_Vend_FC_DirInd">#REF!</definedName>
    <definedName name="K_Vend_FC_Group">#REF!</definedName>
    <definedName name="K_Vend_FC_MS">#REF!</definedName>
    <definedName name="K_Vend_FC_OS">#REF!</definedName>
    <definedName name="K_Vend_FC_SC">#REF!</definedName>
    <definedName name="K_Vend_LC_DirInd">#REF!</definedName>
    <definedName name="K_Vend_LC_MS">#REF!</definedName>
    <definedName name="K_Vend_LC_OS">#REF!</definedName>
    <definedName name="K_Vend_LC_SC">#REF!</definedName>
    <definedName name="K_Vend_Loc_MS">#REF!</definedName>
    <definedName name="K_Vend_Loc_OS">#REF!</definedName>
    <definedName name="K_Vend_Loc_SC">#REF!</definedName>
    <definedName name="k2b">'[154]THPDMoi  (2)'!#REF!</definedName>
    <definedName name="KA">#REF!</definedName>
    <definedName name="KAA">#REF!</definedName>
    <definedName name="Karambunai">#N/A</definedName>
    <definedName name="KBAT">#REF!</definedName>
    <definedName name="KBATL">#REF!</definedName>
    <definedName name="KBT">#REF!</definedName>
    <definedName name="KC">#REF!</definedName>
    <definedName name="KCDS">#REF!</definedName>
    <definedName name="KCIN">#REF!</definedName>
    <definedName name="KD">#REF!</definedName>
    <definedName name="KETU">#REF!</definedName>
    <definedName name="KETUL">#REF!</definedName>
    <definedName name="key_1">#REF!</definedName>
    <definedName name="Key_Unit01">'[92]1'!#REF!</definedName>
    <definedName name="Key_Unit04">'[92]4'!$O$15:$O$46</definedName>
    <definedName name="Key_Unit05">'[92]5'!$O$15:$O$46</definedName>
    <definedName name="Key_Unit06">'[92]6'!$O$15:$O$46</definedName>
    <definedName name="Key_Unit07">'[92]7'!$O$15:$O$46</definedName>
    <definedName name="Key_Unit08">'[92]8'!$O$15:$O$46</definedName>
    <definedName name="Key_Unit09">'[92]9'!$O$15:$O$46</definedName>
    <definedName name="Key_Unit10">'[92]10'!$O$15:$O$46</definedName>
    <definedName name="Key_Unit11">'[92]11'!$O$15:$O$46</definedName>
    <definedName name="Key_Unit12">'[92]12'!$O$15:$O$46</definedName>
    <definedName name="Key_Unit13">'[92]13'!$O$15:$O$46</definedName>
    <definedName name="Key_Unit14">'[92]14'!$O$15:$O$46</definedName>
    <definedName name="KF">#REF!</definedName>
    <definedName name="KGC">#REF!</definedName>
    <definedName name="KGCL">#REF!</definedName>
    <definedName name="KGE">#REF!</definedName>
    <definedName name="kghlgh" hidden="1">{#N/A,#N/A,FALSE,"CCTV"}</definedName>
    <definedName name="KGIS">#REF!</definedName>
    <definedName name="khjk" hidden="1">{"MF-601",#N/A,TRUE,"MANT-EX-B(fJ)";"MF-602",#N/A,TRUE,"ELECTR-FJ(B)";"MF-603",#N/A,TRUE,"PERSONAL(FJ)B";"MF-604",#N/A,TRUE,"REACT-P(B)";"MF-605",#N/A,TRUE,"OTR-COS.FJ(B)";"MF-60X",#N/A,TRUE,"Resumen"}</definedName>
    <definedName name="khjl">#REF!</definedName>
    <definedName name="KHOÁI__LÖÔÏNG">#REF!</definedName>
    <definedName name="KHT">#REF!</definedName>
    <definedName name="ki">#REF!</definedName>
    <definedName name="KIR">#REF!</definedName>
    <definedName name="kit_copy1">#REF!</definedName>
    <definedName name="kit_copy2">#REF!</definedName>
    <definedName name="kit_cost">#REF!</definedName>
    <definedName name="kit_crit1">#REF!</definedName>
    <definedName name="kit_crit2">#REF!</definedName>
    <definedName name="kit_end">#REF!</definedName>
    <definedName name="KIT_QTY">#REF!</definedName>
    <definedName name="kit_start">#REF!</definedName>
    <definedName name="kiulil" hidden="1">{#N/A,#N/A,FALSE,"CCTV"}</definedName>
    <definedName name="KJ">#REF!</definedName>
    <definedName name="kjh">#REF!</definedName>
    <definedName name="kjhlh" hidden="1">{#N/A,#N/A,FALSE,"CCTV"}</definedName>
    <definedName name="kjhljhk" hidden="1">{#N/A,#N/A,FALSE,"CCTV"}</definedName>
    <definedName name="kjkjhklhjlj" hidden="1">#REF!</definedName>
    <definedName name="KK">#REF!</definedName>
    <definedName name="KKH">#REF!</definedName>
    <definedName name="kkik" hidden="1">{"Datos",#N/A,TRUE,"Datos"}</definedName>
    <definedName name="kkj">#REF!</definedName>
    <definedName name="KKK">#REF!</definedName>
    <definedName name="kldd1p">#REF!</definedName>
    <definedName name="kldd3p">'[146]lam-moi'!#REF!</definedName>
    <definedName name="klg">#REF!</definedName>
    <definedName name="klira">#REF!</definedName>
    <definedName name="klj" hidden="1">{"Datos",#N/A,TRUE,"Datos"}</definedName>
    <definedName name="kllll">[28]RELAYS!#REF!</definedName>
    <definedName name="KMAT">#REF!</definedName>
    <definedName name="KMateriales">'[155]Datos Oferta'!$C$34</definedName>
    <definedName name="KMO">#REF!</definedName>
    <definedName name="kmong">[156]giathanh1!#REF!</definedName>
    <definedName name="KMONT">#REF!</definedName>
    <definedName name="KMONTL">#REF!</definedName>
    <definedName name="KMT">#REF!</definedName>
    <definedName name="kñlñlñlñ" hidden="1">[122]DESBASTE!#REF!</definedName>
    <definedName name="KOA">#REF!</definedName>
    <definedName name="KOE">#REF!</definedName>
    <definedName name="kp">#REF!</definedName>
    <definedName name="kp1ph">#REF!</definedName>
    <definedName name="Kpdr">#REF!</definedName>
    <definedName name="KPO">#REF!</definedName>
    <definedName name="KPSG">[129]設計費!$T$9</definedName>
    <definedName name="KPSN">[129]設計費!$S$9</definedName>
    <definedName name="KS">[129]設計費!$S$23</definedName>
    <definedName name="KSEHV">#REF!</definedName>
    <definedName name="KSG">[129]設計費!$T$11</definedName>
    <definedName name="KSN">[129]設計費!$S$11</definedName>
    <definedName name="KST">#REF!</definedName>
    <definedName name="KSUB">#REF!</definedName>
    <definedName name="KSubcontrata">'[155]Datos Oferta'!$C$36</definedName>
    <definedName name="KSVT">#REF!</definedName>
    <definedName name="KT">'[77]S1+S2+S3'!$K$150</definedName>
    <definedName name="ktf" hidden="1">#REF!</definedName>
    <definedName name="ktkty" hidden="1">[139]inter!#REF!</definedName>
    <definedName name="Ktls">[114]DB1!$BN$1</definedName>
    <definedName name="KTRA">#REF!</definedName>
    <definedName name="KTRNG">#REF!</definedName>
    <definedName name="KTRSP">#REF!</definedName>
    <definedName name="KTRSPL">#REF!</definedName>
    <definedName name="kty" hidden="1">#REF!</definedName>
    <definedName name="ku" hidden="1">{"MF-601",#N/A,TRUE,"MANT-EX-B(fJ)";"MF-602",#N/A,TRUE,"ELECTR-FJ(B)";"MF-603",#N/A,TRUE,"PERSONAL(FJ)B";"MF-604",#N/A,TRUE,"REACT-P(B)";"MF-6XX",#N/A,TRUE,"Resumen";"MF-605",#N/A,TRUE,"OTR-COS.FJ(B)"}</definedName>
    <definedName name="kuep11">[45]Sheet1!$A$279</definedName>
    <definedName name="kuep3">[45]Sheet1!$A$277</definedName>
    <definedName name="kuep48_3">[45]Sheet1!$A$284</definedName>
    <definedName name="kuep48_7">[45]Sheet1!$A$285</definedName>
    <definedName name="kuep7">[45]Sheet1!$A$278</definedName>
    <definedName name="kuk" hidden="1">{"Datos",#N/A,TRUE,"Datos"}</definedName>
    <definedName name="kukhjk" hidden="1">#REF!</definedName>
    <definedName name="Kunde">#REF!</definedName>
    <definedName name="kup">[45]Sheet1!$A$280</definedName>
    <definedName name="kuyt" hidden="1">{"Datos",#N/A,TRUE,"Datos"}</definedName>
    <definedName name="KV">[103]DATA!$C$1:$C$9</definedName>
    <definedName name="KVlop">#REF!</definedName>
    <definedName name="L">#REF!</definedName>
    <definedName name="L_______EARTH_WORKS">#REF!</definedName>
    <definedName name="L_1">'[3]SRC-B3U2'!#REF!</definedName>
    <definedName name="L_2">'[3]SRC-B3U2'!#REF!</definedName>
    <definedName name="L_3">'[3]SRC-B3U2'!#REF!</definedName>
    <definedName name="l0">#REF!</definedName>
    <definedName name="L220LC">[28]DATA!$W$20</definedName>
    <definedName name="L220PP">[28]DATA!$Y$20</definedName>
    <definedName name="L220RC">[28]DATA!$U$20</definedName>
    <definedName name="la">#REF!</definedName>
    <definedName name="la_ins_con">#REF!</definedName>
    <definedName name="Lab_Cost">#REF!</definedName>
    <definedName name="Lab_Load">#REF!</definedName>
    <definedName name="labour">[96]Totals!$I$8</definedName>
    <definedName name="labour_burden">#REF!</definedName>
    <definedName name="Labourer">#REF!</definedName>
    <definedName name="Land_Use1">#REF!</definedName>
    <definedName name="Language">0</definedName>
    <definedName name="latch24">#REF!</definedName>
    <definedName name="latent">'[157]steam table'!$N$5:$Q$102</definedName>
    <definedName name="lavatory">#REF!</definedName>
    <definedName name="lb">#REF!</definedName>
    <definedName name="LC">#REF!</definedName>
    <definedName name="LC_SC">#REF!</definedName>
    <definedName name="lee">#REF!</definedName>
    <definedName name="LENG">#REF!</definedName>
    <definedName name="LENGTH">#REF!</definedName>
    <definedName name="LengthUnits">#REF!</definedName>
    <definedName name="LEVEL_2_1_HEXENE_PG.1">'[82]Summary Sheets'!$W$382:$AG$416</definedName>
    <definedName name="LEVEL_2_1_HEXENE_PG.2">'[82]Summary Sheets'!$W$420:$AG$454</definedName>
    <definedName name="LEVEL_2_1_HEXENE_PG.3">'[82]Summary Sheets'!$W$458:$AG$492</definedName>
    <definedName name="LEVEL_2_1_HEXENE_PG.4">'[82]Summary Sheets'!$W$496:$AG$530</definedName>
    <definedName name="LEVEL_2_1_HEXENE_PG_5">'[82]Summary Sheets'!$W$534:$AG$568</definedName>
    <definedName name="LEVEL_2_DKADU_PG.1">'[107]ITB COST'!$W$2:$AG$42</definedName>
    <definedName name="LEVEL_2_DKADU_PG.2">'[107]ITB COST'!$W$46:$AG$86</definedName>
    <definedName name="LEVEL_2_DKADU_PG.3">'[107]ITB COST'!$W$90:$AG$130</definedName>
    <definedName name="LEVEL_2_DKADU_PG.4">'[107]ITB COST'!$W$134:$AG$174</definedName>
    <definedName name="LEVEL_2_DOCK_PG.1">'[82]Summary Sheets'!$W$762:$AG$796</definedName>
    <definedName name="LEVEL_2_DOCK_PG.2">'[82]Summary Sheets'!$W$800:$AG$834</definedName>
    <definedName name="LEVEL_2_DOCK_PG.3">'[82]Summary Sheets'!$W$838:$AG$872</definedName>
    <definedName name="LEVEL_2_DOCK_PG.4">'[82]Summary Sheets'!$W$876:$AG$910</definedName>
    <definedName name="LEVEL_2_DOCK_PG_5">'[82]Summary Sheets'!$W$914:$AG$948</definedName>
    <definedName name="LEVEL_2_ETHYLENE_PG.1">'[82]Summary Sheets'!$W$2:$AG$36</definedName>
    <definedName name="LEVEL_2_ETHYLENE_PG.2">'[82]Summary Sheets'!$W$40:$AG$74</definedName>
    <definedName name="LEVEL_2_ETHYLENE_PG.3">'[82]Summary Sheets'!$W$78:$AG$112</definedName>
    <definedName name="LEVEL_2_ETHYLENE_PG.4">'[82]Summary Sheets'!$W$116:$AG$150</definedName>
    <definedName name="LEVEL_2_ETHYLENE_PG_5">'[82]Summary Sheets'!$W$154:$AG$188</definedName>
    <definedName name="LEVEL_2_NFGP_PG.1">'[107]ITB COST'!$W$398:$AG$438</definedName>
    <definedName name="LEVEL_2_NFGP_PG.2">'[107]ITB COST'!$W$442:$AG$482</definedName>
    <definedName name="LEVEL_2_NFGP_PG.3">'[107]ITB COST'!$W$486:$AG$526</definedName>
    <definedName name="LEVEL_2_NFGP_PG.4">'[107]ITB COST'!$W$530:$AG$570</definedName>
    <definedName name="LEVEL_2_NGL4_PG.1">'[107]ITB COST'!$W$178:$AG$218</definedName>
    <definedName name="LEVEL_2_NGL4_PG.2">'[107]ITB COST'!$W$222:$AG$262</definedName>
    <definedName name="LEVEL_2_NGL4_PG.3">'[107]ITB COST'!$W$266:$AG$306</definedName>
    <definedName name="LEVEL_2_NGL4_PG.4">'[107]ITB COST'!$W$310:$AG$350</definedName>
    <definedName name="LEVEL_2_OFFSITES_PG.1">'[82]Summary Sheets'!$W$572:$AG$606</definedName>
    <definedName name="LEVEL_2_OFFSITES_PG.2">'[82]Summary Sheets'!$W$610:$AG$644</definedName>
    <definedName name="LEVEL_2_OFFSITES_PG.3">'[82]Summary Sheets'!$W$648:$AG$682</definedName>
    <definedName name="LEVEL_2_OFFSITES_PG.4">'[82]Summary Sheets'!$W$686:$AG$720</definedName>
    <definedName name="LEVEL_2_OFFSITES_PG_5">'[82]Summary Sheets'!$W$724:$AG$758</definedName>
    <definedName name="LEVEL_2_PGM_PG.1">'[107]ITB COST'!$W$881:$AG$922</definedName>
    <definedName name="LEVEL_2_PGM_PG.2">'[107]ITB COST'!$W$925:$AG$966</definedName>
    <definedName name="LEVEL_2_PIPELINE_PG.1">'[107]ITB COST'!$W$574:$AG$614</definedName>
    <definedName name="LEVEL_2_PIPELINE_PG.2">'[107]ITB COST'!$W$618:$AG$658</definedName>
    <definedName name="LEVEL_2_PIPELINE_PG.3">'[107]ITB COST'!$W$662:$AG$702</definedName>
    <definedName name="LEVEL_2_POLYETHYLENE_PG.1">'[82]Summary Sheets'!$W$192:$AG$226</definedName>
    <definedName name="LEVEL_2_POLYETHYLENE_PG.2">'[82]Summary Sheets'!$W$230:$AG$264</definedName>
    <definedName name="LEVEL_2_POLYETHYLENE_PG.3">'[82]Summary Sheets'!$W$268:$AG$302</definedName>
    <definedName name="LEVEL_2_POLYETHYLENE_PG.4">'[82]Summary Sheets'!$W$306:$AG$340</definedName>
    <definedName name="LEVEL_2_POLYETHYLENE_PG_5">'[82]Summary Sheets'!$W$344:$AG$378</definedName>
    <definedName name="LEVEL_2_TANK_PG.1">'[107]ITB COST'!$W$706:$AG$746</definedName>
    <definedName name="LEVEL_2_TANK_PG.2">'[107]ITB COST'!$W$750:$AG$790</definedName>
    <definedName name="LEVEL_2_TANK_PG.3">'[107]ITB COST'!$W$794:$AG$834</definedName>
    <definedName name="LEVEL_2_TANK_PG.4">'[107]ITB COST'!$W$838:$AG$878</definedName>
    <definedName name="LEVEL_3_1_HEXENE_EQUIP_PG_1">'[82]Summary Sheets'!$AH$382:$AR$416</definedName>
    <definedName name="LEVEL_3_1_HEXENE_EQUIP_PG_2">'[82]Summary Sheets'!$AH$420:$AR$454</definedName>
    <definedName name="LEVEL_3_1_HEXENE_EQUIP_PG_3">'[82]Summary Sheets'!$AH$458:$AR$492</definedName>
    <definedName name="LEVEL_3_DKADU_EQUIP_PG_1">'[107]ITB COST'!$AH$2:$AR$42</definedName>
    <definedName name="LEVEL_3_DKADU_EQUIP_PG_2">'[107]ITB COST'!$AH$46:$AR$86</definedName>
    <definedName name="LEVEL_3_DKADU_EQUIP_PG_3">'[107]ITB COST'!$AH$90:$AR$130</definedName>
    <definedName name="LEVEL_3_DOCK_EQUIP_PG_1">'[82]Summary Sheets'!$AH$762:$AR$796</definedName>
    <definedName name="LEVEL_3_DOCK_EQUIP_PG_2">'[82]Summary Sheets'!$AH$800:$AR$834</definedName>
    <definedName name="LEVEL_3_DOCK_EQUIP_PG_3">'[82]Summary Sheets'!$AH$838:$AR$872</definedName>
    <definedName name="LEVEL_3_ETHYLENE_EQUIP_PG_1">'[82]Summary Sheets'!$AH$2:$AR$36</definedName>
    <definedName name="LEVEL_3_ETHYLENE_EQUIP_PG_2">'[82]Summary Sheets'!$AH$40:$AR$74</definedName>
    <definedName name="LEVEL_3_ETHYLENE_EQUIP_PG_3">'[82]Summary Sheets'!$AH$78:$AR$112</definedName>
    <definedName name="LEVEL_3_NFGP_EQUIP_PG_1">'[107]ITB COST'!$AH$398:$AR$438</definedName>
    <definedName name="LEVEL_3_NFGP_EQUIP_PG_2">'[107]ITB COST'!$AH$442:$AR$482</definedName>
    <definedName name="LEVEL_3_NFGP_EQUIP_PG_3">'[107]ITB COST'!$AH$486:$AR$526</definedName>
    <definedName name="LEVEL_3_NGL4_EQUIP_PG_1">'[107]ITB COST'!$AH$178:$AR$218</definedName>
    <definedName name="LEVEL_3_NGL4_EQUIP_PG_2">'[107]ITB COST'!$AH$222:$AR$262</definedName>
    <definedName name="LEVEL_3_NGL4_EQUIP_PG_3">'[107]ITB COST'!$AH$266:$AR$306</definedName>
    <definedName name="LEVEL_3_NGL4_EQUIP_PG_4">'[107]ITB COST'!$AH$310:$AR$350</definedName>
    <definedName name="LEVEL_3_NGL4_EQUIP_PG_5">'[107]ITB COST'!$AH$354:$AR$394</definedName>
    <definedName name="LEVEL_3_OFFSITES_EQUIP_PG_1">'[82]Summary Sheets'!$AH$572:$AR$606</definedName>
    <definedName name="LEVEL_3_OFFSITES_EQUIP_PG_2">'[82]Summary Sheets'!$AH$610:$AR$644</definedName>
    <definedName name="LEVEL_3_OFFSITES_EQUIP_PG_3">'[82]Summary Sheets'!$AH$648:$AR$682</definedName>
    <definedName name="LEVEL_3_PIPELINE_EQUIP_PG_1">'[107]ITB COST'!$AH$574:$AR$614</definedName>
    <definedName name="LEVEL_3_POLYETHYLENE_EQUIP_PG_1">'[82]Summary Sheets'!$AH$192:$AR$226</definedName>
    <definedName name="LEVEL_3_POLYETHYLENE_EQUIP_PG_2">'[82]Summary Sheets'!$AH$230:$AR$264</definedName>
    <definedName name="LEVEL_3_POLYETHYLENE_EQUIP_PG_3">'[82]Summary Sheets'!$AH$268:$AR$302</definedName>
    <definedName name="LEVEL_3_TANK_EQUIP_PG_1">'[107]ITB COST'!$AH$706:$AR$746</definedName>
    <definedName name="levy">#REF!</definedName>
    <definedName name="levy2">#REF!</definedName>
    <definedName name="LF">#REF!</definedName>
    <definedName name="lg">#REF!</definedName>
    <definedName name="LIB">#REF!</definedName>
    <definedName name="lieu">[64]AN!$H$4</definedName>
    <definedName name="light">[134]Data!$J$10:$L$10</definedName>
    <definedName name="lille">#REF!</definedName>
    <definedName name="LimitTypes">#REF!</definedName>
    <definedName name="line">#REF!</definedName>
    <definedName name="LINE_CODE">#REF!</definedName>
    <definedName name="LINE2">[28]DATA!$R$20</definedName>
    <definedName name="LINE5">[28]DATA!$R$12</definedName>
    <definedName name="LINE6">[28]DATA!$R$30</definedName>
    <definedName name="LINE6LC">[28]DATA!$W$30</definedName>
    <definedName name="LINE6PP">[28]DATA!$Y$30</definedName>
    <definedName name="LINE6RC">[28]DATA!$U$30</definedName>
    <definedName name="LineItemHeader">#REF!</definedName>
    <definedName name="linelist">#REF!</definedName>
    <definedName name="Liquid">[112]Page2!$AQ$19:$AQ$22</definedName>
    <definedName name="LiquidDensityUnits">#REF!</definedName>
    <definedName name="list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1">#REF!</definedName>
    <definedName name="list100">#REF!</definedName>
    <definedName name="LIST1000">'[31]DATA-1'!#REF!</definedName>
    <definedName name="LIST1001">'[31]DATA-1'!#REF!</definedName>
    <definedName name="LIST1002">'[31]DATA-1'!#REF!</definedName>
    <definedName name="list1003">#REF!</definedName>
    <definedName name="list1004">#REF!</definedName>
    <definedName name="list1005">#REF!</definedName>
    <definedName name="list1006">#REF!</definedName>
    <definedName name="list101">#REF!</definedName>
    <definedName name="LIST1010">'[31]DATA-1'!$AP$1:$AP$65536</definedName>
    <definedName name="list102">#REF!</definedName>
    <definedName name="list105">'[31]DATA-1'!#REF!</definedName>
    <definedName name="list106">'[31]DATA-1'!#REF!</definedName>
    <definedName name="list107">'[31]DATA-1'!#REF!</definedName>
    <definedName name="LIST108">'[31]DATA-1'!#REF!</definedName>
    <definedName name="LIST1110">'[31]DATA-1'!#REF!</definedName>
    <definedName name="LIST1111">'[31]DATA-1'!#REF!</definedName>
    <definedName name="LIST1112">'[31]DATA-1'!#REF!</definedName>
    <definedName name="LIST2">[103]DATA!$H$1:$H$65536</definedName>
    <definedName name="list2001">#REF!</definedName>
    <definedName name="list2002">#REF!</definedName>
    <definedName name="listA1">'[31]DATA-1'!$AR$1:$AR$65536</definedName>
    <definedName name="LISTAAA">'[31]DATA-1'!$AF$1:$AF$65536</definedName>
    <definedName name="listac">#REF!</definedName>
    <definedName name="Listeglobale">#REF!</definedName>
    <definedName name="LISTKV">#REF!</definedName>
    <definedName name="listo">[158]DATA!$B$1:$B$39</definedName>
    <definedName name="listp">[103]DATA!$B$1:$B$17</definedName>
    <definedName name="lists">[28]DATA!$B$1:$B$65536</definedName>
    <definedName name="lj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" hidden="1">{#N/A,#N/A,FALSE,"CCTV"}</definedName>
    <definedName name="lkj" hidden="1">#REF!</definedName>
    <definedName name="lklhjlkhl" hidden="1">#REF!</definedName>
    <definedName name="lklhlj" hidden="1">'[25]Staffing Plan'!#REF!</definedName>
    <definedName name="lklhlkjl" hidden="1">{#N/A,#N/A,FALSE,"CCTV"}</definedName>
    <definedName name="ll">#REF!</definedName>
    <definedName name="lll">#N/A</definedName>
    <definedName name="Lmk">#REF!</definedName>
    <definedName name="LMTD">[159]CMTD!$C$9</definedName>
    <definedName name="LMU">[28]DATA!$R$72</definedName>
    <definedName name="LMU_Q">[28]DATA!$U$72</definedName>
    <definedName name="lo">'[160]El Fenoon'!#REF!</definedName>
    <definedName name="LOAD">#REF!</definedName>
    <definedName name="LOADSCHEDULE">#REF!</definedName>
    <definedName name="LOCALBASE">#REF!</definedName>
    <definedName name="LOCALBUYOUT">#REF!</definedName>
    <definedName name="localcommercial">#REF!</definedName>
    <definedName name="localmanager">#REF!</definedName>
    <definedName name="localRTU">#REF!</definedName>
    <definedName name="LOCALSUBTOTAL">#REF!</definedName>
    <definedName name="localSW">#REF!</definedName>
    <definedName name="LOCALTOTAL">#REF!</definedName>
    <definedName name="LOCALUNIT">#REF!</definedName>
    <definedName name="location">#REF!</definedName>
    <definedName name="LOOPBACK">#REF!</definedName>
    <definedName name="Lot">#REF!</definedName>
    <definedName name="lp">#REF!</definedName>
    <definedName name="LSS_0">'[31]DATA-1'!#REF!</definedName>
    <definedName name="LSS_1">'[31]DATA-1'!#REF!</definedName>
    <definedName name="LT">IF([121]품의서!SET*[121]품의서!N3L*[121]품의서!NAT*[121]품의서!NXL=1,1,0)</definedName>
    <definedName name="lth">#REF!</definedName>
    <definedName name="LTP">[80]!COIORYG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v_power_cable_type">#REF!</definedName>
    <definedName name="m">'[1]KR2&amp;KVCM(MAR 1-6''99)'!#REF!</definedName>
    <definedName name="M.Samy" hidden="1">{#N/A,#N/A,FALSE,"inctrnd99"}</definedName>
    <definedName name="M\" hidden="1">{#N/A,#N/A,FALSE,"inctrnd99"}</definedName>
    <definedName name="m102bnnc">'[146]lam-moi'!#REF!</definedName>
    <definedName name="m102bnvl">'[146]lam-moi'!#REF!</definedName>
    <definedName name="m10aamtc">'[161]t-h HA THE'!#REF!</definedName>
    <definedName name="m10aanc">'[146]lam-moi'!#REF!</definedName>
    <definedName name="m10aavl">'[146]lam-moi'!#REF!</definedName>
    <definedName name="m10anc">'[146]lam-moi'!#REF!</definedName>
    <definedName name="m10avl">'[146]lam-moi'!#REF!</definedName>
    <definedName name="m10banc">'[146]lam-moi'!#REF!</definedName>
    <definedName name="m10bavl">'[146]lam-moi'!#REF!</definedName>
    <definedName name="m122bnnc">'[146]lam-moi'!#REF!</definedName>
    <definedName name="m122bnvl">'[146]lam-moi'!#REF!</definedName>
    <definedName name="m12aanc">'[146]lam-moi'!#REF!</definedName>
    <definedName name="m12aavl">'[146]lam-moi'!#REF!</definedName>
    <definedName name="M12aE" hidden="1">{"'照明目录'!$A$1:$H$31"}</definedName>
    <definedName name="m12anc">'[146]lam-moi'!#REF!</definedName>
    <definedName name="m12avl">'[146]lam-moi'!#REF!</definedName>
    <definedName name="M12ba3p">#REF!</definedName>
    <definedName name="m12banc">'[146]lam-moi'!#REF!</definedName>
    <definedName name="m12bavl">'[146]lam-moi'!#REF!</definedName>
    <definedName name="M12bb1p">#REF!</definedName>
    <definedName name="m12bbnc">'[146]lam-moi'!#REF!</definedName>
    <definedName name="m12bbvl">'[146]lam-moi'!#REF!</definedName>
    <definedName name="M12bnnc">#REF!</definedName>
    <definedName name="M12bnvl">#REF!</definedName>
    <definedName name="M12cbnc">#REF!</definedName>
    <definedName name="M12cbvl">#REF!</definedName>
    <definedName name="m142bnnc">'[146]lam-moi'!#REF!</definedName>
    <definedName name="m142bnvl">'[146]lam-moi'!#REF!</definedName>
    <definedName name="M14bb1p">#REF!</definedName>
    <definedName name="m14bbnc">'[146]lam-moi'!#REF!</definedName>
    <definedName name="M14bbvc">'[162]CHITIET VL-NC-TT -1p'!#REF!</definedName>
    <definedName name="m14bbvl">'[146]lam-moi'!#REF!</definedName>
    <definedName name="m1op1">'[163]Steam-Sys'!#REF!</definedName>
    <definedName name="M8a">'[154]THPDMoi  (2)'!#REF!</definedName>
    <definedName name="M8aa">'[154]THPDMoi  (2)'!#REF!</definedName>
    <definedName name="m8aanc">#REF!</definedName>
    <definedName name="m8aavl">#REF!</definedName>
    <definedName name="m8amtc">'[161]t-h HA THE'!#REF!</definedName>
    <definedName name="m8anc">'[146]lam-moi'!#REF!</definedName>
    <definedName name="m8avl">'[146]lam-moi'!#REF!</definedName>
    <definedName name="Ma3pnc">#REF!</definedName>
    <definedName name="Ma3pvl">#REF!</definedName>
    <definedName name="Maa3pnc">#REF!</definedName>
    <definedName name="Maa3pvl">#REF!</definedName>
    <definedName name="MACAREA">#REF!</definedName>
    <definedName name="Macro1">[164]LAB!#REF!</definedName>
    <definedName name="Mak">[14]総括表!#REF!</definedName>
    <definedName name="MALE">#REF!</definedName>
    <definedName name="man">#REF!</definedName>
    <definedName name="Mano">#REF!</definedName>
    <definedName name="mar">#REF!</definedName>
    <definedName name="margin">[136]BOQ!#REF!</definedName>
    <definedName name="MarkIdx">[135]Data!#REF!</definedName>
    <definedName name="Markup">#REF!</definedName>
    <definedName name="markup1">#REF!</definedName>
    <definedName name="markup2">#REF!</definedName>
    <definedName name="MAS" hidden="1">{#N/A,#N/A,FALSE,"Project Cost Summary";#N/A,#N/A,FALSE,"Man Hour Summary"}</definedName>
    <definedName name="MassAddDistributionTypes">#REF!</definedName>
    <definedName name="MassAdditionTypes">#REF!</definedName>
    <definedName name="MassFlowUnits">#REF!</definedName>
    <definedName name="MassRatesTypes">#REF!</definedName>
    <definedName name="Mat">[93]References!$G$5:$G$18</definedName>
    <definedName name="mat_burden">#REF!</definedName>
    <definedName name="MAT_CHAN_COVER">'[83]PAGE 2'!#REF!</definedName>
    <definedName name="Mat_Cost">#REF!</definedName>
    <definedName name="Mat_Load">#REF!</definedName>
    <definedName name="Matbody">#REF!</definedName>
    <definedName name="Material">#REF!</definedName>
    <definedName name="Mattrim">#REF!</definedName>
    <definedName name="MB">#REF!</definedName>
    <definedName name="Mba1p">#REF!</definedName>
    <definedName name="Mba3p">#REF!</definedName>
    <definedName name="Mbb3p">#REF!</definedName>
    <definedName name="mbn" hidden="1">{"MF-601",#N/A,TRUE,"MANT-EX-B(fJ)";"MF-602",#N/A,TRUE,"ELECTR-FJ(B)";"MF-603",#N/A,TRUE,"PERSONAL(FJ)B";"MF-604",#N/A,TRUE,"REACT-P(B)";"MF-605",#N/A,TRUE,"OTR-COS.FJ(B)";"MF-60X",#N/A,TRUE,"Resumen"}</definedName>
    <definedName name="Mbn1p">#REF!</definedName>
    <definedName name="mbnc">'[146]lam-moi'!#REF!</definedName>
    <definedName name="mbvl">'[146]lam-moi'!#REF!</definedName>
    <definedName name="MCCs">#REF!</definedName>
    <definedName name="MCFO">#REF!</definedName>
    <definedName name="MCSR_Date">#REF!</definedName>
    <definedName name="MECA1">[14]PLAGCoct03!$W$30:$AP$30,[14]PLAGCoct03!#REF!,[14]PLAGCoct03!$AC$45:$AT$45,[14]PLAGCoct03!#REF!,[14]PLAGCoct03!#REF!,[14]PLAGCoct03!#REF!,[14]PLAGCoct03!#REF!,[14]PLAGCoct03!#REF!,[14]PLAGCoct03!#REF!</definedName>
    <definedName name="MECA2">[14]PLAGCoct03!#REF!,[14]PLAGCoct03!#REF!,[14]PLAGCoct03!#REF!,[14]PLAGCoct03!#REF!</definedName>
    <definedName name="Mecaanical">#REF!</definedName>
    <definedName name="Mech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MEMBER">#REF!</definedName>
    <definedName name="MEMNO">#REF!</definedName>
    <definedName name="Menu">#REF!</definedName>
    <definedName name="MES0">#REF!</definedName>
    <definedName name="MES0_1">#REF!</definedName>
    <definedName name="MES0_2">#REF!</definedName>
    <definedName name="MES10_1">#REF!</definedName>
    <definedName name="MES10_2">#REF!</definedName>
    <definedName name="MES20_1">#REF!</definedName>
    <definedName name="MES20_2">#REF!</definedName>
    <definedName name="MES40_1">#REF!</definedName>
    <definedName name="MES40_2">#REF!</definedName>
    <definedName name="MessageMode">#REF!</definedName>
    <definedName name="MET6P">[28]DATA!$U$42</definedName>
    <definedName name="MFSAVEMENU">#REF!</definedName>
    <definedName name="mgf">#REF!</definedName>
    <definedName name="mgjmcf" hidden="1">{"Datos",#N/A,TRUE,"Datos"}</definedName>
    <definedName name="midasi">[165]電計工数内訳!#REF!</definedName>
    <definedName name="MIMPORTMENU">#REF!</definedName>
    <definedName name="miseàjourliaisons">#REF!</definedName>
    <definedName name="mj">#REF!</definedName>
    <definedName name="mjyuj" hidden="1">{"Datos",#N/A,TRUE,"Datos"}</definedName>
    <definedName name="MK">[166]RELAYS!$M$64</definedName>
    <definedName name="ml">#REF!</definedName>
    <definedName name="mm">'[1]KR2&amp;KVCM(MAR 1-6''99)'!#REF!</definedName>
    <definedName name="MM_Korean">#REF!</definedName>
    <definedName name="MM_Local.Reg">#REF!</definedName>
    <definedName name="MM_Third.Nation">#REF!</definedName>
    <definedName name="mmm">[167]giathanh1!#REF!</definedName>
    <definedName name="mmmm">#REF!</definedName>
    <definedName name="mmmmm" hidden="1">{#N/A,#N/A,FALSE,"CCTV"}</definedName>
    <definedName name="mmmmmm">Pricing [168]Sch!$B$131:$AQ$2021</definedName>
    <definedName name="mn" hidden="1">{"'Sheet1'!$L$16"}</definedName>
    <definedName name="MOBFC">#REF!</definedName>
    <definedName name="MOBFO">#REF!</definedName>
    <definedName name="MOBLC">#REF!</definedName>
    <definedName name="MOBRA">[87]Datos!$A$18:$B$26</definedName>
    <definedName name="Model_Adders">#REF!</definedName>
    <definedName name="Model_Adders_end">#REF!</definedName>
    <definedName name="Model_Adders_out">#REF!</definedName>
    <definedName name="Model_Copy1">#REF!</definedName>
    <definedName name="Model_Copy2">#REF!</definedName>
    <definedName name="Model_Crit1">#REF!</definedName>
    <definedName name="Model_Crit2">#REF!</definedName>
    <definedName name="Model_End">#REF!</definedName>
    <definedName name="Model_End_del">#REF!</definedName>
    <definedName name="Model_New_Sheet">#REF!</definedName>
    <definedName name="Model_Quote_No">#REF!</definedName>
    <definedName name="Model_Start">#REF!</definedName>
    <definedName name="Model_Title">#REF!</definedName>
    <definedName name="Model_View">#REF!</definedName>
    <definedName name="Model_View_1">#REF!</definedName>
    <definedName name="Model_View_2">#REF!</definedName>
    <definedName name="ModHWSubT">#REF!</definedName>
    <definedName name="MODULE">#REF!</definedName>
    <definedName name="MODULES">[130]SHEETS!$B$9:$B$21</definedName>
    <definedName name="MODULOS">[131]SHEETS!$B$9:$B$18</definedName>
    <definedName name="monnaie">#REF!</definedName>
    <definedName name="MONT">#REF!</definedName>
    <definedName name="MONT1">'[169]PESO-MONT'!$B$2:$C$171</definedName>
    <definedName name="motor2">[134]Data!$A$5:$C$34</definedName>
    <definedName name="motor4">[134]Data!$E$5:$G$34</definedName>
    <definedName name="mou">#REF!</definedName>
    <definedName name="MP" hidden="1">{#N/A,#N/A,FALSE,"CCTV"}</definedName>
    <definedName name="mp1x25">'[170]dongia (2)'!#REF!</definedName>
    <definedName name="MPFC">#REF!</definedName>
    <definedName name="MPFO">#REF!</definedName>
    <definedName name="MPLC">#REF!</definedName>
    <definedName name="MPMENU">'[142]Filter Spec.'!#REF!</definedName>
    <definedName name="MPS">#REF!</definedName>
    <definedName name="MQUITMENU">#REF!</definedName>
    <definedName name="MS_FC_FOB_PlMat">#REF!</definedName>
    <definedName name="MS_FC_LocTransp">#REF!</definedName>
    <definedName name="MS_FC_OceanFr">#REF!</definedName>
    <definedName name="MS_LC_FOB_PlMat">#REF!</definedName>
    <definedName name="MS_LC_LocTransp">#REF!</definedName>
    <definedName name="MS_LC_OceanFr">#REF!</definedName>
    <definedName name="MSST_LABEL">#REF!</definedName>
    <definedName name="MSWANZSEITEN">#REF!</definedName>
    <definedName name="MSWAPDCODE">#REF!</definedName>
    <definedName name="MSWBAND">#REF!</definedName>
    <definedName name="MSWBDATE">#REF!</definedName>
    <definedName name="MSWBEARBABT">#REF!</definedName>
    <definedName name="MSWBEARBD">#REF!</definedName>
    <definedName name="MSWBEARBN">#REF!</definedName>
    <definedName name="MSWBNAME">#REF!</definedName>
    <definedName name="MSWCMPCLASS_KLASSNR">#REF!</definedName>
    <definedName name="MSWCMPCLASS_SH_DESC">#REF!</definedName>
    <definedName name="MSWCUSTCODE">#REF!</definedName>
    <definedName name="MSWDATE_FILE">#REF!</definedName>
    <definedName name="MSWDATEIN">#REF!</definedName>
    <definedName name="MSWDATELA">#REF!</definedName>
    <definedName name="MSWDINFORMAT">#REF!</definedName>
    <definedName name="MSWDKLASSE">#REF!</definedName>
    <definedName name="MSWDOC0PATH">#REF!</definedName>
    <definedName name="MSWDOC1PATH">#REF!</definedName>
    <definedName name="MSWDOCID">#REF!</definedName>
    <definedName name="MSWDOCID1">#REF!</definedName>
    <definedName name="MSWDOCIDENCL">#REF!</definedName>
    <definedName name="MSWDOCNAME0">#REF!</definedName>
    <definedName name="MSWDOCREID">#REF!</definedName>
    <definedName name="MSWDSTATUS">#REF!</definedName>
    <definedName name="MSWENCL">#REF!</definedName>
    <definedName name="MSWENCLDOCID">#REF!</definedName>
    <definedName name="MSWERSATZ">#REF!</definedName>
    <definedName name="MSWERSETZT">#REF!</definedName>
    <definedName name="MSWEXT0">#REF!</definedName>
    <definedName name="MSWEXTMEHR">#REF!</definedName>
    <definedName name="MSWFABT">#REF!</definedName>
    <definedName name="MSWFFRIMA">#REF!</definedName>
    <definedName name="MSWFNAME">#REF!</definedName>
    <definedName name="MSWFREIABT">#REF!</definedName>
    <definedName name="MSWFREID">#REF!</definedName>
    <definedName name="MSWFREIN">#REF!</definedName>
    <definedName name="MSWFREMDD">#REF!</definedName>
    <definedName name="MSWGEPRABT">#REF!</definedName>
    <definedName name="MSWGEPRD">#REF!</definedName>
    <definedName name="MSWGEPRN">#REF!</definedName>
    <definedName name="MSWGILT">#REF!</definedName>
    <definedName name="MSWGRIFF">#REF!</definedName>
    <definedName name="MSWKKS">#REF!</definedName>
    <definedName name="MSWLASTTRANS">#REF!</definedName>
    <definedName name="MSWLG_DESC">#REF!</definedName>
    <definedName name="MSWLINKNAME">#REF!</definedName>
    <definedName name="MSWMASSTAB">#REF!</definedName>
    <definedName name="MSWNAME_AIMK">#REF!</definedName>
    <definedName name="MSWNORMD">#REF!</definedName>
    <definedName name="MSWNORMN">#REF!</definedName>
    <definedName name="MSWNOTE">#REF!</definedName>
    <definedName name="MSWNRKREIS">#REF!</definedName>
    <definedName name="MSWORD">#REF!</definedName>
    <definedName name="MSWPART_SH_DESC">#REF!</definedName>
    <definedName name="MSWPART_TNR">#REF!</definedName>
    <definedName name="MSWPDATE">#REF!</definedName>
    <definedName name="MSWPFUNKT">#REF!</definedName>
    <definedName name="MSWPNAME">#REF!</definedName>
    <definedName name="MSWProjectname">#REF!</definedName>
    <definedName name="MSWPSUBFUNK">#REF!</definedName>
    <definedName name="MSWPVC">#REF!</definedName>
    <definedName name="MSWPWP">#REF!</definedName>
    <definedName name="MSWPZPOS">#REF!</definedName>
    <definedName name="MSWREVISION">#REF!</definedName>
    <definedName name="MSWSEITENNR">#REF!</definedName>
    <definedName name="MSWSEKTION">#REF!</definedName>
    <definedName name="MSWSH_DESC">#REF!</definedName>
    <definedName name="MSWSIZE_FILE">#REF!</definedName>
    <definedName name="MSWSPRACHE">#REF!</definedName>
    <definedName name="MSWSSYSTEM">#REF!</definedName>
    <definedName name="MSWstatus">#REF!</definedName>
    <definedName name="MSWSTATUSA">#REF!</definedName>
    <definedName name="MSWSTATUSKEY">#REF!</definedName>
    <definedName name="MSWTITLE1">#REF!</definedName>
    <definedName name="MSWTITLE1_SHORT">#REF!</definedName>
    <definedName name="MSWTITLE2">#REF!</definedName>
    <definedName name="MSWTITLE2_SHORT">#REF!</definedName>
    <definedName name="MSWURSPRUNG">#REF!</definedName>
    <definedName name="MSWVC_C">#REF!</definedName>
    <definedName name="MSWVC_E1">#REF!</definedName>
    <definedName name="MSWVC_E2">#REF!</definedName>
    <definedName name="MSWVC_F">#REF!</definedName>
    <definedName name="MSWVC_I">#REF!</definedName>
    <definedName name="MSWVC_KA">#REF!</definedName>
    <definedName name="MSWVC_KI">#REF!</definedName>
    <definedName name="MSWVC_KV">#REF!</definedName>
    <definedName name="MSWVC_M">#REF!</definedName>
    <definedName name="MSWVC_O1">#REF!</definedName>
    <definedName name="MSWVC_O2">#REF!</definedName>
    <definedName name="MSWVC_Q">#REF!</definedName>
    <definedName name="MSWVC_R">#REF!</definedName>
    <definedName name="MSWVC_S1">#REF!</definedName>
    <definedName name="MSWVC_S2">#REF!</definedName>
    <definedName name="MSWVC_T">#REF!</definedName>
    <definedName name="MSWVC_X">#REF!</definedName>
    <definedName name="MSWVC_Z">#REF!</definedName>
    <definedName name="MT">#REF!</definedName>
    <definedName name="MTC1P">'[171]TONG HOP VL-NC TT'!#REF!</definedName>
    <definedName name="MTC3P">'[171]TONG HOP VL-NC TT'!#REF!</definedName>
    <definedName name="MTCHC">[172]TNHCHINH!$K$38</definedName>
    <definedName name="MTCMB">#REF!</definedName>
    <definedName name="MTMAC12">#REF!</definedName>
    <definedName name="MTMENU">#REF!</definedName>
    <definedName name="mtr">'[146]TH XL'!#REF!</definedName>
    <definedName name="mtram">#REF!</definedName>
    <definedName name="MULA">#REF!</definedName>
    <definedName name="MULTICON">#REF!</definedName>
    <definedName name="multicore_cable_type">#REF!</definedName>
    <definedName name="multipair_cable_type">#REF!</definedName>
    <definedName name="Multiplique">#REF!</definedName>
    <definedName name="MV_1_circuit">OFFSET([72]Filtrado!$AC$4,0,0,COUNTA([72]Filtrado!$AC:$AC),1)</definedName>
    <definedName name="MV_2_circuits">OFFSET([72]Filtrado!$AI$4,0,0,COUNTA([72]Filtrado!$AI:$AI),1)</definedName>
    <definedName name="MV_3_circuits">OFFSET([72]Filtrado!$AO$4,0,0,COUNTA([72]Filtrado!$AO:$AO),1)</definedName>
    <definedName name="MV_4_circuits">OFFSET([72]Filtrado!$AU$4,0,0,COUNTA([72]Filtrado!$AU:$AU),1)</definedName>
    <definedName name="MV_5_circuits">OFFSET([72]Filtrado!$BY$4,0,0,COUNTA([72]Filtrado!$BY:$BY),1)</definedName>
    <definedName name="MV_6_circuits">OFFSET([72]Filtrado!$CE$4,0,0,COUNTA([72]Filtrado!$CE:$CE),1)</definedName>
    <definedName name="mz">#REF!</definedName>
    <definedName name="n">#REF!</definedName>
    <definedName name="N__d_affaire">#REF!</definedName>
    <definedName name="N__préchan">#REF!</definedName>
    <definedName name="N1IN">'[173]TONGKE3p '!$U$295</definedName>
    <definedName name="N1L">#REF!</definedName>
    <definedName name="n1pig">#REF!</definedName>
    <definedName name="n1pignc">'[146]lam-moi'!#REF!</definedName>
    <definedName name="n1pigvl">'[146]lam-moi'!#REF!</definedName>
    <definedName name="n1pind">#REF!</definedName>
    <definedName name="n1pindnc">'[146]lam-moi'!#REF!</definedName>
    <definedName name="n1pindvl">'[146]lam-moi'!#REF!</definedName>
    <definedName name="n1ping">#REF!</definedName>
    <definedName name="n1pingnc">'[146]lam-moi'!#REF!</definedName>
    <definedName name="n1pingvl">'[146]lam-moi'!#REF!</definedName>
    <definedName name="n1pint">#REF!</definedName>
    <definedName name="n1pintnc">'[146]lam-moi'!#REF!</definedName>
    <definedName name="n1pintvl">'[146]lam-moi'!#REF!</definedName>
    <definedName name="n24nc">'[146]lam-moi'!#REF!</definedName>
    <definedName name="n24vl">'[146]lam-moi'!#REF!</definedName>
    <definedName name="n2mignc">'[146]lam-moi'!#REF!</definedName>
    <definedName name="n2migvl">'[146]lam-moi'!#REF!</definedName>
    <definedName name="n2min1nc">'[146]lam-moi'!#REF!</definedName>
    <definedName name="n2min1vl">'[146]lam-moi'!#REF!</definedName>
    <definedName name="N3L">#REF!</definedName>
    <definedName name="NAME">'[118]PAGE 1'!$E$9</definedName>
    <definedName name="NAT">#REF!</definedName>
    <definedName name="NB_UNITS">[174]Summary!#REF!</definedName>
    <definedName name="nbgvf">#REF!</definedName>
    <definedName name="nc1nc">'[146]lam-moi'!#REF!</definedName>
    <definedName name="nc1p">#REF!</definedName>
    <definedName name="nc1vl">'[146]lam-moi'!#REF!</definedName>
    <definedName name="nc24nc">'[146]lam-moi'!#REF!</definedName>
    <definedName name="nc24vl">'[146]lam-moi'!#REF!</definedName>
    <definedName name="nc3p">#REF!</definedName>
    <definedName name="NCBD100">#REF!</definedName>
    <definedName name="NCBD200">#REF!</definedName>
    <definedName name="NCBD250">#REF!</definedName>
    <definedName name="ncdd">'[146]TH XL'!#REF!</definedName>
    <definedName name="NCDD2">'[146]TH XL'!#REF!</definedName>
    <definedName name="NCHC">[172]TNHCHINH!$J$38</definedName>
    <definedName name="nctr">'[146]TH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edle">#REF!</definedName>
    <definedName name="Net_marg">#REF!</definedName>
    <definedName name="Net_Margin_EFC">#REF!</definedName>
    <definedName name="Net_Margin_ELC">#REF!</definedName>
    <definedName name="Net_Margin_Spp">#REF!</definedName>
    <definedName name="NETO">#REF!</definedName>
    <definedName name="ne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new_sheet">#REF!</definedName>
    <definedName name="NEWNAME" hidden="1">{#N/A,#N/A,FALSE,"CCTV"}</definedName>
    <definedName name="newnew">'[175]총괄표 (2)'!$B:$Y</definedName>
    <definedName name="NewUsedTypes">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hn">#REF!</definedName>
    <definedName name="nhnnc">'[146]lam-moi'!#REF!</definedName>
    <definedName name="nhnvl">'[146]lam-moi'!#REF!</definedName>
    <definedName name="NI">[176]노임!$A$1:$B$65536</definedName>
    <definedName name="nig">#REF!</definedName>
    <definedName name="NIG13p">'[173]TONGKE3p '!$T$295</definedName>
    <definedName name="nig1p">#REF!</definedName>
    <definedName name="nig3p">#REF!</definedName>
    <definedName name="nightnc">[177]gtrinh!#REF!</definedName>
    <definedName name="nightvl">[177]gtrinh!#REF!</definedName>
    <definedName name="nignc1p">#REF!</definedName>
    <definedName name="nignc3p">'[178]CHITIET VL-NC'!$G$107</definedName>
    <definedName name="nigvl1p">#REF!</definedName>
    <definedName name="nigvl3p">'[178]CHITIET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'[146]lam-moi'!#REF!</definedName>
    <definedName name="nin190nc3p">#REF!</definedName>
    <definedName name="nin190vl">'[146]lam-moi'!#REF!</definedName>
    <definedName name="nin190vl3p">#REF!</definedName>
    <definedName name="nin1pnc">'[146]lam-moi'!#REF!</definedName>
    <definedName name="nin1pvl">'[146]lam-moi'!#REF!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'[146]lam-moi'!#REF!</definedName>
    <definedName name="nindnc1p">#REF!</definedName>
    <definedName name="nindnc3p">#REF!</definedName>
    <definedName name="nindvl">'[146]lam-moi'!#REF!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'[146]lam-moi'!#REF!</definedName>
    <definedName name="ninnc3p">#REF!</definedName>
    <definedName name="nint1p">#REF!</definedName>
    <definedName name="nintnc1p">#REF!</definedName>
    <definedName name="nintvl1p">#REF!</definedName>
    <definedName name="ninvl">'[146]lam-moi'!#REF!</definedName>
    <definedName name="ninvl3p">#REF!</definedName>
    <definedName name="njtjr">#REF!</definedName>
    <definedName name="nkknk" hidden="1">{#N/A,#N/A,FALSE,"CCTV"}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'[154]THPDMoi  (2)'!#REF!</definedName>
    <definedName name="nlmtc">'[161]t-h HA THE'!#REF!</definedName>
    <definedName name="nlnc">'[146]lam-moi'!#REF!</definedName>
    <definedName name="nlnc3p">#REF!</definedName>
    <definedName name="nlnc3pha">#REF!</definedName>
    <definedName name="NLTK1p">#REF!</definedName>
    <definedName name="nlvl">'[146]lam-moi'!#REF!</definedName>
    <definedName name="nlvl1">[145]CHITIET!$G$302</definedName>
    <definedName name="nlvl3p">#REF!</definedName>
    <definedName name="nm">#REF!</definedName>
    <definedName name="nmnm" hidden="1">{"Datos",#N/A,TRUE,"Datos"}</definedName>
    <definedName name="nn">#REF!</definedName>
    <definedName name="nn1p">#REF!</definedName>
    <definedName name="nn3p">#REF!</definedName>
    <definedName name="NNHNHN">#REF!</definedName>
    <definedName name="nnn">#REF!</definedName>
    <definedName name="nnnc">'[146]lam-moi'!#REF!</definedName>
    <definedName name="nnnc3p">#REF!</definedName>
    <definedName name="nnnn">'[179]#REF'!#REF!</definedName>
    <definedName name="NNNNNNNNNNN">#REF!</definedName>
    <definedName name="nnvl">'[146]lam-moi'!#REF!</definedName>
    <definedName name="nnvl3p">#REF!</definedName>
    <definedName name="NO">[143]PRECIOS!$D$8</definedName>
    <definedName name="NoGT">IF([80]!SAP.F.C.PEC_NUMBER_OF_GAS_TURBINES&gt;0,[80]!SAP.F.C.PEC_NUMBER_OF_GAS_TURBINES,1)</definedName>
    <definedName name="NOIM">[176]노임!$A$1:$B$17</definedName>
    <definedName name="Noincluido">#REF!</definedName>
    <definedName name="nom_CA">#REF!</definedName>
    <definedName name="Nom_de_l_affaire">#REF!</definedName>
    <definedName name="NOMPRE">#REF!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P_ES">#REF!</definedName>
    <definedName name="NSI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NT">#REF!</definedName>
    <definedName name="NUEVO">#REF!</definedName>
    <definedName name="number">#REF!</definedName>
    <definedName name="nuoc">[180]gvl!$N$38</definedName>
    <definedName name="nv">#REF!</definedName>
    <definedName name="nvmm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NWT">[16]川崎HRSG!#REF!</definedName>
    <definedName name="nx">'[154]THPDMoi  (2)'!#REF!</definedName>
    <definedName name="NXL">#REF!</definedName>
    <definedName name="nxmtc">'[161]t-h HA THE'!#REF!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.H.T.L">[46]TRANSDUCERS!#REF!</definedName>
    <definedName name="oc">#REF!</definedName>
    <definedName name="odActual" hidden="1">0</definedName>
    <definedName name="odBudget" hidden="1">1</definedName>
    <definedName name="ODC">#REF!</definedName>
    <definedName name="odExternal" hidden="1">3</definedName>
    <definedName name="odForecast" hidden="1">2</definedName>
    <definedName name="ODH" hidden="1">#REF!</definedName>
    <definedName name="odPercentOfBudget" hidden="1">200</definedName>
    <definedName name="odPercentOfForecast" hidden="1">210</definedName>
    <definedName name="odPercentVarianceOnBudget" hidden="1">220</definedName>
    <definedName name="odPercentVarianceOnForecast" hidden="1">320</definedName>
    <definedName name="odVarianceOnBudget" hidden="1">300</definedName>
    <definedName name="odVarianceOnForecast" hidden="1">310</definedName>
    <definedName name="OFERTANTES">#REF!</definedName>
    <definedName name="OG_DCS">#REF!</definedName>
    <definedName name="OG_ES">#REF!</definedName>
    <definedName name="oh">'[95]Price Breakdown'!$B$2</definedName>
    <definedName name="OHTL">[55]TRANSDUCERS!#REF!</definedName>
    <definedName name="Oil___Gas_Division___Kuwait">#REF!</definedName>
    <definedName name="oililui" hidden="1">{#N/A,#N/A,FALSE,"CCTV"}</definedName>
    <definedName name="oINCOM6LC">'[28]DATA OPTIONS'!#REF!</definedName>
    <definedName name="oitry">#REF!</definedName>
    <definedName name="OLE_LINK1">#REF!</definedName>
    <definedName name="OM1FO">#REF!</definedName>
    <definedName name="OM2FO">#REF!</definedName>
    <definedName name="OMEGA">#REF!</definedName>
    <definedName name="omf">#REF!</definedName>
    <definedName name="oo" hidden="1">{"Datos",#N/A,TRUE,"Datos"}</definedName>
    <definedName name="OOM6BBPP">[28]DATA!#REF!</definedName>
    <definedName name="OOO">#REF!</definedName>
    <definedName name="OP">#REF!</definedName>
    <definedName name="Op_Engineer">#REF!</definedName>
    <definedName name="Op_ProMan">#REF!</definedName>
    <definedName name="OPC">#REF!</definedName>
    <definedName name="oper">#REF!</definedName>
    <definedName name="oper.">#REF!</definedName>
    <definedName name="Operating_Cost_Centers___Dubai">#REF!</definedName>
    <definedName name="Operating_Cost_Centers___Kuwait">#REF!</definedName>
    <definedName name="Operations_Services___Dubai">#REF!</definedName>
    <definedName name="Operations_Services___Kuwait">#REF!</definedName>
    <definedName name="Operator">#REF!</definedName>
    <definedName name="oproc">#REF!</definedName>
    <definedName name="OptionBlockFooter">#REF!</definedName>
    <definedName name="OptionBlockHead">#REF!</definedName>
    <definedName name="OptionBlockSheetHead">#REF!</definedName>
    <definedName name="OptionColumn">#REF!</definedName>
    <definedName name="OptionIndicatorExtern">#REF!</definedName>
    <definedName name="OptionIndicatorIntern">#REF!</definedName>
    <definedName name="OptionNames">#REF!</definedName>
    <definedName name="orang11">#REF!</definedName>
    <definedName name="orang13">#REF!</definedName>
    <definedName name="orang16">#REF!</definedName>
    <definedName name="orang19">#REF!</definedName>
    <definedName name="orang20">#REF!</definedName>
    <definedName name="orang23">#REF!</definedName>
    <definedName name="orang25">#REF!</definedName>
    <definedName name="orang29">#REF!</definedName>
    <definedName name="orang32">#REF!</definedName>
    <definedName name="orang36">#REF!</definedName>
    <definedName name="orang40">#REF!</definedName>
    <definedName name="orang48">#REF!</definedName>
    <definedName name="orang50">#REF!</definedName>
    <definedName name="Order_code">#REF!</definedName>
    <definedName name="OrderTable" hidden="1">#REF!</definedName>
    <definedName name="OS_FC_FOB_PlMat">#REF!</definedName>
    <definedName name="OS_FC_LocTransp">#REF!</definedName>
    <definedName name="OS_FC_OceanFr">#REF!</definedName>
    <definedName name="OS_LC_FOB_PlMat">#REF!</definedName>
    <definedName name="OS_LC_LocTransp">#REF!</definedName>
    <definedName name="OS_LC_OceanFr">#REF!</definedName>
    <definedName name="osc">'[154]THPDMoi  (2)'!#REF!</definedName>
    <definedName name="OSM" hidden="1">{#N/A,#N/A,FALSE,"TELEFON"}</definedName>
    <definedName name="Other4">'[149]UOP 508 PG 2-9'!#REF!</definedName>
    <definedName name="Out_of_Scope">'[90]Project Brief'!$E$64</definedName>
    <definedName name="OverDepreciateTypes">#REF!</definedName>
    <definedName name="Owner">#REF!</definedName>
    <definedName name="OwnLeaseTypes">#REF!</definedName>
    <definedName name="P">[181]!P</definedName>
    <definedName name="P.TOTAL">#REF!</definedName>
    <definedName name="P_1">#REF!</definedName>
    <definedName name="P_10">#REF!</definedName>
    <definedName name="P_10A">'[54] Estimate  '!#REF!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19">#REF!</definedName>
    <definedName name="P_2">#REF!</definedName>
    <definedName name="P_20">#REF!</definedName>
    <definedName name="P_21">#REF!</definedName>
    <definedName name="P_21Mech_S">#REF!</definedName>
    <definedName name="P_22">#REF!</definedName>
    <definedName name="P_23">#REF!</definedName>
    <definedName name="P_24">#REF!</definedName>
    <definedName name="P_25">#REF!</definedName>
    <definedName name="P_26">#REF!</definedName>
    <definedName name="P_27">#REF!</definedName>
    <definedName name="P_28">#REF!</definedName>
    <definedName name="P_29">#REF!</definedName>
    <definedName name="P_3">#REF!</definedName>
    <definedName name="P_30">#REF!</definedName>
    <definedName name="P_31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Anzahl_GT">[182]Projektdaten!$B$7</definedName>
    <definedName name="p1_18">'[65]Energía campo 1'!#REF!</definedName>
    <definedName name="PABX">[28]DATA!$R$69</definedName>
    <definedName name="PABX2">[28]DATA!#REF!</definedName>
    <definedName name="PABXP">[28]DATA!$U$69</definedName>
    <definedName name="pac">#REF!</definedName>
    <definedName name="pac_value">#REF!</definedName>
    <definedName name="PACFC">#REF!</definedName>
    <definedName name="PACFO">#REF!</definedName>
    <definedName name="PACLC">#REF!</definedName>
    <definedName name="PACS">#REF!</definedName>
    <definedName name="PAFC">#REF!</definedName>
    <definedName name="Pag.1">[58]ADI!$A$1,[58]ADI!$A$1:$F$49</definedName>
    <definedName name="pag.12">#REF!</definedName>
    <definedName name="Pag.A3">#REF!</definedName>
    <definedName name="pag.A4">#REF!</definedName>
    <definedName name="PAG_1">#REF!</definedName>
    <definedName name="PAG_2">#REF!</definedName>
    <definedName name="PAG_3">#REF!</definedName>
    <definedName name="PAG_4">#REF!</definedName>
    <definedName name="PAG_5">#REF!</definedName>
    <definedName name="pag_6">#REF!</definedName>
    <definedName name="PAG3.1">#REF!</definedName>
    <definedName name="PAG3.2">#REF!</definedName>
    <definedName name="PAG5.1">#REF!</definedName>
    <definedName name="PAG5.2">#REF!</definedName>
    <definedName name="PAG5.3">#REF!</definedName>
    <definedName name="PAGE1">#REF!</definedName>
    <definedName name="page11.13">#REF!</definedName>
    <definedName name="page14">#REF!</definedName>
    <definedName name="page15">#REF!</definedName>
    <definedName name="page16.17">#REF!</definedName>
    <definedName name="page19.20">#REF!</definedName>
    <definedName name="PAGE2">#REF!</definedName>
    <definedName name="page21">#REF!</definedName>
    <definedName name="page22">#REF!</definedName>
    <definedName name="page23">#REF!</definedName>
    <definedName name="page24">#REF!</definedName>
    <definedName name="PAGE3">#REF!</definedName>
    <definedName name="page9.10">#REF!</definedName>
    <definedName name="PALC">#REF!</definedName>
    <definedName name="Palms">#REF!</definedName>
    <definedName name="pandisc">#REF!</definedName>
    <definedName name="PANEL">[183]RELAYS!$M$63</definedName>
    <definedName name="panel_cos">#REF!</definedName>
    <definedName name="PANNELLO">#REF!</definedName>
    <definedName name="parcial">'[128]OT 70346 Costo tarjetas '!$F$6:$F$36</definedName>
    <definedName name="part1">#REF!</definedName>
    <definedName name="part2">'[14]D-3'!#REF!</definedName>
    <definedName name="PAUX">'[28]Aux MATERIAL DATABASE'!$T$6</definedName>
    <definedName name="pays">#REF!</definedName>
    <definedName name="PBBT_Kompo_Si_C" hidden="1">#REF!</definedName>
    <definedName name="PBBT_Kompo_Si_Kosten" hidden="1">#REF!</definedName>
    <definedName name="PBBT_Kompo_Si_KostenKomplett" hidden="1">#REF!</definedName>
    <definedName name="PBBT_Kompo_Si_Me" hidden="1">#REF!</definedName>
    <definedName name="PBBT_Kompo_Si_PSP" hidden="1">#REF!</definedName>
    <definedName name="PBBT_Kompo_Si_PSPzugeordnet" hidden="1">#REF!</definedName>
    <definedName name="PBBT_SH_5_KT" hidden="1">#REF!</definedName>
    <definedName name="pbom">#REF!</definedName>
    <definedName name="PBS">[184]LISTS!$G$2:$G$240</definedName>
    <definedName name="PC">#REF!</definedName>
    <definedName name="ＰＤ">#N/A</definedName>
    <definedName name="pdpdls" hidden="1">[22]FitOutConfCentre!#REF!</definedName>
    <definedName name="PDR">#REF!</definedName>
    <definedName name="peat">#REF!</definedName>
    <definedName name="period">#REF!</definedName>
    <definedName name="Period_Const">'[90]Project Brief'!$E$38</definedName>
    <definedName name="Period_Excav">#REF!</definedName>
    <definedName name="Period_Struc">#REF!</definedName>
    <definedName name="periodo">'[185]$total'!$E$1</definedName>
    <definedName name="Personal">#REF!,#REF!</definedName>
    <definedName name="pes_commissionning">#REF!</definedName>
    <definedName name="PES_gc_et_install">#REF!</definedName>
    <definedName name="PES_testing">#REF!</definedName>
    <definedName name="PES_transport_local">#REF!</definedName>
    <definedName name="peso_carp.___dda">#REF!</definedName>
    <definedName name="PESOS">#REF!</definedName>
    <definedName name="PFO">#REF!</definedName>
    <definedName name="PGNO3">#REF!</definedName>
    <definedName name="ph">#REF!</definedName>
    <definedName name="PICO">#REF!</definedName>
    <definedName name="PID">#REF!</definedName>
    <definedName name="PIDtable">#REF!</definedName>
    <definedName name="Pile_cut">#REF!</definedName>
    <definedName name="pipe0.5">#REF!</definedName>
    <definedName name="pipe0.75">#REF!</definedName>
    <definedName name="pipe1">#REF!</definedName>
    <definedName name="pipe1.25">#REF!</definedName>
    <definedName name="pipe1.5">#REF!</definedName>
    <definedName name="pipe10">#REF!</definedName>
    <definedName name="pipe12">#REF!</definedName>
    <definedName name="pipe14">#REF!</definedName>
    <definedName name="pipe16">#REF!</definedName>
    <definedName name="pipe18">#REF!</definedName>
    <definedName name="pipe2">#REF!</definedName>
    <definedName name="pipe2.5">#REF!</definedName>
    <definedName name="pipe20">#REF!</definedName>
    <definedName name="pipe24">#REF!</definedName>
    <definedName name="pipe3">#REF!</definedName>
    <definedName name="pipe4">#REF!</definedName>
    <definedName name="pipe5">#REF!</definedName>
    <definedName name="pipe6">#REF!</definedName>
    <definedName name="pipe8">#REF!</definedName>
    <definedName name="pipeclamp">[88]pipe!$A$3:$A$33</definedName>
    <definedName name="pipei0.5">#REF!</definedName>
    <definedName name="pipei0.75">#REF!</definedName>
    <definedName name="pipei1">#REF!</definedName>
    <definedName name="pipei1.25">#REF!</definedName>
    <definedName name="pipei1.5">#REF!</definedName>
    <definedName name="pipei10">#REF!</definedName>
    <definedName name="pipei12">#REF!</definedName>
    <definedName name="pipei14">#REF!</definedName>
    <definedName name="pipei16">#REF!</definedName>
    <definedName name="pipei18">#REF!</definedName>
    <definedName name="pipei2">#REF!</definedName>
    <definedName name="pipei2.5">#REF!</definedName>
    <definedName name="pipei3">#REF!</definedName>
    <definedName name="pipei4">#REF!</definedName>
    <definedName name="pipei5">#REF!</definedName>
    <definedName name="pipei6">#REF!</definedName>
    <definedName name="pipei8">#REF!</definedName>
    <definedName name="PIPING">[80]!COIORYG</definedName>
    <definedName name="pippo">#REF!</definedName>
    <definedName name="pl">#REF!</definedName>
    <definedName name="Planters">#REF!</definedName>
    <definedName name="PLC">[28]DATA!$R$67</definedName>
    <definedName name="PLCP">[28]DATA!$U$67</definedName>
    <definedName name="PLDMDF">[28]DATA!$W$67</definedName>
    <definedName name="PLJK" hidden="1">[22]FitOutConfCentre!#REF!</definedName>
    <definedName name="plmb831">#REF!</definedName>
    <definedName name="plmb832">#REF!</definedName>
    <definedName name="plmb833">#REF!</definedName>
    <definedName name="plmb834">#REF!</definedName>
    <definedName name="PL법">#REF!</definedName>
    <definedName name="PN">'[28] MAIN'!$G$285</definedName>
    <definedName name="Pnm">#REF!</definedName>
    <definedName name="Pno">#REF!</definedName>
    <definedName name="po" hidden="1">{#N/A,#N/A,FALSE,"CCTV"}</definedName>
    <definedName name="PointDinsertion">#REF!</definedName>
    <definedName name="poiuytrezaqsdf">#REF!</definedName>
    <definedName name="Polín_1">#REF!</definedName>
    <definedName name="POND">[106]取り纏め!#REF!</definedName>
    <definedName name="PopupDialog">#N/A</definedName>
    <definedName name="PopupSteamChoices">#N/A</definedName>
    <definedName name="PopupStyleTypeDialog">#N/A</definedName>
    <definedName name="PortExport">[97]POE!$A$2:$E$75</definedName>
    <definedName name="Porton">#REF!</definedName>
    <definedName name="POS.">#REF!</definedName>
    <definedName name="PostingStatusTypes">#REF!</definedName>
    <definedName name="POT_NOMINAL">#REF!,#REF!</definedName>
    <definedName name="Potencias" hidden="1">[186]LLEGADA!#REF!</definedName>
    <definedName name="pound">#REF!</definedName>
    <definedName name="POURCENTAGES">#REF!</definedName>
    <definedName name="pout">#REF!</definedName>
    <definedName name="POWERPOINT">#REF!</definedName>
    <definedName name="PowerUnits">#REF!</definedName>
    <definedName name="pp" hidden="1">{#N/A,#N/A,FALSE,"CCTV"}</definedName>
    <definedName name="ppooi">#REF!</definedName>
    <definedName name="PPP" hidden="1">{#N/A,#N/A,FALSE,"CCTV"}</definedName>
    <definedName name="pppp" hidden="1">{#N/A,#N/A,FALSE,"Project Cost Summary";#N/A,#N/A,FALSE,"Man Hour Summary"}</definedName>
    <definedName name="PPPPP">#REF!</definedName>
    <definedName name="PPType">#REF!</definedName>
    <definedName name="prd48_11">[45]Sheet1!$A$288</definedName>
    <definedName name="prdlarge">[45]Sheet1!$A$290</definedName>
    <definedName name="prdsmall">[45]Sheet1!$A$289</definedName>
    <definedName name="PRECIO_TOTAL">'[128]OT 70380'!$F$7:$F$18</definedName>
    <definedName name="PRECO">#REF!</definedName>
    <definedName name="PREFAB">#REF!</definedName>
    <definedName name="prelimRM">#REF!</definedName>
    <definedName name="PREST">#REF!</definedName>
    <definedName name="Presta">#REF!</definedName>
    <definedName name="preup_ib">[61]!preup_ib</definedName>
    <definedName name="Price">#REF!</definedName>
    <definedName name="Price_Acoust._Ceil">#REF!</definedName>
    <definedName name="Price_Block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Unit01">'[92]1'!#REF!</definedName>
    <definedName name="Price_Unit01_esc">'[92]1'!#REF!</definedName>
    <definedName name="Price_Unit04">'[92]4'!$T$15:$T$46</definedName>
    <definedName name="Price_Unit05">'[92]5'!$T$15:$T$46</definedName>
    <definedName name="Price_Unit06">'[92]6'!$T$15:$T$46</definedName>
    <definedName name="Price_Unit07">'[92]7'!$T$15:$T$46</definedName>
    <definedName name="Price_Unit08">'[92]8'!$T$15:$T$46</definedName>
    <definedName name="Price_Unit09">'[92]9'!$T$15:$T$46</definedName>
    <definedName name="Price_Unit10">'[92]10'!$T$15:$T$46</definedName>
    <definedName name="Price_Unit11">'[92]11'!$T$15:$T$46</definedName>
    <definedName name="Price_Unit12">'[92]12'!$T$15:$T$46</definedName>
    <definedName name="Price_Unit13">'[92]13'!$T$15:$T$46</definedName>
    <definedName name="Price_Unit14">'[92]14'!$T$15:$T$46</definedName>
    <definedName name="Price_Wd.Door_D">#REF!</definedName>
    <definedName name="Price_Wd.Door_S">#REF!</definedName>
    <definedName name="print">[187]SERVICE!$A$2:$K$32</definedName>
    <definedName name="_xlnm.Print_Area">'[188]ﾄﾞﾊﾞｲFUEL GAS追見'!#REF!</definedName>
    <definedName name="PRINT_AREA_MI">'[188]ﾄﾞﾊﾞｲFUEL GAS追見'!#REF!</definedName>
    <definedName name="PRINT_AREA_MI1">#REF!</definedName>
    <definedName name="_xlnm.Print_Titles">#REF!</definedName>
    <definedName name="Print_Titles_MI">#REF!</definedName>
    <definedName name="PRINT_TITLES_MI1">#REF!</definedName>
    <definedName name="PRJ_CODE">#REF!</definedName>
    <definedName name="PRJ_NAME">#REF!</definedName>
    <definedName name="prjName">#REF!</definedName>
    <definedName name="prjNo">#REF!</definedName>
    <definedName name="PRNO">#REF!</definedName>
    <definedName name="proc">#REF!</definedName>
    <definedName name="proc_t">#REF!</definedName>
    <definedName name="ProdForm" hidden="1">#REF!</definedName>
    <definedName name="Product" hidden="1">#REF!</definedName>
    <definedName name="Profz">#REF!</definedName>
    <definedName name="Programmer">#REF!</definedName>
    <definedName name="PROJ">[79]LEGEND!$D$4</definedName>
    <definedName name="Project">#REF!</definedName>
    <definedName name="PROJECT_DURATION">#REF!</definedName>
    <definedName name="Project_Name">'[99]GM 000'!$I$2</definedName>
    <definedName name="PROJECT_TOTAL">'[82]Summary Sheets'!$A$2:$K$36</definedName>
    <definedName name="Project_Type">'[189]PROJECT BRIEF'!#REF!</definedName>
    <definedName name="ProjectName">#REF!</definedName>
    <definedName name="projecttitle">#REF!</definedName>
    <definedName name="Projekt">#REF!</definedName>
    <definedName name="ProjektNr">#REF!</definedName>
    <definedName name="ProjMgmt">#REF!</definedName>
    <definedName name="PROLOGICMAN">[45]Sheet1!$H$371</definedName>
    <definedName name="Property12451250Types">#REF!</definedName>
    <definedName name="Proposal_code">#REF!</definedName>
    <definedName name="Provisional">#REF!,#REF!,#REF!,#REF!,#REF!,#REF!,#REF!,#REF!,#REF!</definedName>
    <definedName name="proy">#REF!</definedName>
    <definedName name="PS">[80]!COIORYG</definedName>
    <definedName name="PS12_220">[45]Sheet1!$A$180</definedName>
    <definedName name="PS12_48">[45]Sheet1!$A$178</definedName>
    <definedName name="PS5_220">[45]Sheet1!$A$181</definedName>
    <definedName name="PS5_48">[45]Sheet1!$A$179</definedName>
    <definedName name="PTNC">'[178]DON GIA'!$G$227</definedName>
    <definedName name="PumpSelection">"Label 10"</definedName>
    <definedName name="PV">#REF!</definedName>
    <definedName name="pvcd110">#REF!</definedName>
    <definedName name="pvcd125">#REF!</definedName>
    <definedName name="pvcd140">#REF!</definedName>
    <definedName name="pvcd160">#REF!</definedName>
    <definedName name="pvcd200">#REF!</definedName>
    <definedName name="pvcd215">#REF!</definedName>
    <definedName name="pvcd250">#REF!</definedName>
    <definedName name="pvcd280">#REF!</definedName>
    <definedName name="pvcd315">#REF!</definedName>
    <definedName name="pvcd355">#REF!</definedName>
    <definedName name="pvcd40">#REF!</definedName>
    <definedName name="pvcd400">#REF!</definedName>
    <definedName name="pvcd50">#REF!</definedName>
    <definedName name="pvcd63">#REF!</definedName>
    <definedName name="pvcd75">#REF!</definedName>
    <definedName name="pvcd90">#REF!</definedName>
    <definedName name="Px">[159]CMTD!$C$11</definedName>
    <definedName name="Q" hidden="1">{#N/A,#N/A,FALSE,"Ejector 1";#N/A,#N/A,FALSE,"Ejector 2"}</definedName>
    <definedName name="Q1_0">'[31]DATA-1'!#REF!</definedName>
    <definedName name="Q1_1">'[31]DATA-1'!#REF!</definedName>
    <definedName name="Q2_0">'[31]DATA-1'!#REF!</definedName>
    <definedName name="Q2_1">'[31]DATA-1'!#REF!</definedName>
    <definedName name="Q51_0">'[31]DATA-1'!#REF!</definedName>
    <definedName name="Q51_1">'[31]DATA-1'!#REF!</definedName>
    <definedName name="Q51_2">'[31]DATA-1'!#REF!</definedName>
    <definedName name="Q52_0">'[31]DATA-1'!#REF!</definedName>
    <definedName name="Q52_1">'[31]DATA-1'!#REF!</definedName>
    <definedName name="Q61_0">'[31]DATA-1'!#REF!</definedName>
    <definedName name="Q61_1">'[31]DATA-1'!#REF!</definedName>
    <definedName name="Q62_0">'[31]DATA-1'!#REF!</definedName>
    <definedName name="Q62_1">'[31]DATA-1'!#REF!</definedName>
    <definedName name="qa">#REF!</definedName>
    <definedName name="qeq" hidden="1">{#N/A,#N/A,FALSE,"Matrix";#N/A,#N/A,FALSE,"Executive";#N/A,#N/A,FALSE,"Summary"}</definedName>
    <definedName name="QF_SYS_CURRENCY1">#REF!</definedName>
    <definedName name="QF_SYS_DESTINATION1">#REF!</definedName>
    <definedName name="QF_SYS_EXCHANGE1">#REF!</definedName>
    <definedName name="QF_SYS_LISTPRICECURRENCY">#REF!</definedName>
    <definedName name="QF_SYS_TRADETERMDESC1">#REF!</definedName>
    <definedName name="qh">#REF!</definedName>
    <definedName name="qq" hidden="1">{"'Sheet1'!$L$16"}</definedName>
    <definedName name="QQ_0">'[31]DATA-1'!#REF!</definedName>
    <definedName name="QQ_1">'[31]DATA-1'!#REF!</definedName>
    <definedName name="qqq">#N/A</definedName>
    <definedName name="QQQQ" hidden="1">{#N/A,#N/A,FALSE,"Ejector 1";#N/A,#N/A,FALSE,"Ejector 2"}</definedName>
    <definedName name="qqqqq" hidden="1">{#N/A,#N/A,TRUE,"Basic";#N/A,#N/A,TRUE,"EXT-TABLE";#N/A,#N/A,TRUE,"STEEL";#N/A,#N/A,TRUE,"INT-Table";#N/A,#N/A,TRUE,"STEEL";#N/A,#N/A,TRUE,"Door"}</definedName>
    <definedName name="QQQQQQ" hidden="1">{#N/A,#N/A,FALSE,"Ejector 1";#N/A,#N/A,FALSE,"Ejector 2"}</definedName>
    <definedName name="QT">#REF!</definedName>
    <definedName name="qt_fcfc">#REF!</definedName>
    <definedName name="QTY">#REF!</definedName>
    <definedName name="Qty_Ceiling">#REF!</definedName>
    <definedName name="Qty_Conc">#REF!</definedName>
    <definedName name="Qty_Door.Window">#REF!</definedName>
    <definedName name="Qty_Excavation">#REF!</definedName>
    <definedName name="Qty_Form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QuantityColumn">#REF!</definedName>
    <definedName name="QUOTE_NO.">#REF!</definedName>
    <definedName name="QuoteType">#REF!</definedName>
    <definedName name="qw" hidden="1">{#N/A,#N/A,FALSE,"Ejector 1";#N/A,#N/A,FALSE,"Ejector 2"}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e" hidden="1">{#N/A,#N/A,FALSE,"Ejector 1";#N/A,#N/A,FALSE,"Ejector 2"}</definedName>
    <definedName name="qwer" hidden="1">[22]FitOutConfCentre!#REF!</definedName>
    <definedName name="QWQWQW" hidden="1">#REF!</definedName>
    <definedName name="qwwww" hidden="1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">[159]CMTD!$E$7</definedName>
    <definedName name="R_0">'[31]DATA-1'!#REF!</definedName>
    <definedName name="R_1">'[31]DATA-1'!#REF!</definedName>
    <definedName name="r0">#REF!</definedName>
    <definedName name="ra">#REF!</definedName>
    <definedName name="ra11p">#REF!</definedName>
    <definedName name="ra13p">#REF!</definedName>
    <definedName name="rack1">'[154]THPDMoi  (2)'!#REF!</definedName>
    <definedName name="rack2">'[154]THPDMoi  (2)'!#REF!</definedName>
    <definedName name="RACK202">#REF!</definedName>
    <definedName name="rack3">'[154]THPDMoi  (2)'!#REF!</definedName>
    <definedName name="rack4">'[154]THPDMoi  (2)'!#REF!</definedName>
    <definedName name="rad">#REF!</definedName>
    <definedName name="rafg">#REF!</definedName>
    <definedName name="RANGE">#REF!</definedName>
    <definedName name="Rango_a_imprimir">#REF!</definedName>
    <definedName name="rarewt" hidden="1">{#N/A,#N/A,FALSE,"CCTV"}</definedName>
    <definedName name="RATE">#REF!</definedName>
    <definedName name="RATE1">[103]DATA!$H$1:$H$65536</definedName>
    <definedName name="RateFix">#REF!</definedName>
    <definedName name="Rating">#REF!</definedName>
    <definedName name="ratio">#REF!</definedName>
    <definedName name="ratio1">#REF!</definedName>
    <definedName name="ratio2">#REF!</definedName>
    <definedName name="RatioExp">#REF!</definedName>
    <definedName name="rb">#REF!</definedName>
    <definedName name="RCArea" hidden="1">#REF!</definedName>
    <definedName name="RCP">[74]RELAYS!$E$71</definedName>
    <definedName name="RD">#REF!</definedName>
    <definedName name="re">#REF!</definedName>
    <definedName name="reactor">#REF!</definedName>
    <definedName name="rebar">#REF!</definedName>
    <definedName name="Rebar_unitprice">#REF!</definedName>
    <definedName name="REC">'[28]MAIN MATERIAL DATABASE'!$AR$1:$AR$65536</definedName>
    <definedName name="_xlnm.Recorder">#REF!</definedName>
    <definedName name="RECOUT">#N/A</definedName>
    <definedName name="Reda">#REF!</definedName>
    <definedName name="reeee">#REF!</definedName>
    <definedName name="REFPP">PPType&amp;"!"</definedName>
    <definedName name="REFRACTAIRES">[14]PLAGCoct03!#REF!,[14]PLAGCoct03!#REF!,[14]PLAGCoct03!#REF!,[14]PLAGCoct03!#REF!</definedName>
    <definedName name="reggie" hidden="1">{#N/A,#N/A,TRUE,"Cover Memo";"Ride Estimate",#N/A,TRUE,"Change Summary";"Ride Estimate",#N/A,TRUE,"Estimate Summary";"Ride Estimate",#N/A,TRUE,"Dept. Summary";"Ride Estimate",#N/A,TRUE,"DOW Detail"}</definedName>
    <definedName name="Relacion_________________________________________Señal_de_entrada_0_110V._____________________________________________________Señal_de_salida__0_5_mA___________________________________________________Rango_de_tensión_0_123V">#REF!</definedName>
    <definedName name="requi">[64]AN!$K$2</definedName>
    <definedName name="rere" hidden="1">{"Datos",#N/A,TRUE,"Datos"}</definedName>
    <definedName name="res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resta">#REF!</definedName>
    <definedName name="resU" hidden="1">"info1"</definedName>
    <definedName name="resumen">#REF!</definedName>
    <definedName name="retyeg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Rev">#REF!</definedName>
    <definedName name="REV.">#REF!</definedName>
    <definedName name="REV_CODE">#REF!</definedName>
    <definedName name="Revision">#REF!</definedName>
    <definedName name="REWQ" hidden="1">{#N/A,#N/A,FALSE,"Ejector 1";#N/A,#N/A,FALSE,"Ejector 2"}</definedName>
    <definedName name="REWQTYUIOP" hidden="1">{#N/A,#N/A,FALSE,"Ejector 1";#N/A,#N/A,FALSE,"Ejector 2"}</definedName>
    <definedName name="REYRTY">[80]!COIORYG</definedName>
    <definedName name="RF" hidden="1">{#N/A,#N/A,FALSE,"CCTV"}</definedName>
    <definedName name="Rform_unitprice">#REF!</definedName>
    <definedName name="RFP002_CIVIL_FC">#REF!</definedName>
    <definedName name="RFP002_CIVIL_LC">#REF!</definedName>
    <definedName name="RFP002_ELEC_FC">#REF!</definedName>
    <definedName name="RFP002_ELEC_LC">#REF!</definedName>
    <definedName name="RFP002_EQUIP_FC">#REF!</definedName>
    <definedName name="RFP002_EQUIP_LC">#REF!</definedName>
    <definedName name="RFP002_INSTR_FC">#REF!</definedName>
    <definedName name="RFP002_INSTR_LC">#REF!</definedName>
    <definedName name="RFP002_INSU_FC">#REF!</definedName>
    <definedName name="RFP002_INSU_LC">#REF!</definedName>
    <definedName name="RFP002_OTR1_FC">#REF!</definedName>
    <definedName name="RFP002_OTR1_LC">#REF!</definedName>
    <definedName name="RFP002_OTR2_FC">#REF!</definedName>
    <definedName name="RFP002_OTR2_LC">#REF!</definedName>
    <definedName name="RFP002_PAINT_FC">#REF!</definedName>
    <definedName name="RFP002_PAINT_LC">#REF!</definedName>
    <definedName name="RFP002_PIPE_FC">#REF!</definedName>
    <definedName name="RFP002_PIPE_LC">#REF!</definedName>
    <definedName name="RFP002_SRNO">#REF!</definedName>
    <definedName name="RFP002_TOTAL">#REF!</definedName>
    <definedName name="RFP003A">#REF!</definedName>
    <definedName name="RFP003A_BQITC1">[14]RFP003B!#REF!</definedName>
    <definedName name="RFP003A_BQITC2">[14]RFP003B!#REF!</definedName>
    <definedName name="RFP003A_BQITC3">[14]RFP003B!#REF!</definedName>
    <definedName name="RFP003A_UAMH">[14]RFP003B!#REF!</definedName>
    <definedName name="RFP003A_UR_CON_FC">[14]RFP003B!#REF!</definedName>
    <definedName name="RFP003A_UR_CON_LC">[14]RFP003B!#REF!</definedName>
    <definedName name="RFP003A_UR_MAT_FC">[14]RFP003B!#REF!</definedName>
    <definedName name="RFP003A_UR_MAT_LC">[14]RFP003B!#REF!</definedName>
    <definedName name="RFP003B">#REF!</definedName>
    <definedName name="RFP003C">#REF!</definedName>
    <definedName name="RFP003D">#REF!</definedName>
    <definedName name="RFP003E">#REF!</definedName>
    <definedName name="RFP003E_BQITC1">#REF!</definedName>
    <definedName name="RFP003E_BQITC2">#REF!</definedName>
    <definedName name="RFP003E_BQITC3">#REF!</definedName>
    <definedName name="RFP003E_TOTAL">#REF!</definedName>
    <definedName name="RFP003E_UAMH">#REF!</definedName>
    <definedName name="RFP003E_UR_CON_FC">#REF!</definedName>
    <definedName name="RFP003E_UR_CON_LC">#REF!</definedName>
    <definedName name="RFP003E_UR_MAT_FC">#REF!</definedName>
    <definedName name="RFP003E_UR_MAT_LC">#REF!</definedName>
    <definedName name="RFP003F">#REF!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aeyht" hidden="1">{"Datos",#N/A,TRUE,"Datos"}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os">#REF!</definedName>
    <definedName name="RI">#N/A</definedName>
    <definedName name="rid" hidden="1">{"'Sheet1'!$L$16"}</definedName>
    <definedName name="RIPETI">#REF!</definedName>
    <definedName name="riser">#REF!</definedName>
    <definedName name="RISK">#REF!</definedName>
    <definedName name="rngREFBF">INDIRECT(REFPP&amp;"rngBF")</definedName>
    <definedName name="rngREFCNS">INDIRECT(REFPP&amp;"rngCNS")</definedName>
    <definedName name="rngRefCurr">INDIRECT(REFPP&amp;"rngCurr")</definedName>
    <definedName name="rngREFSum">INDIRECT([80]!REFPP&amp;"rngSum")</definedName>
    <definedName name="rngREFSUMwoBF">INDIRECT(REFPP&amp;"rngSUMwoBF")</definedName>
    <definedName name="RNR">#REF!</definedName>
    <definedName name="Roof_Water_proofing">'[54]#REF'!$B$441:$F$450</definedName>
    <definedName name="Room">#REF!:OFFSET(#REF!,#REF!,)</definedName>
    <definedName name="ROUND">#REF!</definedName>
    <definedName name="round1">[136]BOQ!#REF!</definedName>
    <definedName name="round2">[136]BOQ!#REF!</definedName>
    <definedName name="rr">[46]TRANSDUCERS!#REF!</definedName>
    <definedName name="rrc">#REF!</definedName>
    <definedName name="RRR">#REF!</definedName>
    <definedName name="rrrr">#REF!</definedName>
    <definedName name="rs">#REF!</definedName>
    <definedName name="RS_485">OFFSET([72]Filtrado!$K$4,0,0,COUNTA([72]Filtrado!$K:$K),1)</definedName>
    <definedName name="rs_usd">#REF!</definedName>
    <definedName name="RS232_20MA">[45]Sheet1!$A$45</definedName>
    <definedName name="RS232_RS485">[45]Sheet1!$A$44</definedName>
    <definedName name="RS232CABLE">#REF!</definedName>
    <definedName name="RS232SWITCH">#REF!</definedName>
    <definedName name="RS485_GFO">#REF!</definedName>
    <definedName name="RT" hidden="1">{#N/A,#N/A,FALSE,"Ejector 1";#N/A,#N/A,FALSE,"Ejector 2"}</definedName>
    <definedName name="rth" hidden="1">{"Datos",#N/A,TRUE,"Datos"}</definedName>
    <definedName name="rtjh" hidden="1">{"Datos",#N/A,TRUE,"Datos"}</definedName>
    <definedName name="RTU">[28]DATA!$R$62</definedName>
    <definedName name="rtu_cos">#REF!</definedName>
    <definedName name="RTU_Engineer">#REF!</definedName>
    <definedName name="RTUP">[28]DATA!$U$62</definedName>
    <definedName name="RTUTOTAL">#REF!</definedName>
    <definedName name="RTY" hidden="1">{#N/A,#N/A,FALSE,"Ejector 1";#N/A,#N/A,FALSE,"Ejector 2"}</definedName>
    <definedName name="rtyty" hidden="1">{"MF-601",#N/A,TRUE,"MANT-EX-B(fJ)";"MF-602",#N/A,TRUE,"ELECTR-FJ(B)";"MF-603",#N/A,TRUE,"PERSONAL(FJ)B";"MF-604",#N/A,TRUE,"REACT-P(B)";"MF-605",#N/A,TRUE,"OTR-COS.FJ(B)";"MF-60X",#N/A,TRUE,"Resumen"}</definedName>
    <definedName name="RTYU" hidden="1">{#N/A,#N/A,FALSE,"Ejector 1";#N/A,#N/A,FALSE,"Ejector 2"}</definedName>
    <definedName name="RTYUI" hidden="1">{#N/A,#N/A,FALSE,"Ejector 1";#N/A,#N/A,FALSE,"Ejector 2"}</definedName>
    <definedName name="RTYUIO" hidden="1">{#N/A,#N/A,FALSE,"Ejector 1";#N/A,#N/A,FALSE,"Ejector 2"}</definedName>
    <definedName name="RTYUIOP" hidden="1">{#N/A,#N/A,FALSE,"Ejector 1";#N/A,#N/A,FALSE,"Ejector 2"}</definedName>
    <definedName name="RTYUIOPè" hidden="1">{#N/A,#N/A,FALSE,"Ejector 1";#N/A,#N/A,FALSE,"Ejector 2"}</definedName>
    <definedName name="RTYUIOPèA" hidden="1">{#N/A,#N/A,FALSE,"Ejector 1";#N/A,#N/A,FALSE,"Ejector 2"}</definedName>
    <definedName name="RTYUIOPèAS" hidden="1">{#N/A,#N/A,FALSE,"Ejector 1";#N/A,#N/A,FALSE,"Ejector 2"}</definedName>
    <definedName name="RTYUIOPèASD" hidden="1">{#N/A,#N/A,FALSE,"Ejector 1";#N/A,#N/A,FALSE,"Ejector 2"}</definedName>
    <definedName name="RTYUIOPèASDF" hidden="1">{#N/A,#N/A,FALSE,"Ejector 1";#N/A,#N/A,FALSE,"Ejector 2"}</definedName>
    <definedName name="RTYUIOPèASDFG" hidden="1">{#N/A,#N/A,FALSE,"Ejector 1";#N/A,#N/A,FALSE,"Ejector 2"}</definedName>
    <definedName name="RTYUIOPèASDFGH" hidden="1">{#N/A,#N/A,FALSE,"Ejector 1";#N/A,#N/A,FALSE,"Ejector 2"}</definedName>
    <definedName name="rwe">#REF!</definedName>
    <definedName name="rwr" hidden="1">{"Datos",#N/A,TRUE,"Datos"}</definedName>
    <definedName name="RY">#REF!</definedName>
    <definedName name="ryhfhfghjfg" hidden="1">'[25]Staffing Plan'!#REF!</definedName>
    <definedName name="ryuj">#REF!</definedName>
    <definedName name="s" hidden="1">#REF!</definedName>
    <definedName name="S_0">'[31]DATA-1'!#REF!</definedName>
    <definedName name="S_1">'[31]DATA-1'!#REF!</definedName>
    <definedName name="s_rate">'[190]Site Expenses'!$P$2</definedName>
    <definedName name="SA">#REF!</definedName>
    <definedName name="SA_420">#REF!</definedName>
    <definedName name="saaaa">'[56]C-18'!#REF!</definedName>
    <definedName name="SADSA">#REF!</definedName>
    <definedName name="SAF0_2">#REF!</definedName>
    <definedName name="sal">#REF!</definedName>
    <definedName name="Sal.Escal_Korean">#REF!</definedName>
    <definedName name="Sal.Escal_Local.Reg">#REF!</definedName>
    <definedName name="Sal.Escal_Third.N">#REF!</definedName>
    <definedName name="salary">#REF!</definedName>
    <definedName name="Salary_Korean">#REF!</definedName>
    <definedName name="Salary_Local.Reg">#REF!</definedName>
    <definedName name="Salary_Third.N">#REF!</definedName>
    <definedName name="salary00">#REF!</definedName>
    <definedName name="salary01">#REF!</definedName>
    <definedName name="salary02">#REF!</definedName>
    <definedName name="salary03">#REF!</definedName>
    <definedName name="salary04">#REF!</definedName>
    <definedName name="SALES">#REF!</definedName>
    <definedName name="SALES1">#REF!</definedName>
    <definedName name="SALES2">#REF!</definedName>
    <definedName name="SALES3">#REF!</definedName>
    <definedName name="salma">#REF!</definedName>
    <definedName name="SalvageTypes">#REF!</definedName>
    <definedName name="SAM" hidden="1">{#N/A,#N/A,TRUE,"Basic";#N/A,#N/A,TRUE,"EXT-TABLE";#N/A,#N/A,TRUE,"STEEL";#N/A,#N/A,TRUE,"INT-Table";#N/A,#N/A,TRUE,"STEEL";#N/A,#N/A,TRUE,"Door"}</definedName>
    <definedName name="sami" hidden="1">{#N/A,#N/A,FALSE,"Bal.Sht"}</definedName>
    <definedName name="Sanitary">#REF!</definedName>
    <definedName name="SAP.F.C.PEC_BF_SFC_TRF">#REF!</definedName>
    <definedName name="SAP.F.C.PEC_C51_1_NO_OF_SETS">#REF!</definedName>
    <definedName name="SAP.F.C.PEC_CALCUL_PROJECT_START_DATE">#REF!</definedName>
    <definedName name="SAP.F.C.PEC_CC_CONFIGURATION">#REF!</definedName>
    <definedName name="SAP.F.C.PEC_COMMERCIAL_OPERATION_DATE">#REF!</definedName>
    <definedName name="SAP.F.C.PEC_EQUIP_IMPL_SCOPE_ECON">#REF!</definedName>
    <definedName name="SAP.F.C.PEC_FUEL_TYPE">#REF!</definedName>
    <definedName name="SAP.F.C.PEC_GAS_TURBINE">#REF!</definedName>
    <definedName name="SAP.F.C.PEC_LINE_ITEM_LIST_EXT">#REF!</definedName>
    <definedName name="SAP.F.C.PEC_MOBILE_COMP_CLEAN_UNIT_C51">#REF!</definedName>
    <definedName name="SAP.F.C.PEC_MODULE">#REF!</definedName>
    <definedName name="SAP.F.C.PEC_NUMBER_OF_GAS_TURBINES">#REF!</definedName>
    <definedName name="SAP.F.C.PEC_NUMBER_OF_STACKS">#REF!</definedName>
    <definedName name="SAP.F.C.PEC_NUMBER_OF_UNITS">#REF!</definedName>
    <definedName name="SAP.F.C.PEC_PLANT_CONFIGURATION">#REF!</definedName>
    <definedName name="SAP.F.C.PEC_PROJECT_CODE_ID">#REF!</definedName>
    <definedName name="SAP.F.C.PEC_PROJECT_DURATION">#REF!</definedName>
    <definedName name="SAP.F.C.PEC_PROJECT_NAME">#REF!</definedName>
    <definedName name="SAP.F.C.PEC_SPECIAL_GT_STACK_HEIGHT">#REF!</definedName>
    <definedName name="SAP.F.C.PEC_SPECIAL_INCR_BYPASS_STACK">#REF!</definedName>
    <definedName name="SAP.F.C.PEC_T_IMPLEMENTATION_SCOPE">#REF!</definedName>
    <definedName name="SAP.F.C.PROPOSE_REVISION">#REF!</definedName>
    <definedName name="SAP.F.C.PROPOSE_SCOPE_TXT">#REF!</definedName>
    <definedName name="SAP.F.C.PROPOSE_VARNAME">#REF!</definedName>
    <definedName name="SAP.F.I.PEC_EQUIP_IMPL_SCOPE_ECON">#REF!</definedName>
    <definedName name="SAP.F.I.PEC_MODULE">#REF!</definedName>
    <definedName name="SAP.F.I.PEC_STANDARD_VGP_OPTIONS">#REF!</definedName>
    <definedName name="SAP.F.I.PEC_T_IMPLEMENTATION_SCOPE">#REF!</definedName>
    <definedName name="SAP.T.PEC_BOQ_DESCRIPTION.001">#REF!</definedName>
    <definedName name="SAP.T.PEC_BOQ_NUMBER.001">#REF!</definedName>
    <definedName name="SAP.T.PEC_BOQ_QUANTITY.001">#REF!</definedName>
    <definedName name="SAP.T.PEC_BOQ_UNIT.001">#REF!</definedName>
    <definedName name="SAP.T.PEC_CNS_NAME.001">#REF!</definedName>
    <definedName name="SAP.T.PEC_CNS_NUMBER.001">#REF!</definedName>
    <definedName name="SAP.T.PEC_DETAILED_DESCR_SCOPE_TYPE.001">#REF!</definedName>
    <definedName name="SAP.T.PEC_DIMENSIONAL_DESCRIPTION.001">#REF!</definedName>
    <definedName name="SAP.T.PEC_DIMENSIONS_BOQ_H_MM.001">#REF!</definedName>
    <definedName name="SAP.T.PEC_DIMENSIONS_BOQ_L_MM.001">#REF!</definedName>
    <definedName name="SAP.T.PEC_DIMENSIONS_BOQ_W_MM.001">#REF!</definedName>
    <definedName name="SAP.T.PEC_EXT_SPEC_OPTION_NAME.001">#REF!</definedName>
    <definedName name="SAP.T.PEC_GROUPING_NUMBER.001">#REF!</definedName>
    <definedName name="SAP.T.PEC_IN_BOQ_LIST.001">#REF!</definedName>
    <definedName name="SAP.T.PEC_KKS1.001">#REF!</definedName>
    <definedName name="SAP.T.PEC_LINE_ITEM_DESCRIP.001">#REF!</definedName>
    <definedName name="SAP.T.PEC_LINE_ITEM_DESCRIP_CONTINU.001">#REF!</definedName>
    <definedName name="SAP.T.PEC_LINE_ITEM_NUMBER.001">#REF!</definedName>
    <definedName name="SAP.T.PEC_MATERIAL.001">#REF!</definedName>
    <definedName name="SAP.T.PEC_QUANTITY_ALGORITHM.001">#REF!</definedName>
    <definedName name="SAP.T.PEC_REFERENCE_DESCRIP_NUMBER.001">#REF!</definedName>
    <definedName name="SAP.T.PEC_SPEC_ASSIGNMENT.001">#REF!</definedName>
    <definedName name="SAP.T.PEC_WEIGHT_KG.001">#REF!</definedName>
    <definedName name="SAP.T.TABLEHEADER.001">#REF!</definedName>
    <definedName name="SAR">#REF!</definedName>
    <definedName name="SASASASSSSSS" hidden="1">{#N/A,#N/A,FALSE,"Project Cost Summary";#N/A,#N/A,FALSE,"Man Hour Summary"}</definedName>
    <definedName name="sasp">[28]DATA!$U$54</definedName>
    <definedName name="SASSASAS" hidden="1">{#N/A,#N/A,FALSE,"Project Cost Summary";#N/A,#N/A,FALSE,"Man Hour Summary"}</definedName>
    <definedName name="SAVEMENU">'[142]Filter Spec.'!#REF!</definedName>
    <definedName name="SC">#REF!</definedName>
    <definedName name="SCA6QQP">'[31]DATA-1'!$W$51</definedName>
    <definedName name="SCADA2">[28]DATA!$R$50</definedName>
    <definedName name="SCADA2P">[28]DATA!$U$50</definedName>
    <definedName name="SCADA6">[28]DATA!$R$51</definedName>
    <definedName name="SCADA6P">[28]DATA!$U$51</definedName>
    <definedName name="SCADAP">[28]DATA!#REF!</definedName>
    <definedName name="scaffolding">[191]!scaffolding</definedName>
    <definedName name="Scale">#REF!</definedName>
    <definedName name="Sch">'[192]ASME B 36.10 M'!$D$3:$W$4</definedName>
    <definedName name="sch401.25">#REF!</definedName>
    <definedName name="sch401.5">#REF!</definedName>
    <definedName name="sch402.5">#REF!</definedName>
    <definedName name="Scharer">'[28]MAIN MATERIAL DATABASE'!$AL$1:$AL$65536</definedName>
    <definedName name="Schedule_No.4__Installation_Services_and_Civil_Works">#REF!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3p">'[146]lam-moi'!#REF!</definedName>
    <definedName name="sdaad">#REF!</definedName>
    <definedName name="sdadsa">#REF!</definedName>
    <definedName name="SDCFG\" hidden="1">{#N/A,#N/A,FALSE,"운반시간"}</definedName>
    <definedName name="SDD" hidden="1">[22]FitOutConfCentre!#REF!</definedName>
    <definedName name="sddddddddddddddd" hidden="1">[22]FitOutConfCentre!#REF!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g" hidden="1">[68]Cash2!$J$16:$J$36</definedName>
    <definedName name="sdfgf" hidden="1">{"Datos",#N/A,TRUE,"Datos"}</definedName>
    <definedName name="sdfgs" hidden="1">{"Datos",#N/A,TRUE,"Datos"}</definedName>
    <definedName name="sdfh" hidden="1">{"MF-601",#N/A,TRUE,"MANT-EX-B(fJ)";"MF-602",#N/A,TRUE,"ELECTR-FJ(B)";"MF-603",#N/A,TRUE,"PERSONAL(FJ)B";"MF-604",#N/A,TRUE,"REACT-P(B)";"MF-605",#N/A,TRUE,"OTR-COS.FJ(B)";"MF-60X",#N/A,TRUE,"Resumen"}</definedName>
    <definedName name="sdg" hidden="1">{"MF-601",#N/A,TRUE,"MANT-EX-B(fJ)";"MF-602",#N/A,TRUE,"ELECTR-FJ(B)";"MF-603",#N/A,TRUE,"PERSONAL(FJ)B";"MF-604",#N/A,TRUE,"REACT-P(B)";"MF-6XX",#N/A,TRUE,"Resumen";"MF-605",#N/A,TRUE,"OTR-COS.FJ(B)"}</definedName>
    <definedName name="sdgda" hidden="1">{"Datos",#N/A,TRUE,"Datos"}</definedName>
    <definedName name="SDGDFG">#REF!</definedName>
    <definedName name="sdgh" hidden="1">{"Datos",#N/A,TRUE,"Datos"}</definedName>
    <definedName name="sdh">#REF!</definedName>
    <definedName name="SDHGDG">#REF!</definedName>
    <definedName name="sdhty" hidden="1">{"Datos",#N/A,TRUE,"Datos"}</definedName>
    <definedName name="SDMONG">#REF!</definedName>
    <definedName name="sdor">#REF!</definedName>
    <definedName name="SDS">#REF!</definedName>
    <definedName name="sdsd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dssdsd">#REF!</definedName>
    <definedName name="se" hidden="1">[22]FitOutConfCentre!#REF!</definedName>
    <definedName name="seaf">#REF!</definedName>
    <definedName name="Search_Key">[97]Add_Factors!$C$2:$L$29</definedName>
    <definedName name="Sec_Trench">OFFSET([72]Filtrado!$BA$4,0,0,COUNTA([72]Filtrado!$BA:$BA),1)</definedName>
    <definedName name="sek">#REF!</definedName>
    <definedName name="Semi_skilled">#REF!</definedName>
    <definedName name="SenarioNo">'[41]4A'!$C$29</definedName>
    <definedName name="sencount" hidden="1">2</definedName>
    <definedName name="Sentido_1">'[72]MV-Anillo'!$D$24:$K$28</definedName>
    <definedName name="Sentido_2">'[72]MV-Anillo'!$D$29:$K$33</definedName>
    <definedName name="SERVICE">[193]RESUMENES!#REF!</definedName>
    <definedName name="SET">#REF!</definedName>
    <definedName name="set_out">#REF!</definedName>
    <definedName name="SF">'[77]S1+S2+S3'!$K$144</definedName>
    <definedName name="sfa" hidden="1">{"Datos",#N/A,TRUE,"Datos"}</definedName>
    <definedName name="SFA0">#REF!</definedName>
    <definedName name="SFA0_1">#REF!</definedName>
    <definedName name="SFA0_2">#REF!</definedName>
    <definedName name="SFA10_1">#REF!</definedName>
    <definedName name="SFA10_2">#REF!</definedName>
    <definedName name="SFA20_1">#REF!</definedName>
    <definedName name="SFA20_2">#REF!</definedName>
    <definedName name="sfdvx">#REF!</definedName>
    <definedName name="sfg" hidden="1">{"Datos",#N/A,TRUE,"Datos"}</definedName>
    <definedName name="sfgsdfg" hidden="1">{"Datos",#N/A,TRUE,"Datos"}</definedName>
    <definedName name="sfhr" hidden="1">{"MF-601",#N/A,TRUE,"MANT-EX-B(fJ)";"MF-602",#N/A,TRUE,"ELECTR-FJ(B)";"MF-603",#N/A,TRUE,"PERSONAL(FJ)B";"MF-604",#N/A,TRUE,"REACT-P(B)";"MF-6XX",#N/A,TRUE,"Resumen";"MF-605",#N/A,TRUE,"OTR-COS.FJ(B)"}</definedName>
    <definedName name="sfjf" hidden="1">{"Datos",#N/A,TRUE,"Datos"}</definedName>
    <definedName name="sfjff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fr">#REF!</definedName>
    <definedName name="SFSAF">[66]AN!$H$6</definedName>
    <definedName name="sfsd">#REF!</definedName>
    <definedName name="sg" hidden="1">{"Datos",#N/A,TRUE,"Datos"}</definedName>
    <definedName name="sga">#REF!</definedName>
    <definedName name="sgdf" hidden="1">{"Datos",#N/A,TRUE,"Datos"}</definedName>
    <definedName name="sgfsdg" hidden="1">{"Datos",#N/A,TRUE,"Datos"}</definedName>
    <definedName name="sgh" hidden="1">{"Datos",#N/A,TRUE,"Datos"}</definedName>
    <definedName name="sghtd">#REF!</definedName>
    <definedName name="sgnc">[177]gtrinh!#REF!</definedName>
    <definedName name="sgsg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sgsgsgsg" hidden="1">{#N/A,#N/A,FALSE,"Project Cost Summary";#N/A,#N/A,FALSE,"Man Hour Summary"}</definedName>
    <definedName name="sgvl">[177]gtrinh!#REF!</definedName>
    <definedName name="SH_ENTH_1">#REF!</definedName>
    <definedName name="SH_ENTH_10">#REF!</definedName>
    <definedName name="SH_ENTH_11">#REF!</definedName>
    <definedName name="SH_ENTH_2">#REF!</definedName>
    <definedName name="SH_ENTH_3">#REF!</definedName>
    <definedName name="SH_ENTH_4">#REF!</definedName>
    <definedName name="SH_ENTH_5">#REF!</definedName>
    <definedName name="SH_ENTH_6">#REF!</definedName>
    <definedName name="SH_ENTH_7">#REF!</definedName>
    <definedName name="SH_ENTH_8">#REF!</definedName>
    <definedName name="SH_ENTH_9">#REF!</definedName>
    <definedName name="SH_MW_LIQ_1">#REF!</definedName>
    <definedName name="SH_MW_LIQ_10">#REF!</definedName>
    <definedName name="SH_MW_LIQ_11">#REF!</definedName>
    <definedName name="SH_MW_LIQ_2">#REF!</definedName>
    <definedName name="SH_MW_LIQ_3">#REF!</definedName>
    <definedName name="SH_MW_LIQ_4">#REF!</definedName>
    <definedName name="SH_MW_LIQ_5">#REF!</definedName>
    <definedName name="SH_MW_LIQ_6">#REF!</definedName>
    <definedName name="SH_MW_LIQ_7">#REF!</definedName>
    <definedName name="SH_MW_LIQ_8">#REF!</definedName>
    <definedName name="SH_MW_LIQ_9">#REF!</definedName>
    <definedName name="SH_MW_VAP_1">#REF!</definedName>
    <definedName name="SH_MW_VAP_10">#REF!</definedName>
    <definedName name="SH_MW_VAP_11">#REF!</definedName>
    <definedName name="SH_MW_VAP_2">#REF!</definedName>
    <definedName name="SH_MW_VAP_3">#REF!</definedName>
    <definedName name="SH_MW_VAP_4">#REF!</definedName>
    <definedName name="SH_MW_VAP_5">#REF!</definedName>
    <definedName name="SH_MW_VAP_6">#REF!</definedName>
    <definedName name="SH_MW_VAP_7">#REF!</definedName>
    <definedName name="SH_MW_VAP_8">#REF!</definedName>
    <definedName name="SH_MW_VAP_9">#REF!</definedName>
    <definedName name="SH_TEMP_1">#REF!</definedName>
    <definedName name="SH_TEMP_10">#REF!</definedName>
    <definedName name="SH_TEMP_11">#REF!</definedName>
    <definedName name="SH_TEMP_2">#REF!</definedName>
    <definedName name="SH_TEMP_3">#REF!</definedName>
    <definedName name="SH_TEMP_4">#REF!</definedName>
    <definedName name="SH_TEMP_5">#REF!</definedName>
    <definedName name="SH_TEMP_6">#REF!</definedName>
    <definedName name="SH_TEMP_7">#REF!</definedName>
    <definedName name="SH_TEMP_8">#REF!</definedName>
    <definedName name="SH_TEMP_9">#REF!</definedName>
    <definedName name="SH_WFRAC_1">#REF!</definedName>
    <definedName name="SH_WFRAC_10">#REF!</definedName>
    <definedName name="SH_WFRAC_11">#REF!</definedName>
    <definedName name="SH_WFRAC_2">#REF!</definedName>
    <definedName name="SH_WFRAC_3">#REF!</definedName>
    <definedName name="SH_WFRAC_4">#REF!</definedName>
    <definedName name="SH_WFRAC_5">#REF!</definedName>
    <definedName name="SH_WFRAC_6">#REF!</definedName>
    <definedName name="SH_WFRAC_7">#REF!</definedName>
    <definedName name="SH_WFRAC_8">#REF!</definedName>
    <definedName name="SH_WFRAC_9">#REF!</definedName>
    <definedName name="sh5hyg" hidden="1">{"Datos",#N/A,TRUE,"Datos"}</definedName>
    <definedName name="shar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HEET">#REF!</definedName>
    <definedName name="SheetOrder">#REF!</definedName>
    <definedName name="SHELTER" hidden="1">{#N/A,#N/A,TRUE,"Basic";#N/A,#N/A,TRUE,"EXT-TABLE";#N/A,#N/A,TRUE,"STEEL";#N/A,#N/A,TRUE,"INT-Table";#N/A,#N/A,TRUE,"STEEL";#N/A,#N/A,TRUE,"Door"}</definedName>
    <definedName name="SHIP">#REF!</definedName>
    <definedName name="shproc">#REF!</definedName>
    <definedName name="shst">#REF!</definedName>
    <definedName name="sht">'[154]THPDMoi  (2)'!#REF!</definedName>
    <definedName name="sht3p">'[146]lam-moi'!#REF!</definedName>
    <definedName name="shth" hidden="1">{"Datos",#N/A,TRUE,"Datos"}</definedName>
    <definedName name="shvr">#REF!</definedName>
    <definedName name="SI_CODE">#REF!</definedName>
    <definedName name="SIGN">#REF!</definedName>
    <definedName name="signature">#REF!</definedName>
    <definedName name="Single">'[31]DATA-1'!#REF!</definedName>
    <definedName name="SITEMAN">[45]Sheet1!$H$369</definedName>
    <definedName name="Skill">#REF!</definedName>
    <definedName name="Skilled">#REF!</definedName>
    <definedName name="SKR">#REF!</definedName>
    <definedName name="Sl">#REF!</definedName>
    <definedName name="SL_CODE">#REF!</definedName>
    <definedName name="SL_CRD">#REF!</definedName>
    <definedName name="SL_CRS">#REF!</definedName>
    <definedName name="SL_CS">#REF!</definedName>
    <definedName name="SL_DD">#REF!</definedName>
    <definedName name="slab">#REF!</definedName>
    <definedName name="SMLTOOLS">#REF!</definedName>
    <definedName name="SN">[102]VAR!$D$3:$D$27</definedName>
    <definedName name="soc3p">#REF!</definedName>
    <definedName name="Soil_Ba_Unitprice">#REF!</definedName>
    <definedName name="Soil_Ba_Unitprice_h">#REF!</definedName>
    <definedName name="Soil_Ba_Unitprice_u">#REF!</definedName>
    <definedName name="Soil_dis_unitprice">#REF!</definedName>
    <definedName name="Soil_dis_unitprice_h">#REF!</definedName>
    <definedName name="Soil_dis_unitprice_u">#REF!</definedName>
    <definedName name="solver_adj" hidden="1">#N/A</definedName>
    <definedName name="solver_lhs1" hidden="1">#N/A</definedName>
    <definedName name="solver_lhs16" hidden="1">#REF!</definedName>
    <definedName name="solver_lhs2" hidden="1">#N/A</definedName>
    <definedName name="solver_lhs3" hidden="1">#N/A</definedName>
    <definedName name="solver_lhs4" hidden="1">#N/A</definedName>
    <definedName name="solver_lhs5" hidden="1">#N/A</definedName>
    <definedName name="solver_lhs6" hidden="1">#N/A</definedName>
    <definedName name="solver_lhs7" hidden="1">#N/A</definedName>
    <definedName name="solver_lhs8" hidden="1">#N/A</definedName>
    <definedName name="solver_lhs9" hidden="1">#N/A</definedName>
    <definedName name="solver_lin" hidden="1">0</definedName>
    <definedName name="solver_num" hidden="1">9</definedName>
    <definedName name="solver_opt" hidden="1">#N/A</definedName>
    <definedName name="solver_rel1" hidden="1">3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3</definedName>
    <definedName name="solver_rel16" hidden="1">3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el7" hidden="1">3</definedName>
    <definedName name="solver_rel8" hidden="1">3</definedName>
    <definedName name="solver_rel9" hidden="1">3</definedName>
    <definedName name="solver_rhs1" hidden="1">0</definedName>
    <definedName name="solver_rhs10" hidden="1">0</definedName>
    <definedName name="solver_rhs11" hidden="1">0</definedName>
    <definedName name="solver_rhs12" hidden="1">0</definedName>
    <definedName name="solver_rhs13" hidden="1">0</definedName>
    <definedName name="solver_rhs14" hidden="1">0</definedName>
    <definedName name="solver_rhs15" hidden="1">0</definedName>
    <definedName name="solver_rhs16" hidden="1">0</definedName>
    <definedName name="solver_rhs2" hidden="1">0</definedName>
    <definedName name="solver_rhs3" hidden="1">0</definedName>
    <definedName name="solver_rhs4" hidden="1">0</definedName>
    <definedName name="solver_rhs5" hidden="1">0</definedName>
    <definedName name="solver_rhs6" hidden="1">0</definedName>
    <definedName name="solver_rhs7" hidden="1">0</definedName>
    <definedName name="solver_rhs8" hidden="1">0</definedName>
    <definedName name="solver_rhs9" hidden="1">0</definedName>
    <definedName name="solver_typ" hidden="1">2</definedName>
    <definedName name="solver_val" hidden="1">0</definedName>
    <definedName name="sort">#REF!</definedName>
    <definedName name="Sort_View_Execution">#REF!</definedName>
    <definedName name="Sort_View_Tendering">#REF!</definedName>
    <definedName name="SPA">#REF!</definedName>
    <definedName name="Spare">#REF!</definedName>
    <definedName name="SpareIO">#REF!</definedName>
    <definedName name="SPC">#REF!</definedName>
    <definedName name="SPEC_1">'[111]BLR 1'!$L$1:$L$65536</definedName>
    <definedName name="SPEC_10">[111]GEN!$K$1:$K$65536</definedName>
    <definedName name="SPEC_11">[111]GAS!$K$1:$K$65536</definedName>
    <definedName name="SPEC_12">[111]DEAE!$L$1:$L$65536</definedName>
    <definedName name="SPEC_2">[111]BLR2!$L$1:$L$65536</definedName>
    <definedName name="SPEC_3">[111]BLR3!$L$1:$L$65536</definedName>
    <definedName name="SPEC_4">[111]BLR4!$L$1:$L$65536</definedName>
    <definedName name="SPEC_5">[111]BLR5!$L$1:$L$65536</definedName>
    <definedName name="SPEC_6">[111]DEM!$K$1:$K$65536</definedName>
    <definedName name="SPEC_7">[111]SAM!$K$1:$K$65536</definedName>
    <definedName name="SPEC_8">[111]CHEM!$K$1:$K$65536</definedName>
    <definedName name="SPEC_9">[111]COP!$K$1:$K$65536</definedName>
    <definedName name="spec_no">#REF!</definedName>
    <definedName name="SPEC12">'[194]DB_ET200(R. A)'!$S$1:$S$65536</definedName>
    <definedName name="SPEC2">#REF!</definedName>
    <definedName name="SpecialPrice" hidden="1">#REF!</definedName>
    <definedName name="SPECIFICA">#REF!</definedName>
    <definedName name="spk1p">#REF!</definedName>
    <definedName name="spk3p">'[146]lam-moi'!#REF!</definedName>
    <definedName name="SPP">#REF!</definedName>
    <definedName name="sproc">#REF!</definedName>
    <definedName name="SQC">#REF!</definedName>
    <definedName name="SR">#REF!</definedName>
    <definedName name="sr_mh">#REF!</definedName>
    <definedName name="SRC">#REF!</definedName>
    <definedName name="SRSSET" hidden="1">{#N/A,#N/A,FALSE,"Matrix";#N/A,#N/A,FALSE,"Executive";#N/A,#N/A,FALSE,"Summary"}</definedName>
    <definedName name="srtywry">#REF!</definedName>
    <definedName name="SS">#REF!</definedName>
    <definedName name="ssa">#N/A</definedName>
    <definedName name="SSASAS" hidden="1">{#N/A,#N/A,FALSE,"Project Cost Summary";#N/A,#N/A,FALSE,"Man Hour Summary"}</definedName>
    <definedName name="SSBIN">#REF!</definedName>
    <definedName name="sss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sssssssssssssssssssssssssssss">#REF!</definedName>
    <definedName name="SSST_LABEL">#REF!</definedName>
    <definedName name="SSV">#REF!</definedName>
    <definedName name="St">#REF!</definedName>
    <definedName name="ST_Cable">#REF!</definedName>
    <definedName name="ST_CLen">#REF!</definedName>
    <definedName name="ST_IO">#REF!</definedName>
    <definedName name="st3p">'[146]lam-moi'!#REF!</definedName>
    <definedName name="STACK">"'4150"</definedName>
    <definedName name="StampPag1">#REF!</definedName>
    <definedName name="StampPag2">#REF!</definedName>
    <definedName name="start">#REF!</definedName>
    <definedName name="StartDate">39248</definedName>
    <definedName name="StartTime">#REF!</definedName>
    <definedName name="Statistics">'[195]EIs Progress'!#REF!</definedName>
    <definedName name="Statt">'[195]EIs Progress'!#REF!</definedName>
    <definedName name="Status">'[189]PROJECT BRIEF'!#REF!</definedName>
    <definedName name="stax">#REF!</definedName>
    <definedName name="steam_trap">#REF!</definedName>
    <definedName name="StmSys01DesPres">#REF!</definedName>
    <definedName name="StmSys01DesPres_U">#REF!</definedName>
    <definedName name="StmSys01DesTemp">#REF!</definedName>
    <definedName name="StmSys01DesTemp_U">#REF!</definedName>
    <definedName name="StmSys01ID">#REF!</definedName>
    <definedName name="StmSys01IncrVal">#REF!</definedName>
    <definedName name="StmSys01MaxPres">#REF!</definedName>
    <definedName name="StmSys01MaxPres_U">#REF!</definedName>
    <definedName name="StmSys01MaxTemp">#REF!</definedName>
    <definedName name="StmSys01MaxTemp_U">#REF!</definedName>
    <definedName name="StmSys01MinPres">#REF!</definedName>
    <definedName name="StmSys01MinPres_U">#REF!</definedName>
    <definedName name="StmSys01MinTemp">#REF!</definedName>
    <definedName name="StmSys01MinTemp_U">#REF!</definedName>
    <definedName name="StmSys01NormPres">#REF!</definedName>
    <definedName name="StmSys01NormPres_U">#REF!</definedName>
    <definedName name="StmSys01NormTemp">#REF!</definedName>
    <definedName name="StmSys01NormTemp_U">#REF!</definedName>
    <definedName name="StmSys02DesPres">#REF!</definedName>
    <definedName name="StmSys02DesPres_U">#REF!</definedName>
    <definedName name="StmSys02DesTemp">#REF!</definedName>
    <definedName name="StmSys02DesTemp_U">#REF!</definedName>
    <definedName name="StmSys02ID">#REF!</definedName>
    <definedName name="StmSys02IncrVal">#REF!</definedName>
    <definedName name="StmSys02MaxPres">#REF!</definedName>
    <definedName name="StmSys02MaxPres_U">#REF!</definedName>
    <definedName name="StmSys02MaxTemp">#REF!</definedName>
    <definedName name="StmSys02MaxTemp_U">#REF!</definedName>
    <definedName name="StmSys02MinPres">#REF!</definedName>
    <definedName name="StmSys02MinPres_U">#REF!</definedName>
    <definedName name="StmSys02MinTemp">#REF!</definedName>
    <definedName name="StmSys02MinTemp_U">#REF!</definedName>
    <definedName name="StmSys02NormPres">#REF!</definedName>
    <definedName name="StmSys02NormPres_U">#REF!</definedName>
    <definedName name="StmSys02NormTemp">#REF!</definedName>
    <definedName name="StmSys02NormTemp_U">#REF!</definedName>
    <definedName name="StmSys03DesPres">#REF!</definedName>
    <definedName name="StmSys03DesPres_U">#REF!</definedName>
    <definedName name="StmSys03DesTemp">#REF!</definedName>
    <definedName name="StmSys03DesTemp_U">#REF!</definedName>
    <definedName name="StmSys03ID">#REF!</definedName>
    <definedName name="StmSys03IncrVal">#REF!</definedName>
    <definedName name="StmSys03MaxPres">#REF!</definedName>
    <definedName name="StmSys03MaxPres_U">#REF!</definedName>
    <definedName name="StmSys03MaxTemp">#REF!</definedName>
    <definedName name="StmSys03MaxTemp_U">#REF!</definedName>
    <definedName name="StmSys03MinPres">#REF!</definedName>
    <definedName name="StmSys03MinPres_U">#REF!</definedName>
    <definedName name="StmSys03MinTemp">#REF!</definedName>
    <definedName name="StmSys03MinTemp_U">#REF!</definedName>
    <definedName name="StmSys03NormPres">#REF!</definedName>
    <definedName name="StmSys03NormPres_U">#REF!</definedName>
    <definedName name="StmSys03NormTemp">#REF!</definedName>
    <definedName name="StmSys03NormTemp_U">#REF!</definedName>
    <definedName name="StmSys04DesPres">#REF!</definedName>
    <definedName name="StmSys04DesPres_U">#REF!</definedName>
    <definedName name="StmSys04DesTemp">#REF!</definedName>
    <definedName name="StmSys04DesTemp_U">#REF!</definedName>
    <definedName name="StmSys04ID">#REF!</definedName>
    <definedName name="StmSys04IncrVal">#REF!</definedName>
    <definedName name="StmSys04MaxPres">#REF!</definedName>
    <definedName name="StmSys04MaxPres_U">#REF!</definedName>
    <definedName name="StmSys04MaxTemp">#REF!</definedName>
    <definedName name="StmSys04MaxTemp_U">#REF!</definedName>
    <definedName name="StmSys04MinPres">#REF!</definedName>
    <definedName name="StmSys04MinPres_U">#REF!</definedName>
    <definedName name="StmSys04MinTemp">#REF!</definedName>
    <definedName name="StmSys04Mintemp_U">#REF!</definedName>
    <definedName name="StmSys04NormPres">#REF!</definedName>
    <definedName name="StmSys04NormPres_U">#REF!</definedName>
    <definedName name="StmSys04NormTemp">#REF!</definedName>
    <definedName name="StmSys04NormTemp_U">#REF!</definedName>
    <definedName name="StmSys05DesPres">#REF!</definedName>
    <definedName name="StmSys05DesPres_U">#REF!</definedName>
    <definedName name="StmSys05DesTemp">#REF!</definedName>
    <definedName name="StmSys05DesTemp_U">#REF!</definedName>
    <definedName name="StmSys05ID">#REF!</definedName>
    <definedName name="StmSys05IncrVal">#REF!</definedName>
    <definedName name="StmSys05MaxPres">#REF!</definedName>
    <definedName name="StmSys05MaxPres_U">#REF!</definedName>
    <definedName name="StmSys05MaxTemp">#REF!</definedName>
    <definedName name="StmSys05MaxTemp_U">#REF!</definedName>
    <definedName name="StmSys05MinPres">#REF!</definedName>
    <definedName name="StmSys05MinPres_U">#REF!</definedName>
    <definedName name="StmSys05MinTemp">#REF!</definedName>
    <definedName name="StmSys05MinTemp_U">#REF!</definedName>
    <definedName name="StmSys05NormPres">#REF!</definedName>
    <definedName name="StmSys05NormPres_U">#REF!</definedName>
    <definedName name="StmSys05NormTemp">#REF!</definedName>
    <definedName name="StmSys05NormTemp_U">#REF!</definedName>
    <definedName name="StmSys06DesPres">#REF!</definedName>
    <definedName name="StmSys06DesPres_U">#REF!</definedName>
    <definedName name="StmSys06DesTemp">#REF!</definedName>
    <definedName name="StmSys06DesTemp_U">#REF!</definedName>
    <definedName name="StmSys06ID">#REF!</definedName>
    <definedName name="StmSys06IncrVal">#REF!</definedName>
    <definedName name="StmSys06MaxPres">#REF!</definedName>
    <definedName name="StmSys06MaxPres_U">#REF!</definedName>
    <definedName name="StmSys06MaxTemp">#REF!</definedName>
    <definedName name="StmSys06MaxTemp_U">#REF!</definedName>
    <definedName name="StmSys06MinPres">#REF!</definedName>
    <definedName name="StmSys06MinPres_U">#REF!</definedName>
    <definedName name="StmSys06MinTemp">#REF!</definedName>
    <definedName name="StmSys06MinTemp_U">#REF!</definedName>
    <definedName name="StmSys06NormPres">#REF!</definedName>
    <definedName name="StmSys06NormPres_U">#REF!</definedName>
    <definedName name="StmSys06NormTemp">#REF!</definedName>
    <definedName name="StmSys06NormTemp_U">#REF!</definedName>
    <definedName name="Story_Basement">#REF!</definedName>
    <definedName name="Story_Podium">#REF!</definedName>
    <definedName name="Story_Total">'[90]Project Brief'!$E$35</definedName>
    <definedName name="Story_Tower">#REF!</definedName>
    <definedName name="stp">#REF!</definedName>
    <definedName name="str">#REF!</definedName>
    <definedName name="stray" hidden="1">{"Datos",#N/A,TRUE,"Datos"}</definedName>
    <definedName name="stresse">[93]References!$C$35:$S$46</definedName>
    <definedName name="stresses">[93]References!$C$53:$S$64</definedName>
    <definedName name="STRM_TSI">#REF!</definedName>
    <definedName name="STRM_TSO">#REF!</definedName>
    <definedName name="Struct_Type">'[90]Project Brief'!$E$36</definedName>
    <definedName name="STRUCTURE">#REF!</definedName>
    <definedName name="STRUCTURES">[130]SHEETS!$B$26:$B$37</definedName>
    <definedName name="Stud_bolt__alloy_steel_ASTM_A193_B7__with_two_hexagon_heavy_nuts_ASTM_A194_2H.">#REF!</definedName>
    <definedName name="stump">#REF!</definedName>
    <definedName name="stytryu" hidden="1">{"MF-601",#N/A,TRUE,"MANT-EX-B(fJ)";"MF-602",#N/A,TRUE,"ELECTR-FJ(B)";"MF-603",#N/A,TRUE,"PERSONAL(FJ)B";"MF-604",#N/A,TRUE,"REACT-P(B)";"MF-6XX",#N/A,TRUE,"Resumen";"MF-605",#N/A,TRUE,"OTR-COS.FJ(B)"}</definedName>
    <definedName name="Su">#REF!</definedName>
    <definedName name="SUB_FC">#REF!</definedName>
    <definedName name="SUB_LC">#REF!</definedName>
    <definedName name="Subc_rates">[97]Subc.rates!$C$1:$H$1400</definedName>
    <definedName name="Subcontractors">[97]Subc.rates!$K$1:$K$1400</definedName>
    <definedName name="subjectname">#REF!</definedName>
    <definedName name="Submission_date">#REF!</definedName>
    <definedName name="Submit">[196]Summary!#REF!</definedName>
    <definedName name="subto">[197]Compressors!#REF!</definedName>
    <definedName name="SUBTOTAL">#REF!</definedName>
    <definedName name="SUM">#REF!</definedName>
    <definedName name="SUMA">#REF!</definedName>
    <definedName name="SUMINISTRO">#REF!</definedName>
    <definedName name="Summary">#REF!</definedName>
    <definedName name="Summary_Dubai_Area">#REF!</definedName>
    <definedName name="Summary_Kuwait_Area">#REF!</definedName>
    <definedName name="SUPPLY">#REF!</definedName>
    <definedName name="Supply_CIF">#REF!</definedName>
    <definedName name="SUPPLY1">#REF!</definedName>
    <definedName name="SURCHARGE">#REF!</definedName>
    <definedName name="SV">#REF!</definedName>
    <definedName name="SVH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45E">#REF!</definedName>
    <definedName name="SWBR_5021A">#REF!</definedName>
    <definedName name="SWBR_5021B">#REF!</definedName>
    <definedName name="SWBR_5021E">#REF!</definedName>
    <definedName name="SWBR_5031A">#REF!</definedName>
    <definedName name="SWBR_5031B">#REF!</definedName>
    <definedName name="SWBR_5031E">#REF!</definedName>
    <definedName name="SWMAN">[45]Sheet1!$H$368</definedName>
    <definedName name="sxgsdf" hidden="1">{"Datos",#N/A,TRUE,"Datos"}</definedName>
    <definedName name="SYNCH">'[31]DATA-1'!$AG$68</definedName>
    <definedName name="Sys_Mult">[198]BOQ!#REF!</definedName>
    <definedName name="SysEng">#REF!</definedName>
    <definedName name="System">#REF!</definedName>
    <definedName name="T">#REF!</definedName>
    <definedName name="T_60">[78]DONNE!$B$10</definedName>
    <definedName name="t101p">#REF!</definedName>
    <definedName name="t103p">#REF!</definedName>
    <definedName name="t105mnc">'[146]thao-go'!#REF!</definedName>
    <definedName name="t10m">'[146]lam-moi'!#REF!</definedName>
    <definedName name="t10nc">'[146]lam-moi'!#REF!</definedName>
    <definedName name="t10nc1p">#REF!</definedName>
    <definedName name="t10ncm">'[146]lam-moi'!#REF!</definedName>
    <definedName name="t10vl">'[146]lam-moi'!#REF!</definedName>
    <definedName name="t10vl1p">#REF!</definedName>
    <definedName name="t121p">#REF!</definedName>
    <definedName name="t123p">#REF!</definedName>
    <definedName name="t12m">'[146]lam-moi'!#REF!</definedName>
    <definedName name="t12mnc">'[146]thao-go'!#REF!</definedName>
    <definedName name="t12nc">'[146]lam-moi'!#REF!</definedName>
    <definedName name="t12nc3p">'[178]CHITIET VL-NC'!$G$38</definedName>
    <definedName name="t12ncm">'[146]lam-moi'!#REF!</definedName>
    <definedName name="t12vl">'[146]lam-moi'!#REF!</definedName>
    <definedName name="t12vl3p">'[178]CHITIET VL-NC'!$G$34</definedName>
    <definedName name="t141p">#REF!</definedName>
    <definedName name="t143p">#REF!</definedName>
    <definedName name="t14m">'[146]lam-moi'!#REF!</definedName>
    <definedName name="t14mnc">'[146]thao-go'!#REF!</definedName>
    <definedName name="t14nc">'[146]lam-moi'!#REF!</definedName>
    <definedName name="t14nc3p">#REF!</definedName>
    <definedName name="t14ncm">'[146]lam-moi'!#REF!</definedName>
    <definedName name="T14vc">'[162]CHITIET VL-NC-TT -1p'!#REF!</definedName>
    <definedName name="t14vl">'[146]lam-moi'!#REF!</definedName>
    <definedName name="t14vl3p">#REF!</definedName>
    <definedName name="T203P">[199]VC!#REF!</definedName>
    <definedName name="t20m">'[146]lam-moi'!#REF!</definedName>
    <definedName name="t20ncm">'[146]lam-moi'!#REF!</definedName>
    <definedName name="T220LC">[28]DATA!$W$21</definedName>
    <definedName name="T220PP">[28]DATA!$Y$21</definedName>
    <definedName name="T220RC">[28]DATA!$U$21</definedName>
    <definedName name="T61_0">'[31]DATA-1'!#REF!</definedName>
    <definedName name="T61_1">'[31]DATA-1'!#REF!</definedName>
    <definedName name="T62_0">'[31]DATA-1'!#REF!</definedName>
    <definedName name="T62_1">'[31]DATA-1'!#REF!</definedName>
    <definedName name="t7m">'[154]THPDMoi  (2)'!#REF!</definedName>
    <definedName name="t7nc">'[146]lam-moi'!#REF!</definedName>
    <definedName name="t7vl">'[146]lam-moi'!#REF!</definedName>
    <definedName name="t84mnc">'[146]thao-go'!#REF!</definedName>
    <definedName name="t8m">'[154]THPDMoi  (2)'!#REF!</definedName>
    <definedName name="t8nc">'[146]lam-moi'!#REF!</definedName>
    <definedName name="t8vl">'[146]lam-moi'!#REF!</definedName>
    <definedName name="ta">#REF!</definedName>
    <definedName name="Tabcode">#REF!</definedName>
    <definedName name="Tabela">'[192]ASME B 36.10 M'!$D$3:$W$48</definedName>
    <definedName name="TABLA_DISC">#REF!</definedName>
    <definedName name="TABLA_GRUPO_PARTE">#REF!</definedName>
    <definedName name="TABLA_ITEM_TYPE">#REF!</definedName>
    <definedName name="TABLA_QTY_UNIT">#REF!</definedName>
    <definedName name="table">#REF!</definedName>
    <definedName name="Table_conv">#REF!</definedName>
    <definedName name="table_disci">#REF!</definedName>
    <definedName name="Table_repABC">#REF!</definedName>
    <definedName name="TABLE_SSI">#REF!</definedName>
    <definedName name="TABLE_SSO">#REF!</definedName>
    <definedName name="TABLE_TSI">#REF!</definedName>
    <definedName name="TABLE_TSO">#REF!</definedName>
    <definedName name="Table1">#REF!</definedName>
    <definedName name="table5">'[200]T&amp;B_BULK_TOTAL'!$L$7:$P$11</definedName>
    <definedName name="tabtemp">[93]References!$D$70:$S$71</definedName>
    <definedName name="tabtemp_c">[93]References!$C$129:$Q$130</definedName>
    <definedName name="tabtemp_h">[93]References!$C$77:$Q$78</definedName>
    <definedName name="tabtemp_p">[93]References!$C$103:$N$104</definedName>
    <definedName name="tam">#N/A</definedName>
    <definedName name="tand">#REF!</definedName>
    <definedName name="TandF">#REF!</definedName>
    <definedName name="TARGEWRT">#REF!</definedName>
    <definedName name="taux">#REF!</definedName>
    <definedName name="Taxes">#REF!</definedName>
    <definedName name="tb">#REF!</definedName>
    <definedName name="TB_MU">[46]TRANSDUCERS!#REF!</definedName>
    <definedName name="tbdd1p">'[146]lam-moi'!#REF!</definedName>
    <definedName name="tbdd3p">'[146]lam-moi'!#REF!</definedName>
    <definedName name="tbddsdl">'[146]lam-moi'!#REF!</definedName>
    <definedName name="TBE">#N/A</definedName>
    <definedName name="TBI">'[146]TH XL'!#REF!</definedName>
    <definedName name="tbl_ProdInfo" hidden="1">#REF!</definedName>
    <definedName name="tbtr">'[146]TH XL'!#REF!</definedName>
    <definedName name="tbtram">#REF!</definedName>
    <definedName name="TC">#REF!</definedName>
    <definedName name="TC_20">#REF!</definedName>
    <definedName name="TC_230">#REF!</definedName>
    <definedName name="TC_500">#REF!</definedName>
    <definedName name="TC_NHANH1">#REF!</definedName>
    <definedName name="TCOST">#REF!</definedName>
    <definedName name="TCOSTB">#REF!</definedName>
    <definedName name="tcxxnc">'[146]thao-go'!#REF!</definedName>
    <definedName name="td">#REF!</definedName>
    <definedName name="td10vl">#REF!</definedName>
    <definedName name="td12nc">#REF!</definedName>
    <definedName name="td1cnc">'[146]lam-moi'!#REF!</definedName>
    <definedName name="td1cvl">'[146]lam-moi'!#REF!</definedName>
    <definedName name="td1p">#REF!</definedName>
    <definedName name="TD1pnc">'[171]CHITIET VL-NC-TT -1p'!#REF!</definedName>
    <definedName name="TD1pvl">'[171]CHITIET VL-NC-TT -1p'!#REF!</definedName>
    <definedName name="td3p">#REF!</definedName>
    <definedName name="tdc84nc">'[146]thao-go'!#REF!</definedName>
    <definedName name="tdcnc">'[146]thao-go'!#REF!</definedName>
    <definedName name="tdgnc">'[146]lam-moi'!#REF!</definedName>
    <definedName name="tdgvl">'[146]lam-moi'!#REF!</definedName>
    <definedName name="tdhtnc">'[146]lam-moi'!#REF!</definedName>
    <definedName name="tdhtvl">'[146]lam-moi'!#REF!</definedName>
    <definedName name="tdnc">[177]gtrinh!#REF!</definedName>
    <definedName name="tdnc1p">#REF!</definedName>
    <definedName name="tdnc3p">'[178]CHITIET VL-NC'!$G$28</definedName>
    <definedName name="tdt1pnc">[177]gtrinh!#REF!</definedName>
    <definedName name="tdt1pvl">[177]gtrinh!#REF!</definedName>
    <definedName name="tdt2cnc">'[146]lam-moi'!#REF!</definedName>
    <definedName name="tdt2cvl">[201]CHITIET!#REF!</definedName>
    <definedName name="tdtr2cnc">#REF!</definedName>
    <definedName name="tdtr2cvl">#REF!</definedName>
    <definedName name="tdtrnc">[177]gtrinh!#REF!</definedName>
    <definedName name="tdtrvl">[177]gtrinh!#REF!</definedName>
    <definedName name="tdvl">[177]gtrinh!#REF!</definedName>
    <definedName name="tdvl1p">#REF!</definedName>
    <definedName name="tdvl3p">'[178]CHITIET VL-NC'!$G$23</definedName>
    <definedName name="TE">#REF!</definedName>
    <definedName name="Team1">#REF!</definedName>
    <definedName name="Team1Cost">#REF!</definedName>
    <definedName name="Team2">#REF!</definedName>
    <definedName name="Team2Cost">#REF!</definedName>
    <definedName name="Team3">#REF!</definedName>
    <definedName name="Team3Cost">#REF!</definedName>
    <definedName name="Team4">#REF!</definedName>
    <definedName name="Team4Cost">#REF!</definedName>
    <definedName name="Team5">#REF!</definedName>
    <definedName name="Team5Cost">#REF!</definedName>
    <definedName name="Team6">#REF!</definedName>
    <definedName name="Team6Cost">#REF!</definedName>
    <definedName name="Team7">#REF!</definedName>
    <definedName name="Team7Cost">#REF!</definedName>
    <definedName name="teerte">'[56]C-18'!#REF!</definedName>
    <definedName name="tel">#REF!</definedName>
    <definedName name="Telenetics1">#REF!</definedName>
    <definedName name="Telenetics4">#REF!</definedName>
    <definedName name="tem">#REF!</definedName>
    <definedName name="temp">#REF!</definedName>
    <definedName name="temp_strainer">#REF!</definedName>
    <definedName name="temptom">[202]電計工数内訳!#REF!</definedName>
    <definedName name="temptom1">#REF!</definedName>
    <definedName name="temptom2">[202]電計工数内訳!#REF!</definedName>
    <definedName name="temptom3">#REF!</definedName>
    <definedName name="TerminalGainLossTypes">#REF!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">IF(SAP.F.C.PEC_NUMBER_OF_GAS_TURBINES&gt;0,SAP.F.C.PEC_NUMBER_OF_GAS_TURBINES,1)</definedName>
    <definedName name="TEST0">#REF!</definedName>
    <definedName name="test2">PPType&amp;"!"</definedName>
    <definedName name="test3">INDIRECT(test2&amp;"rngBF")</definedName>
    <definedName name="test4">INDIRECT(test2&amp;"rngCNS")</definedName>
    <definedName name="TESTHKEY">#REF!</definedName>
    <definedName name="TESTKEYS">#REF!</definedName>
    <definedName name="TESTVKEY">#REF!</definedName>
    <definedName name="TETA">#REF!</definedName>
    <definedName name="TEWT">#REF!</definedName>
    <definedName name="TFOUNDATIONS">#REF!</definedName>
    <definedName name="tg">#REF!</definedName>
    <definedName name="tgfd" hidden="1">[22]FitOutConfCentre!#REF!</definedName>
    <definedName name="tgre">#REF!</definedName>
    <definedName name="th">#REF!</definedName>
    <definedName name="th3x15">[203]giathanh1!#REF!</definedName>
    <definedName name="ThanhXuan110">'[204]KH-Q1,Q2,01'!#REF!</definedName>
    <definedName name="THGO1pnc">#REF!</definedName>
    <definedName name="THH">#REF!</definedName>
    <definedName name="thht">#REF!</definedName>
    <definedName name="THK">#REF!</definedName>
    <definedName name="THKP160">'[51]dongia (2)'!#REF!</definedName>
    <definedName name="thkp3">#REF!</definedName>
    <definedName name="thtr15">[205]giathanh1!#REF!</definedName>
    <definedName name="thtt">#REF!</definedName>
    <definedName name="tidf" hidden="1">{"'Sheet1'!$L$16"}</definedName>
    <definedName name="Tiepdia">[40]Tiepdia!$A$1:$IV$65536</definedName>
    <definedName name="TIERRA">[131]SHEETS!$B$43:$B$46</definedName>
    <definedName name="TIERRAS">[130]SHEETS!$B$43:$B$46</definedName>
    <definedName name="TIMONE2">#REF!</definedName>
    <definedName name="TIMONE3">#REF!</definedName>
    <definedName name="TIMONE4">#REF!</definedName>
    <definedName name="TIndirecto">#REF!</definedName>
    <definedName name="tipici_Fg5_Elenca">#REF!</definedName>
    <definedName name="tipici_Fg5_Elenca1">#REF!</definedName>
    <definedName name="Tipo_Aislamiento">#REF!</definedName>
    <definedName name="Tipo_para_recuento">#REF!</definedName>
    <definedName name="tit" hidden="1">{#N/A,#N/A,FALSE,"Ejector 1";#N/A,#N/A,FALSE,"Ejector 2"}</definedName>
    <definedName name="TITLE">#REF!</definedName>
    <definedName name="TITLE1">#REF!</definedName>
    <definedName name="TITLE2">#REF!</definedName>
    <definedName name="TITLE設計">#REF!</definedName>
    <definedName name="TK">#REF!</definedName>
    <definedName name="tktkt" hidden="1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M">#REF!</definedName>
    <definedName name="TMA">#REF!</definedName>
    <definedName name="TME">#REF!</definedName>
    <definedName name="TMO">#REF!</definedName>
    <definedName name="TMOS">#REF!</definedName>
    <definedName name="tmptom">#REF!</definedName>
    <definedName name="TMT">#REF!</definedName>
    <definedName name="tn1pinnc">'[146]thao-go'!#REF!</definedName>
    <definedName name="tn2mhnnc">'[146]thao-go'!#REF!</definedName>
    <definedName name="TNCM">'[206]CHITIET VL-NC-TT-3p'!#REF!</definedName>
    <definedName name="tnhnnc">'[146]thao-go'!#REF!</definedName>
    <definedName name="tnignc">'[146]thao-go'!#REF!</definedName>
    <definedName name="tnin190nc">'[146]thao-go'!#REF!</definedName>
    <definedName name="tnlnc">'[146]thao-go'!#REF!</definedName>
    <definedName name="tnnnc">'[146]thao-go'!#REF!</definedName>
    <definedName name="TOD">#REF!</definedName>
    <definedName name="top">#REF!</definedName>
    <definedName name="Topsoil">#REF!</definedName>
    <definedName name="toptable">#REF!</definedName>
    <definedName name="Toquepala" hidden="1">{#N/A,#N/A,FALSE,"Matrix";#N/A,#N/A,FALSE,"Executive";#N/A,#N/A,FALSE,"Summary"}</definedName>
    <definedName name="TOT">#REF!</definedName>
    <definedName name="Tot.Cost_SiteExp">#REF!</definedName>
    <definedName name="Tot.Cost_TempWk">#REF!</definedName>
    <definedName name="TOT_P3">#REF!</definedName>
    <definedName name="TOT_P5">#REF!</definedName>
    <definedName name="TOT6BBP">[28]DATA!#REF!</definedName>
    <definedName name="tot6lc">'[31]DATA-1'!$W$29</definedName>
    <definedName name="TOT6MET">[28]DATA!#REF!</definedName>
    <definedName name="TOT6METP">[28]DATA!#REF!</definedName>
    <definedName name="tot6pp">'[31]DATA-1'!$Y$29</definedName>
    <definedName name="tot6rc">'[31]DATA-1'!$U$29</definedName>
    <definedName name="TOT6SCADA">[28]DATA!#REF!</definedName>
    <definedName name="TOT6SCADAP">[28]DATA!#REF!</definedName>
    <definedName name="Tota_SC">[207]boq!$AE$2111</definedName>
    <definedName name="Tota_Selling">[207]boq!$L$2111</definedName>
    <definedName name="TOTAL">#REF!</definedName>
    <definedName name="Total_Cost">#REF!</definedName>
    <definedName name="TOTAL_EM">#REF!</definedName>
    <definedName name="Total_Eqpt">[198]BOQ!#REF!</definedName>
    <definedName name="Total_External">#REF!</definedName>
    <definedName name="Total_Floor_Area">'[90]Project Brief'!$E$34</definedName>
    <definedName name="Total_Internal">[198]BOQ!#REF!</definedName>
    <definedName name="Total_Mat">#REF!</definedName>
    <definedName name="Total_MH">#REF!</definedName>
    <definedName name="Total_SC">#REF!</definedName>
    <definedName name="Total_Selling">#REF!</definedName>
    <definedName name="Total_Spl._Eqpt">[198]BOQ!#REF!</definedName>
    <definedName name="Total_SplEqpt">[198]BOQ!#REF!</definedName>
    <definedName name="TOTAL_TYPES">[45]Sheet1!$B$7</definedName>
    <definedName name="total1">#REF!</definedName>
    <definedName name="total2">#REF!</definedName>
    <definedName name="total3">#REF!</definedName>
    <definedName name="TOTALa">#REF!</definedName>
    <definedName name="TOTALCDN">#REF!</definedName>
    <definedName name="totale">#REF!</definedName>
    <definedName name="TotalequipmentkW">'[127]6,000'!#REF!</definedName>
    <definedName name="TOTALLOCAL">#REF!</definedName>
    <definedName name="TOTALSUBCONT.MHR">#REF!</definedName>
    <definedName name="TOTCB">#REF!</definedName>
    <definedName name="TOTF">#REF!</definedName>
    <definedName name="TOTSS">[28]DATA!$R$2</definedName>
    <definedName name="TOTSSP">[28]DATA!$U$2</definedName>
    <definedName name="TOTUDK4">'[28]Aux MATERIAL DATABASE'!$X$136</definedName>
    <definedName name="TOTUK10">'[28]Aux MATERIAL DATABASE'!$X$134</definedName>
    <definedName name="TOTUK5">'[28]Aux MATERIAL DATABASE'!$X$133</definedName>
    <definedName name="TOTUKK">'[28]Aux MATERIAL DATABASE'!$X$137</definedName>
    <definedName name="TOTURTK">'[28]Aux MATERIAL DATABASE'!$X$135</definedName>
    <definedName name="TOTUSK">'[28]Aux MATERIAL DATABASE'!$X$138</definedName>
    <definedName name="Towers" hidden="1">{"Customer with Site Equipment",#N/A,FALSE,"BASIC"}</definedName>
    <definedName name="TP">#REF!</definedName>
    <definedName name="TP_14kV">#REF!</definedName>
    <definedName name="TP_230">#REF!</definedName>
    <definedName name="TP_500">#REF!</definedName>
    <definedName name="TPM기본">#REF!</definedName>
    <definedName name="TPM심화">#REF!</definedName>
    <definedName name="tproc">#REF!</definedName>
    <definedName name="tr" hidden="1">{"Datos",#N/A,TRUE,"Datos"}</definedName>
    <definedName name="TR_0">'[31]DATA-1'!#REF!</definedName>
    <definedName name="TR_Q0_0">'[31]DATA-1'!#REF!</definedName>
    <definedName name="TR_Q8">'[31]DATA-1'!#REF!</definedName>
    <definedName name="TR_Q8_0">'[31]DATA-1'!#REF!</definedName>
    <definedName name="TR_Q8_1">'[31]DATA-1'!#REF!</definedName>
    <definedName name="TR_Q81_0">'[31]DATA-1'!#REF!</definedName>
    <definedName name="TR_Q81_1">'[31]DATA-1'!#REF!</definedName>
    <definedName name="TR_Q9">'[31]DATA-1'!#REF!</definedName>
    <definedName name="TR_Q9_0">'[31]DATA-1'!#REF!</definedName>
    <definedName name="TR_Q9_1">'[31]DATA-1'!#REF!</definedName>
    <definedName name="TR_Q9_Q8">'[31]DATA-1'!#REF!</definedName>
    <definedName name="TR15HT">'[138]TONGKE-HT'!#REF!</definedName>
    <definedName name="TR16HT">'[138]TONGKE-HT'!#REF!</definedName>
    <definedName name="TR19HT">'[138]TONGKE-HT'!#REF!</definedName>
    <definedName name="tr1x15">[203]giathanh1!#REF!</definedName>
    <definedName name="TR20HT">'[138]TONGKE-HT'!#REF!</definedName>
    <definedName name="tr3x100">'[50]dongia (2)'!#REF!</definedName>
    <definedName name="tra">#REF!</definedName>
    <definedName name="trac">#REF!</definedName>
    <definedName name="TrackingMethodTypes">#REF!</definedName>
    <definedName name="TRAFO2">[28]DATA!$R$21</definedName>
    <definedName name="TRAFO5">[28]DATA!$R$13</definedName>
    <definedName name="TRAFO6">[28]DATA!$R$31</definedName>
    <definedName name="TRAFO6LC">[28]DATA!$W$31</definedName>
    <definedName name="TRAFO6P">[28]DATA!#REF!</definedName>
    <definedName name="TRAFO6PP">[28]DATA!$Y$31</definedName>
    <definedName name="TRAFO6R">[28]DATA!#REF!</definedName>
    <definedName name="TRAFO6RC">[28]DATA!$U$31</definedName>
    <definedName name="tram100">'[50]dongia (2)'!#REF!</definedName>
    <definedName name="tram1x25">'[170]dongia (2)'!#REF!</definedName>
    <definedName name="transfo_aux">#REF!</definedName>
    <definedName name="trbgf">#REF!</definedName>
    <definedName name="tread">#REF!</definedName>
    <definedName name="Trees">#REF!</definedName>
    <definedName name="TrenchDC">OFFSET([72]Filtrado!$W$4,0,0,COUNTA([72]Filtrado!$W:$W),1)</definedName>
    <definedName name="TRF">#REF!</definedName>
    <definedName name="trhgaef">#REF!</definedName>
    <definedName name="trhgf" hidden="1">{"Datos",#N/A,TRUE,"Datos"}</definedName>
    <definedName name="trhgfnh" hidden="1">{"Datos",#N/A,TRUE,"Datos"}</definedName>
    <definedName name="TRI">'[99]GM 000'!$I$1</definedName>
    <definedName name="trr" hidden="1">{"Customer with Site Equipment",#N/A,FALSE,"BASIC"}</definedName>
    <definedName name="trsh" hidden="1">{"Datos",#N/A,TRUE,"Datos"}</definedName>
    <definedName name="trtg" hidden="1">{"MF-601",#N/A,TRUE,"MANT-EX-B(fJ)";"MF-602",#N/A,TRUE,"ELECTR-FJ(B)";"MF-603",#N/A,TRUE,"PERSONAL(FJ)B";"MF-604",#N/A,TRUE,"REACT-P(B)";"MF-6XX",#N/A,TRUE,"Resumen";"MF-605",#N/A,TRUE,"OTR-COS.FJ(B)"}</definedName>
    <definedName name="trtyy" hidden="1">{"MF-601",#N/A,TRUE,"MANT-EX-B(fJ)";"MF-602",#N/A,TRUE,"ELECTR-FJ(B)";"MF-603",#N/A,TRUE,"PERSONAL(FJ)B";"MF-604",#N/A,TRUE,"REACT-P(B)";"MF-6XX",#N/A,TRUE,"Resumen";"MF-605",#N/A,TRUE,"OTR-COS.FJ(B)"}</definedName>
    <definedName name="tru10mtc">'[161]t-h HA THE'!#REF!</definedName>
    <definedName name="tru8mtc">'[161]t-h HA THE'!#REF!</definedName>
    <definedName name="try" hidden="1">{"Datos",#N/A,TRUE,"Datos"}</definedName>
    <definedName name="trygfd">#REF!</definedName>
    <definedName name="ts">#REF!</definedName>
    <definedName name="TS_TEMP_1">#REF!</definedName>
    <definedName name="TSC">#REF!</definedName>
    <definedName name="TSELL">#REF!</definedName>
    <definedName name="tsrgbrfdas">#REF!</definedName>
    <definedName name="TT" hidden="1">#REF!</definedName>
    <definedName name="TT_1P">#REF!</definedName>
    <definedName name="TT_3p">#REF!</definedName>
    <definedName name="tt1pnc">'[146]lam-moi'!#REF!</definedName>
    <definedName name="tt1pvl">'[146]lam-moi'!#REF!</definedName>
    <definedName name="tt3pnc">'[146]lam-moi'!#REF!</definedName>
    <definedName name="tt3pvl">'[146]lam-moi'!#REF!</definedName>
    <definedName name="tta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TTDD">[173]TDTKP!$E$44+[173]TDTKP!$F$44+[173]TDTKP!$G$44</definedName>
    <definedName name="TTDD3P">[162]TDTKP1!#REF!</definedName>
    <definedName name="TTDDCT3p">[171]TDTKP1!#REF!</definedName>
    <definedName name="TTK3p">'[173]TONGKE3p '!$C$295</definedName>
    <definedName name="TTL">#REF!</definedName>
    <definedName name="ttronmk">#REF!</definedName>
    <definedName name="ttt" hidden="1">{"'장비'!$A$3:$M$12"}</definedName>
    <definedName name="tttt" hidden="1">[22]FitOutConfCentre!#REF!</definedName>
    <definedName name="TUBE_ENTH_1">#REF!</definedName>
    <definedName name="TUBE_ENTH_10">#REF!</definedName>
    <definedName name="TUBE_ENTH_11">#REF!</definedName>
    <definedName name="TUBE_ENTH_2">#REF!</definedName>
    <definedName name="TUBE_ENTH_3">#REF!</definedName>
    <definedName name="TUBE_ENTH_4">#REF!</definedName>
    <definedName name="TUBE_ENTH_5">#REF!</definedName>
    <definedName name="TUBE_ENTH_6">#REF!</definedName>
    <definedName name="TUBE_ENTH_7">#REF!</definedName>
    <definedName name="TUBE_ENTH_8">#REF!</definedName>
    <definedName name="TUBE_ENTH_9">#REF!</definedName>
    <definedName name="TUBE_MW_LIQ_1">#REF!</definedName>
    <definedName name="TUBE_MW_LIQ_10">#REF!</definedName>
    <definedName name="TUBE_MW_LIQ_11">#REF!</definedName>
    <definedName name="TUBE_MW_LIQ_2">#REF!</definedName>
    <definedName name="TUBE_MW_LIQ_3">#REF!</definedName>
    <definedName name="TUBE_MW_LIQ_4">#REF!</definedName>
    <definedName name="TUBE_MW_LIQ_5">#REF!</definedName>
    <definedName name="TUBE_MW_LIQ_6">#REF!</definedName>
    <definedName name="TUBE_MW_LIQ_7">#REF!</definedName>
    <definedName name="TUBE_MW_LIQ_8">#REF!</definedName>
    <definedName name="TUBE_MW_LIQ_9">#REF!</definedName>
    <definedName name="TUBE_MW_VAP_1">#REF!</definedName>
    <definedName name="TUBE_MW_VAP_10">#REF!</definedName>
    <definedName name="TUBE_MW_VAP_11">#REF!</definedName>
    <definedName name="TUBE_MW_VAP_2">#REF!</definedName>
    <definedName name="TUBE_MW_VAP_3">#REF!</definedName>
    <definedName name="TUBE_MW_VAP_4">#REF!</definedName>
    <definedName name="TUBE_MW_VAP_5">#REF!</definedName>
    <definedName name="TUBE_MW_VAP_6">#REF!</definedName>
    <definedName name="TUBE_MW_VAP_7">#REF!</definedName>
    <definedName name="TUBE_MW_VAP_8">#REF!</definedName>
    <definedName name="TUBE_MW_VAP_9">#REF!</definedName>
    <definedName name="TUBE_TEMP_1">#REF!</definedName>
    <definedName name="TUBE_TEMP_10">#REF!</definedName>
    <definedName name="TUBE_TEMP_11">#REF!</definedName>
    <definedName name="TUBE_TEMP_2">#REF!</definedName>
    <definedName name="TUBE_TEMP_3">#REF!</definedName>
    <definedName name="TUBE_TEMP_4">#REF!</definedName>
    <definedName name="TUBE_TEMP_5">#REF!</definedName>
    <definedName name="TUBE_TEMP_6">#REF!</definedName>
    <definedName name="TUBE_TEMP_7">#REF!</definedName>
    <definedName name="TUBE_TEMP_8">#REF!</definedName>
    <definedName name="TUBE_TEMP_9">#REF!</definedName>
    <definedName name="tube_test_press1_12">#REF!</definedName>
    <definedName name="TUBE_WFRAC_1">#REF!</definedName>
    <definedName name="TUBE_WFRAC_10">#REF!</definedName>
    <definedName name="TUBE_WFRAC_11">#REF!</definedName>
    <definedName name="TUBE_WFRAC_2">#REF!</definedName>
    <definedName name="TUBE_WFRAC_3">#REF!</definedName>
    <definedName name="TUBE_WFRAC_4">#REF!</definedName>
    <definedName name="TUBE_WFRAC_5">#REF!</definedName>
    <definedName name="TUBE_WFRAC_6">#REF!</definedName>
    <definedName name="TUBE_WFRAC_7">#REF!</definedName>
    <definedName name="TUBE_WFRAC_8">#REF!</definedName>
    <definedName name="TUBE_WFRAC_9">#REF!</definedName>
    <definedName name="TubeMatl">[208]Tubing!#REF!</definedName>
    <definedName name="Turf">#REF!</definedName>
    <definedName name="tv75nc">#REF!</definedName>
    <definedName name="tv75vl">#REF!</definedName>
    <definedName name="TVA">#REF!</definedName>
    <definedName name="TW">#REF!</definedName>
    <definedName name="tx">#REF!</definedName>
    <definedName name="tx1pignc">'[146]thao-go'!#REF!</definedName>
    <definedName name="tx1pindnc">'[146]thao-go'!#REF!</definedName>
    <definedName name="tx1pingnc">'[146]thao-go'!#REF!</definedName>
    <definedName name="tx1pintnc">'[146]thao-go'!#REF!</definedName>
    <definedName name="tx1pitnc">'[146]thao-go'!#REF!</definedName>
    <definedName name="tx2mhnnc">'[146]thao-go'!#REF!</definedName>
    <definedName name="tx2mitnc">'[146]thao-go'!#REF!</definedName>
    <definedName name="txcomp">#REF!</definedName>
    <definedName name="txhnnc">'[146]thao-go'!#REF!</definedName>
    <definedName name="txig1nc">'[146]thao-go'!#REF!</definedName>
    <definedName name="txin190nc">'[146]thao-go'!#REF!</definedName>
    <definedName name="txind">#REF!</definedName>
    <definedName name="txinnc">'[146]thao-go'!#REF!</definedName>
    <definedName name="txit1nc">'[146]thao-go'!#REF!</definedName>
    <definedName name="ty" hidden="1">{#N/A,#N/A,TRUE,"Cover";#N/A,#N/A,TRUE,"Conts";#N/A,#N/A,TRUE,"VOS";#N/A,#N/A,TRUE,"Warrington";#N/A,#N/A,TRUE,"Widnes"}</definedName>
    <definedName name="tyjty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TYPE">#REF!</definedName>
    <definedName name="type_de_poste">#REF!</definedName>
    <definedName name="tytjj" hidden="1">{"Datos",#N/A,TRUE,"Datos"}</definedName>
    <definedName name="tytjy" hidden="1">{"MF-601",#N/A,TRUE,"MANT-EX-B(fJ)";"MF-602",#N/A,TRUE,"ELECTR-FJ(B)";"MF-603",#N/A,TRUE,"PERSONAL(FJ)B";"MF-604",#N/A,TRUE,"REACT-P(B)";"MF-6XX",#N/A,TRUE,"Resumen";"MF-605",#N/A,TRUE,"OTR-COS.FJ(B)"}</definedName>
    <definedName name="tyu" hidden="1">#REF!</definedName>
    <definedName name="Tyvalve">#REF!</definedName>
    <definedName name="U" hidden="1">{#N/A,#N/A,FALSE,"Ejector 1";#N/A,#N/A,FALSE,"Ejector 2"}</definedName>
    <definedName name="U_VMB1_Col">#REF!</definedName>
    <definedName name="u0">#REF!</definedName>
    <definedName name="UC_VMB3_P1">#REF!</definedName>
    <definedName name="Udor">#REF!</definedName>
    <definedName name="UDS_SHELF">#REF!</definedName>
    <definedName name="UDS202T">#REF!</definedName>
    <definedName name="uff">#REF!</definedName>
    <definedName name="ufx">#REF!</definedName>
    <definedName name="uhkvhj" hidden="1">{"MF-601",#N/A,TRUE,"MANT-EX-B(fJ)";"MF-602",#N/A,TRUE,"ELECTR-FJ(B)";"MF-603",#N/A,TRUE,"PERSONAL(FJ)B";"MF-604",#N/A,TRUE,"REACT-P(B)";"MF-6XX",#N/A,TRUE,"Resumen";"MF-605",#N/A,TRUE,"OTR-COS.FJ(B)"}</definedName>
    <definedName name="uilñioñ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uio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12">[47]Sheet2!#REF!</definedName>
    <definedName name="Unit13">[47]Sheet2!#REF!</definedName>
    <definedName name="unitario">'[128]OT 70346 Costo tarjetas '!$F$38</definedName>
    <definedName name="UNITCDN">#REF!</definedName>
    <definedName name="unite">[64]AN!$H$5</definedName>
    <definedName name="UNITLOCAL">#REF!</definedName>
    <definedName name="UnloadSteamType">#N/A</definedName>
    <definedName name="Unusual">[112]Page2!$AQ$60:$AQ$63</definedName>
    <definedName name="UP_1">#REF!</definedName>
    <definedName name="UP_2">#REF!</definedName>
    <definedName name="UP_3">#REF!</definedName>
    <definedName name="UP_total">#REF!</definedName>
    <definedName name="UpdateTechSpec">#N/A</definedName>
    <definedName name="UpdateTechSpec_1">#N/A</definedName>
    <definedName name="uplift">#REF!</definedName>
    <definedName name="UPS">#REF!</definedName>
    <definedName name="us_cdn_exch">'[209]Item 2 - PC Details'!#REF!</definedName>
    <definedName name="us_conv">#REF!</definedName>
    <definedName name="us_sell">#REF!</definedName>
    <definedName name="usd">#REF!</definedName>
    <definedName name="USD_Correction">#REF!</definedName>
    <definedName name="USD_FC_Rate">#REF!</definedName>
    <definedName name="USD_LC_Rate">#REF!</definedName>
    <definedName name="usdoller">#REF!</definedName>
    <definedName name="USDproEUR">'[73]Khalifa Parkf'!#REF!</definedName>
    <definedName name="usle">#REF!</definedName>
    <definedName name="uss">#REF!</definedName>
    <definedName name="usx">0.8</definedName>
    <definedName name="ut" hidden="1">{"'Sheet1'!$L$16"}</definedName>
    <definedName name="utedy">#REF!</definedName>
    <definedName name="Utilidades">#REF!</definedName>
    <definedName name="utm">#REF!</definedName>
    <definedName name="uttm">#REF!</definedName>
    <definedName name="uu" hidden="1">{"MF-601",#N/A,TRUE,"MANT-EX-B(fJ)";"MF-602",#N/A,TRUE,"ELECTR-FJ(B)";"MF-603",#N/A,TRUE,"PERSONAL(FJ)B";"MF-604",#N/A,TRUE,"REACT-P(B)";"MF-605",#N/A,TRUE,"OTR-COS.FJ(B)";"MF-60X",#N/A,TRUE,"Resumen"}</definedName>
    <definedName name="UUU" hidden="1">{#N/A,#N/A,FALSE,"CCTV"}</definedName>
    <definedName name="uv">#REF!</definedName>
    <definedName name="UW">'[31]DATA-1'!$AG$8</definedName>
    <definedName name="UW_0">'[31]DATA-1'!#REF!</definedName>
    <definedName name="UW_1">'[31]DATA-1'!#REF!</definedName>
    <definedName name="uyry" hidden="1">{"Datos",#N/A,TRUE,"Datos"}</definedName>
    <definedName name="v">#REF!</definedName>
    <definedName name="V.E금액1">#REF!</definedName>
    <definedName name="va">#REF!</definedName>
    <definedName name="val">#REF!</definedName>
    <definedName name="VAL_NETO">#REF!</definedName>
    <definedName name="VAL_TOTAL">#REF!</definedName>
    <definedName name="VAL_UNIT">#REF!</definedName>
    <definedName name="VALIDCURR">[210]Currencies!$A$1:$A$186</definedName>
    <definedName name="valo">#REF!</definedName>
    <definedName name="valor">#REF!</definedName>
    <definedName name="VALOR_UF">'[211]$total'!$I$1</definedName>
    <definedName name="VALOR_UNIT">#REF!</definedName>
    <definedName name="Value129">[47]Sheet2!#REF!</definedName>
    <definedName name="Value130">[47]Sheet2!#REF!</definedName>
    <definedName name="Value26">[47]Sheet2!#REF!</definedName>
    <definedName name="Value27">[47]Sheet2!#REF!</definedName>
    <definedName name="Value38">[47]Sheet2!#REF!</definedName>
    <definedName name="Value39">[47]Sheet2!#REF!</definedName>
    <definedName name="Value44">[47]Sheet2!#REF!</definedName>
    <definedName name="Value45">[47]Sheet2!#REF!</definedName>
    <definedName name="van">[212]CondPol!$F$69</definedName>
    <definedName name="vb">#REF!</definedName>
    <definedName name="VBM기본">#REF!</definedName>
    <definedName name="VBM전략">#REF!</definedName>
    <definedName name="vcat">[212]CondPol!$F$68</definedName>
    <definedName name="VCDD3p">'[171]KPVC-BD '!#REF!</definedName>
    <definedName name="VCHT">#REF!</definedName>
    <definedName name="VCTT">#REF!</definedName>
    <definedName name="VCVBT1">'[206]VCV-BE-TONG'!$G$11</definedName>
    <definedName name="VCVBT2">'[206]VCV-BE-TONG'!$G$17</definedName>
    <definedName name="vd3p">#REF!</definedName>
    <definedName name="vehic">#REF!</definedName>
    <definedName name="VENTA">#REF!</definedName>
    <definedName name="Version">#REF!</definedName>
    <definedName name="vf" hidden="1">{"'Sheet1'!$L$16"}</definedName>
    <definedName name="vffsfs" hidden="1">{#N/A,#N/A,TRUE,"Basic";#N/A,#N/A,TRUE,"EXT-TABLE";#N/A,#N/A,TRUE,"STEEL";#N/A,#N/A,TRUE,"INT-Table";#N/A,#N/A,TRUE,"STEEL";#N/A,#N/A,TRUE,"Door"}</definedName>
    <definedName name="Viales">OFFSET([72]Filtrado!$BG$4,0,0,COUNTA([72]Filtrado!$BG:$BG),1)</definedName>
    <definedName name="view">#REF!</definedName>
    <definedName name="view_1">#REF!</definedName>
    <definedName name="vinert">[212]CondPol!$F$70</definedName>
    <definedName name="vital5">'[116]Customize Your Invoice'!$E$15</definedName>
    <definedName name="vjhk" hidden="1">{"Datos",#N/A,TRUE,"Datos"}</definedName>
    <definedName name="VK_Faktor">#REF!</definedName>
    <definedName name="vl1p">#REF!</definedName>
    <definedName name="vl3p">#REF!</definedName>
    <definedName name="vldd">'[146]TH XL'!#REF!</definedName>
    <definedName name="vldn400">#REF!</definedName>
    <definedName name="vldn600">#REF!</definedName>
    <definedName name="VLHC">[172]TNHCHINH!$I$38</definedName>
    <definedName name="vltr">'[146]TH XL'!#REF!</definedName>
    <definedName name="vltram">#REF!</definedName>
    <definedName name="vm" hidden="1">{"MF-601",#N/A,TRUE,"MANT-EX-B(fJ)";"MF-602",#N/A,TRUE,"ELECTR-FJ(B)";"MF-603",#N/A,TRUE,"PERSONAL(FJ)B";"MF-604",#N/A,TRUE,"REACT-P(B)";"MF-6XX",#N/A,TRUE,"Resumen";"MF-605",#N/A,TRUE,"OTR-COS.FJ(B)"}</definedName>
    <definedName name="VMB_1">#REF!</definedName>
    <definedName name="VMEBIN">#REF!</definedName>
    <definedName name="vmemem">#REF!</definedName>
    <definedName name="vmenet">#REF!</definedName>
    <definedName name="vmenet2">[45]Sheet1!$A$177</definedName>
    <definedName name="vn" hidden="1">{"'Sheet1'!$L$16"}</definedName>
    <definedName name="vnvn" hidden="1">{"Datos",#N/A,TRUE,"Datos"}</definedName>
    <definedName name="vr3p">#REF!</definedName>
    <definedName name="vsdim0">#REF!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T">#REF!</definedName>
    <definedName name="VT_0">'[31]DATA-1'!#REF!</definedName>
    <definedName name="VT_1">'[31]DATA-1'!#REF!</definedName>
    <definedName name="VT_1_2_3">#REF!</definedName>
    <definedName name="vt1pbs">'[146]lam-moi'!#REF!</definedName>
    <definedName name="vtbs">'[146]lam-moi'!#REF!</definedName>
    <definedName name="vtot">[212]CondPol!$F$71</definedName>
    <definedName name="vv">#REF!</definedName>
    <definedName name="vvv">#REF!</definedName>
    <definedName name="VVXsv">[66]AN!$H$6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ZVZdvZ">[66]AN!$H$5</definedName>
    <definedName name="w">#REF!</definedName>
    <definedName name="W_0">'[31]DATA-1'!#REF!</definedName>
    <definedName name="W_1">'[31]DATA-1'!#REF!</definedName>
    <definedName name="W_10">'[109]D&amp;W'!$B$37</definedName>
    <definedName name="W_11">'[109]D&amp;W'!$B$38</definedName>
    <definedName name="W_2">'[109]D&amp;W'!$B$29</definedName>
    <definedName name="W_3">'[109]D&amp;W'!$B$30</definedName>
    <definedName name="W_4">'[109]D&amp;W'!$B$31</definedName>
    <definedName name="W_5">'[109]D&amp;W'!$B$32</definedName>
    <definedName name="W_6">'[109]D&amp;W'!$B$33</definedName>
    <definedName name="W_7">'[109]D&amp;W'!$B$34</definedName>
    <definedName name="W_8">'[109]D&amp;W'!$B$35</definedName>
    <definedName name="W_9">'[109]D&amp;W'!$B$36</definedName>
    <definedName name="W_F">'[31]DATA-1'!#REF!</definedName>
    <definedName name="w_rate">#REF!</definedName>
    <definedName name="W15_">#N/A</definedName>
    <definedName name="W3_">#N/A</definedName>
    <definedName name="W6_">#N/A</definedName>
    <definedName name="Wa">'[213]ADI Edison Termoelettrica'!#REF!</definedName>
    <definedName name="wage_scale7">[214]Rates!$B$10</definedName>
    <definedName name="wbom">#REF!</definedName>
    <definedName name="wbom2">#REF!</definedName>
    <definedName name="wbomf">#REF!</definedName>
    <definedName name="WD">#N/A</definedName>
    <definedName name="WDD10C">#REF!</definedName>
    <definedName name="WDD10CAI_16">#REF!</definedName>
    <definedName name="wdd10cai_8">#REF!</definedName>
    <definedName name="WDD10K">#REF!</definedName>
    <definedName name="WDD20A">#REF!</definedName>
    <definedName name="WDD20AHV2">#REF!</definedName>
    <definedName name="WDD20C">#REF!</definedName>
    <definedName name="WDD20CHV">#REF!</definedName>
    <definedName name="WDD20K">#REF!</definedName>
    <definedName name="WDD20KHV">#REF!</definedName>
    <definedName name="WDD20S">#REF!</definedName>
    <definedName name="WDD20SHV2">#REF!</definedName>
    <definedName name="WDMODWTJ">#REF!</definedName>
    <definedName name="WDUPC">#REF!</definedName>
    <definedName name="wdw">#REF!</definedName>
    <definedName name="WE" hidden="1">{#N/A,#N/A,FALSE,"CCTV"}</definedName>
    <definedName name="WEIGHT">#REF!</definedName>
    <definedName name="WEQWEWER" hidden="1">{#N/A,#N/A,FALSE,"Project Cost Summary";#N/A,#N/A,FALSE,"Man Hour Summary"}</definedName>
    <definedName name="wer" hidden="1">{#N/A,#N/A,FALSE,"Ejector 1";#N/A,#N/A,FALSE,"Ejector 2"}</definedName>
    <definedName name="wert" hidden="1">{#N/A,#N/A,FALSE,"Ejector 1";#N/A,#N/A,FALSE,"Ejector 2"}</definedName>
    <definedName name="werty" hidden="1">{#N/A,#N/A,FALSE,"Ejector 1";#N/A,#N/A,FALSE,"Ejector 2"}</definedName>
    <definedName name="wertyu" hidden="1">{#N/A,#N/A,FALSE,"Ejector 1";#N/A,#N/A,FALSE,"Ejector 2"}</definedName>
    <definedName name="wertyui" hidden="1">{#N/A,#N/A,FALSE,"Ejector 1";#N/A,#N/A,FALSE,"Ejector 2"}</definedName>
    <definedName name="wertyuio" hidden="1">{#N/A,#N/A,FALSE,"Ejector 1";#N/A,#N/A,FALSE,"Ejector 2"}</definedName>
    <definedName name="wertyuiop" hidden="1">{#N/A,#N/A,FALSE,"Ejector 1";#N/A,#N/A,FALSE,"Ejector 2"}</definedName>
    <definedName name="wertyuiopè" hidden="1">{#N/A,#N/A,FALSE,"Ejector 1";#N/A,#N/A,FALSE,"Ejector 2"}</definedName>
    <definedName name="wertyuiopèa" hidden="1">{#N/A,#N/A,FALSE,"Ejector 1";#N/A,#N/A,FALSE,"Ejector 2"}</definedName>
    <definedName name="wertyuiopèas" hidden="1">{#N/A,#N/A,FALSE,"Ejector 1";#N/A,#N/A,FALSE,"Ejector 2"}</definedName>
    <definedName name="wertyuiopèasd" hidden="1">{#N/A,#N/A,FALSE,"Ejector 1";#N/A,#N/A,FALSE,"Ejector 2"}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">[119]BOQ건축!#REF!</definedName>
    <definedName name="wetq4w" hidden="1">{"Datos",#N/A,TRUE,"Datos"}</definedName>
    <definedName name="wkarea">#REF!</definedName>
    <definedName name="wktable">#REF!</definedName>
    <definedName name="WNTANK">'[69]Sithe-PPL'!#REF!</definedName>
    <definedName name="WON">#REF!</definedName>
    <definedName name="WORKNO">#REF!</definedName>
    <definedName name="WORKSHOP" hidden="1">{#N/A,#N/A,TRUE,"Basic";#N/A,#N/A,TRUE,"EXT-TABLE";#N/A,#N/A,TRUE,"STEEL";#N/A,#N/A,TRUE,"INT-Table";#N/A,#N/A,TRUE,"STEEL";#N/A,#N/A,TRUE,"Door"}</definedName>
    <definedName name="WORKSHT2">#REF!</definedName>
    <definedName name="WORKSHT3">#REF!</definedName>
    <definedName name="wp">#REF!</definedName>
    <definedName name="WQ">'[56]COA-17'!#REF!</definedName>
    <definedName name="wqeq">#REF!</definedName>
    <definedName name="WQW">'[56]COA-17'!#REF!</definedName>
    <definedName name="wre1.5">#REF!</definedName>
    <definedName name="wre2.5">#REF!</definedName>
    <definedName name="WRITE" hidden="1">{#N/A,#N/A,FALSE,"CCTV"}</definedName>
    <definedName name="wrn.11_96._.Polifin." hidden="1">{#N/A,#N/A,FALSE,"Project Cost Summary";#N/A,#N/A,FALSE,"Man Hour Summary"}</definedName>
    <definedName name="wrn.2번." hidden="1">{#N/A,#N/A,FALSE,"2~8번"}</definedName>
    <definedName name="wrn.A." hidden="1">{#N/A,#N/A,FALSE,"Ejector 1";#N/A,#N/A,FALSE,"Ejector 2"}</definedName>
    <definedName name="wrn.Acc._.Balance." hidden="1">{#N/A,#N/A,FALSE,"Bal.Sht"}</definedName>
    <definedName name="wrn.ARA." hidden="1">{"ARA1",#N/A,FALSE,"ENG-ARA";"ARAhours",#N/A,FALSE,"ENG-ARA";"ARA$",#N/A,FALSE,"ENG-ARA"}</definedName>
    <definedName name="wrn.Bakun._.Tender._.Evaluation." hidden="1">{#N/A,#N/A,TRUE,"1 Comp";#N/A,#N/A,TRUE,"2 Comp";#N/A,#N/A,TRUE,"3 Comp";#N/A,#N/A,TRUE,"6 Q";#N/A,#N/A,TRUE,"6 Cost";#N/A,#N/A,TRUE,"6 Comp";#N/A,#N/A,TRUE,"7 Q";#N/A,#N/A,TRUE,"7 Cost";#N/A,#N/A,TRUE,"7 Comp";#N/A,#N/A,TRUE,"8 Q";#N/A,#N/A,TRUE,"8 Cost";#N/A,#N/A,TRUE,"8 Comp";#N/A,#N/A,TRUE,"9 Q";#N/A,#N/A,TRUE,"9 Cost";#N/A,#N/A,TRUE,"9 Comp";#N/A,#N/A,TRUE,"10 Comp";#N/A,#N/A,TRUE,"11 Q";#N/A,#N/A,TRUE,"11 Cost";#N/A,#N/A,TRUE,"11 Comp";#N/A,#N/A,TRUE,"12 Q";#N/A,#N/A,TRUE,"12 Cost";#N/A,#N/A,TRUE,"12 Comp";#N/A,#N/A,TRUE,"13 Q";#N/A,#N/A,TRUE,"13 Cost";#N/A,#N/A,TRUE,"13 Comp";#N/A,#N/A,TRUE,"14 Q";#N/A,#N/A,TRUE,"14 Cost";#N/A,#N/A,TRUE,"14 Comp";#N/A,#N/A,TRUE,"15 Comp";#N/A,#N/A,TRUE,"16 Comp";#N/A,#N/A,TRUE,"T Comp"}</definedName>
    <definedName name="wrn.balance._.sheert2." hidden="1">{#N/A,#N/A,FALSE,"Bal.Sht"}</definedName>
    <definedName name="wrn.Balance._.Sheet." hidden="1">{#N/A,#N/A,FALSE,"Bal.Sht"}</definedName>
    <definedName name="wrn.bechtel._.hours." hidden="1">{"bechtel1",#N/A,TRUE,"BECHTEL";"bechtelhours",#N/A,TRUE,"BECHTEL";"bechtel$",#N/A,TRUE,"BECHTEL"}</definedName>
    <definedName name="wrn.bh." hidden="1">{#N/A,#N/A,FALSE,"TELEFON"}</definedName>
    <definedName name="wrn.bh1." hidden="1">{#N/A,#N/A,FALSE,"TELEFON"}</definedName>
    <definedName name="wrn.BM." hidden="1">{#N/A,#N/A,FALSE,"CCTV"}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ndana." hidden="1">{#N/A,#N/A,FALSE,"VCR"}</definedName>
    <definedName name="wrn.chi._.tiÆt." hidden="1">{#N/A,#N/A,FALSE,"Chi tiÆt"}</definedName>
    <definedName name="wrn.Complete._.Spreadsheet." hidden="1">{"Complete Spreadsheet",#N/A,FALSE,"BASIC"}</definedName>
    <definedName name="wrn.Complete._.Spreadsheet.1" hidden="1">{"Complete Spreadsheet",#N/A,FALSE,"BASIC"}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ustomer._.with._.Site._.Equipment." hidden="1">{"Customer with Site Equipment",#N/A,FALSE,"BASIC"}</definedName>
    <definedName name="wrn.Customer._.with._.Site._.Pricing." hidden="1">{"Customer with Site Pricing",#N/A,FALSE,"BASIC"}</definedName>
    <definedName name="wrn.D_Price._.List." hidden="1">{"D_Price list",#N/A,FALSE,"Sheet1"}</definedName>
    <definedName name="wrn.damodar." hidden="1">{#N/A,#N/A,FALSE,"Sheet 2";#N/A,#N/A,FALSE,"Sheet 1"}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EDAR." hidden="1">{"Datos",#N/A,TRUE,"Datos"}</definedName>
    <definedName name="wrn.Equipment._.List." hidden="1">{"Equipment List",#N/A,FALSE,"BASIC"}</definedName>
    <definedName name="wrn.EXPLOTACION.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INCOME._.STATEMENT." hidden="1">{#N/A,#N/A,FALSE,"inctrnd99"}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F6." hidden="1">{"MF-601",#N/A,TRUE,"MANT-EX-B(fJ)";"MF-602",#N/A,TRUE,"ELECTR-FJ(B)";"MF-603",#N/A,TRUE,"PERSONAL(FJ)B";"MF-604",#N/A,TRUE,"REACT-P(B)";"MF-6XX",#N/A,TRUE,"Resumen";"MF-605",#N/A,TRUE,"OTR-COS.FJ(B)"}</definedName>
    <definedName name="wrn.MF60X." hidden="1">{"MF-601",#N/A,TRUE,"MANT-EX-B(fJ)";"MF-602",#N/A,TRUE,"ELECTR-FJ(B)";"MF-603",#N/A,TRUE,"PERSONAL(FJ)B";"MF-604",#N/A,TRUE,"REACT-P(B)";"MF-605",#N/A,TRUE,"OTR-COS.FJ(B)";"MF-60X",#N/A,TRUE,"Resumen"}</definedName>
    <definedName name="wrn.Nelson._.Summary." hidden="1">{#N/A,#N/A,FALSE,"subcontract"}</definedName>
    <definedName name="wrn.OCS._.REPORT." hidden="1">{#N/A,#N/A,FALSE,"Cover";#N/A,#N/A,FALSE,"Index";#N/A,#N/A,FALSE,"Spec";#N/A,#N/A,FALSE,"Breakdown";#N/A,#N/A,FALSE,"Cost Plan"}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CART." hidden="1">{#N/A,#N/A,FALSE,"MAQUINA"}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S_PRICE._.LIST." hidden="1">{"S_Price List",#N/A,FALSE,"Sheet1"}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ummary." hidden="1">{#N/A,#N/A,FALSE,"Matrix";#N/A,#N/A,FALSE,"Executive";#N/A,#N/A,FALSE,"Summary"}</definedName>
    <definedName name="wrn.Warrington._.Widnes._.QS._.Costs." hidden="1">{#N/A,#N/A,TRUE,"Cover";#N/A,#N/A,TRUE,"Conts";#N/A,#N/A,TRUE,"VOS";#N/A,#N/A,TRUE,"Warrington";#N/A,#N/A,TRUE,"Widnes"}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설계내역서." hidden="1">{#N/A,#N/A,FALSE,"설계내억서"}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wqt">#REF!</definedName>
    <definedName name="WSC_LABEL">#REF!</definedName>
    <definedName name="WT">[28]DATA!$R$71</definedName>
    <definedName name="WT_Q">[28]DATA!$U$71</definedName>
    <definedName name="WTD10A">#REF!</definedName>
    <definedName name="wtd10c">#REF!</definedName>
    <definedName name="wtd10c_16">#REF!</definedName>
    <definedName name="wtd10c_8">#REF!</definedName>
    <definedName name="WTD10K">#REF!</definedName>
    <definedName name="WTD10KI1">#REF!</definedName>
    <definedName name="WTD10KR">#REF!</definedName>
    <definedName name="WTD10S">#REF!</definedName>
    <definedName name="WTD20A">#REF!</definedName>
    <definedName name="WTD20AB">#REF!</definedName>
    <definedName name="WTD20AC1">#REF!</definedName>
    <definedName name="wtd20ac10">[45]Sheet1!$A$126</definedName>
    <definedName name="wtd20ac11">[45]Sheet1!$A$127</definedName>
    <definedName name="wtd20ac12">[45]Sheet1!$A$128</definedName>
    <definedName name="WTD20AC2">#REF!</definedName>
    <definedName name="WTD20AC3">#REF!</definedName>
    <definedName name="WTD20AC4">#REF!</definedName>
    <definedName name="WTD20AC5">#REF!</definedName>
    <definedName name="WTD20AC6">#REF!</definedName>
    <definedName name="WTD20AC7">#REF!</definedName>
    <definedName name="wtd20ac8">[45]Sheet1!$A$124</definedName>
    <definedName name="wtd20ac9">[45]Sheet1!$A$125</definedName>
    <definedName name="WTD20AD">#REF!</definedName>
    <definedName name="WTD20AX">#REF!</definedName>
    <definedName name="wtd20az">[45]Sheet1!$A$157</definedName>
    <definedName name="WTD20C">#REF!</definedName>
    <definedName name="wtd20c4z_110">[45]Sheet1!$A$163</definedName>
    <definedName name="wtd20c4z_48">[45]Sheet1!$A$162</definedName>
    <definedName name="wtd20c4z110">#REF!</definedName>
    <definedName name="wtd20c4z2_220">[45]Sheet1!$A$164</definedName>
    <definedName name="wtd20c4z48">#REF!</definedName>
    <definedName name="WTD20CB">#REF!</definedName>
    <definedName name="WTD20CD">#REF!</definedName>
    <definedName name="WTD20CDI_24">[45]Sheet1!$A$103</definedName>
    <definedName name="WTD20CDI_48">[45]Sheet1!$A$104</definedName>
    <definedName name="WTD20CX">#REF!</definedName>
    <definedName name="WTD20K">#REF!</definedName>
    <definedName name="wtd20k4z">[45]Sheet1!$A$161</definedName>
    <definedName name="WTD20KB">#REF!</definedName>
    <definedName name="WTD20KI1">#REF!</definedName>
    <definedName name="WTD20KI2">#REF!</definedName>
    <definedName name="WTD20KR">#REF!</definedName>
    <definedName name="WTD20KX">#REF!</definedName>
    <definedName name="WTD20M">#REF!</definedName>
    <definedName name="WTD20S">#REF!</definedName>
    <definedName name="WTD20SB">#REF!</definedName>
    <definedName name="WTD20SD">#REF!</definedName>
    <definedName name="WTD20SDI_24">[45]Sheet1!$A$90</definedName>
    <definedName name="WTD20SDI_48">[45]Sheet1!$A$91</definedName>
    <definedName name="WTD20SX">#REF!</definedName>
    <definedName name="wtd20sz_110">[45]Sheet1!$A$159</definedName>
    <definedName name="wtd20sz_48">[45]Sheet1!$A$158</definedName>
    <definedName name="wtd20sz110">#REF!</definedName>
    <definedName name="wtd20sz2_220">[45]Sheet1!$A$160</definedName>
    <definedName name="wtd20sz48">#REF!</definedName>
    <definedName name="WTJT">[45]Sheet1!$A$29</definedName>
    <definedName name="WTKI_OPC">[45]Sheet1!$A$98</definedName>
    <definedName name="WW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wer" hidden="1">{"S_Price List",#N/A,FALSE,"Sheet1"}</definedName>
    <definedName name="wwss" hidden="1">{"Datos",#N/A,TRUE,"Datos"}</definedName>
    <definedName name="WWW" hidden="1">{#N/A,#N/A,FALSE,"CCTV"}</definedName>
    <definedName name="www22b" hidden="1">{"Datos",#N/A,TRUE,"Datos"}</definedName>
    <definedName name="WWWW" hidden="1">{#N/A,#N/A,FALSE,"Ejector 1";#N/A,#N/A,FALSE,"Ejector 2"}</definedName>
    <definedName name="X">#REF!</definedName>
    <definedName name="X101_FB">'[31]DATA-1'!#REF!</definedName>
    <definedName name="X101_NK">'[31]DATA-1'!$AG$54</definedName>
    <definedName name="X101_NQ">'[31]DATA-1'!$AG$60</definedName>
    <definedName name="X111_FB">'[31]DATA-1'!#REF!</definedName>
    <definedName name="X111_NK">'[31]DATA-1'!$AG$55</definedName>
    <definedName name="X111_NQ">'[31]DATA-1'!$AG$61</definedName>
    <definedName name="x17dnc">[199]chitiet!#REF!</definedName>
    <definedName name="x17dvl">[199]chitiet!#REF!</definedName>
    <definedName name="x17knc">[199]chitiet!#REF!</definedName>
    <definedName name="x17kvl">[199]chitiet!#REF!</definedName>
    <definedName name="X1pFCOnc">'[162]CHITIET VL-NC-TT -1p'!#REF!</definedName>
    <definedName name="X1pFCOvc">'[162]CHITIET VL-NC-TT -1p'!#REF!</definedName>
    <definedName name="X1pFCOvl">'[162]CHITIET VL-NC-TT -1p'!#REF!</definedName>
    <definedName name="x1pignc">'[146]lam-moi'!#REF!</definedName>
    <definedName name="X1pIGvc">'[162]CHITIET VL-NC-TT -1p'!#REF!</definedName>
    <definedName name="x1pigvl">'[146]lam-moi'!#REF!</definedName>
    <definedName name="x1pind">#REF!</definedName>
    <definedName name="x1pindnc">'[146]lam-moi'!#REF!</definedName>
    <definedName name="x1pindvl">'[146]lam-moi'!#REF!</definedName>
    <definedName name="x1ping">#REF!</definedName>
    <definedName name="x1pingnc">'[146]lam-moi'!#REF!</definedName>
    <definedName name="x1pingvl">'[146]lam-moi'!#REF!</definedName>
    <definedName name="x1pint">#REF!</definedName>
    <definedName name="x1pintnc">'[146]lam-moi'!#REF!</definedName>
    <definedName name="X1pINTvc">'[162]CHITIET VL-NC-TT -1p'!#REF!</definedName>
    <definedName name="x1pintvl">'[146]lam-moi'!#REF!</definedName>
    <definedName name="x1pitnc">'[146]lam-moi'!#REF!</definedName>
    <definedName name="X1pITvc">'[162]CHITIET VL-NC-TT -1p'!#REF!</definedName>
    <definedName name="x1pitvl">'[146]lam-moi'!#REF!</definedName>
    <definedName name="x20knc">[199]chitiet!#REF!</definedName>
    <definedName name="x20kvl">[199]chitiet!#REF!</definedName>
    <definedName name="x22knc">[199]chitiet!#REF!</definedName>
    <definedName name="x22kvl">[199]chitiet!#REF!</definedName>
    <definedName name="x2mig1nc">'[146]lam-moi'!#REF!</definedName>
    <definedName name="x2mig1vl">'[146]lam-moi'!#REF!</definedName>
    <definedName name="x2min1nc">'[146]lam-moi'!#REF!</definedName>
    <definedName name="x2min1vl">'[146]lam-moi'!#REF!</definedName>
    <definedName name="x2mit1vl">'[146]lam-moi'!#REF!</definedName>
    <definedName name="x2mitnc">'[146]lam-moi'!#REF!</definedName>
    <definedName name="XBOM" hidden="1">#REF!</definedName>
    <definedName name="XCCT">0.5</definedName>
    <definedName name="xcgfn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vx" hidden="1">{"DATOS",#N/A,TRUE,"DATOS";"PRIMERA INSTALACION",#N/A,TRUE,"Primera Instalación";"PERSONAL",#N/A,TRUE,"Personal";"MANTENIMIENTO",#N/A,TRUE,"Mantenimiento";"ANALITICAS",#N/A,TRUE,"Analíticas";"AGUA",#N/A,TRUE,"Agua";"VARIOS",#N/A,TRUE,"Varios";"EQUIPOS ALTA",#N/A,TRUE,"EQUIPOS base ALTA";"EQUIPOS BAJA",#N/A,TRUE,"EQUIPOS base BAJA";"POTENCIA",#N/A,TRUE,"Potencia";"REACTIVOS",#N/A,TRUE,"Reactivos";"ELEMENTOS DE PROCESO",#N/A,TRUE,"Lámparas UV";"EVACUACION DE RESIDUOS",#N/A,TRUE,"Evacuacion";"ENERGIA",#N/A,TRUE,"Energia";"GASTOS",#N/A,TRUE,"GASTOS"}</definedName>
    <definedName name="xcvxvc" hidden="1">{"Datos",#N/A,TRUE,"Datos"}</definedName>
    <definedName name="xcxcv" hidden="1">{"MF-601",#N/A,TRUE,"MANT-EX-B(fJ)";"MF-602",#N/A,TRUE,"ELECTR-FJ(B)";"MF-603",#N/A,TRUE,"PERSONAL(FJ)B";"MF-604",#N/A,TRUE,"REACT-P(B)";"MF-6XX",#N/A,TRUE,"Resumen";"MF-605",#N/A,TRUE,"OTR-COS.FJ(B)"}</definedName>
    <definedName name="xdsnc">[177]gtrinh!#REF!</definedName>
    <definedName name="xdsvl">[177]gtrinh!#REF!</definedName>
    <definedName name="xdv">#REF!</definedName>
    <definedName name="XEE1見積">#N/A</definedName>
    <definedName name="xfco">#REF!</definedName>
    <definedName name="xfco3p">#REF!</definedName>
    <definedName name="xfconc">'[146]lam-moi'!#REF!</definedName>
    <definedName name="xfconc3p">'[178]CHITIET VL-NC'!$G$94</definedName>
    <definedName name="xfcotnc">#REF!</definedName>
    <definedName name="xfcotvl">#REF!</definedName>
    <definedName name="xfcovl">'[146]lam-moi'!#REF!</definedName>
    <definedName name="xfcovl3p">'[178]CHITIET VL-NC'!$G$90</definedName>
    <definedName name="xfnc">'[146]lam-moi'!#REF!</definedName>
    <definedName name="xft" hidden="1">#REF!</definedName>
    <definedName name="xfvl">'[146]lam-moi'!#REF!</definedName>
    <definedName name="xhhjh" hidden="1">{"Datos",#N/A,TRUE,"Datos"}</definedName>
    <definedName name="xhn">#REF!</definedName>
    <definedName name="xhnnc">'[146]lam-moi'!#REF!</definedName>
    <definedName name="xhnvl">'[146]lam-moi'!#REF!</definedName>
    <definedName name="xhtyfrth" hidden="1">{"Datos",#N/A,TRUE,"Datos"}</definedName>
    <definedName name="xig">#REF!</definedName>
    <definedName name="xig1">#REF!</definedName>
    <definedName name="xig1nc">'[146]lam-moi'!#REF!</definedName>
    <definedName name="xig1p">#REF!</definedName>
    <definedName name="xig1pnc">'[146]lam-moi'!#REF!</definedName>
    <definedName name="xig1pvl">'[146]lam-moi'!#REF!</definedName>
    <definedName name="xig1vl">'[146]lam-moi'!#REF!</definedName>
    <definedName name="xig2nc">'[146]lam-moi'!#REF!</definedName>
    <definedName name="xig2vl">'[146]lam-moi'!#REF!</definedName>
    <definedName name="xig3p">#REF!</definedName>
    <definedName name="xiggnc">'[178]CHITIET VL-NC'!$G$57</definedName>
    <definedName name="xiggvl">'[178]CHITIET VL-NC'!$G$53</definedName>
    <definedName name="xignc">'[146]lam-moi'!#REF!</definedName>
    <definedName name="xignc3p">#REF!</definedName>
    <definedName name="xigvl">'[146]lam-moi'!#REF!</definedName>
    <definedName name="xigvl3p">#REF!</definedName>
    <definedName name="xin">#REF!</definedName>
    <definedName name="xin190">#REF!</definedName>
    <definedName name="xin1903p">#REF!</definedName>
    <definedName name="xin190nc">'[146]lam-moi'!#REF!</definedName>
    <definedName name="xin190nc3p">'[178]CHITIET VL-NC'!$G$76</definedName>
    <definedName name="xin190vl">'[146]lam-moi'!#REF!</definedName>
    <definedName name="xin190vl3p">'[178]CHITIET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'[146]lam-moi'!#REF!</definedName>
    <definedName name="xin901vl">'[146]lam-moi'!#REF!</definedName>
    <definedName name="xind">#REF!</definedName>
    <definedName name="xind1p">#REF!</definedName>
    <definedName name="xind1pnc">'[146]lam-moi'!#REF!</definedName>
    <definedName name="xind1pvl">'[146]lam-moi'!#REF!</definedName>
    <definedName name="xind3p">#REF!</definedName>
    <definedName name="xindnc">'[146]lam-moi'!#REF!</definedName>
    <definedName name="xindnc1p">#REF!</definedName>
    <definedName name="xindnc3p">'[178]CHITIET VL-NC'!$G$85</definedName>
    <definedName name="xindvl">'[146]lam-moi'!#REF!</definedName>
    <definedName name="xindvl1p">#REF!</definedName>
    <definedName name="xindvl3p">'[178]CHITIET VL-NC'!$G$80</definedName>
    <definedName name="xing1p">#REF!</definedName>
    <definedName name="xing1pnc">'[146]lam-moi'!#REF!</definedName>
    <definedName name="xing1pvl">'[146]lam-moi'!#REF!</definedName>
    <definedName name="xingnc1p">#REF!</definedName>
    <definedName name="xingvl1p">#REF!</definedName>
    <definedName name="xinnc">'[146]lam-moi'!#REF!</definedName>
    <definedName name="xinnc3p">#REF!</definedName>
    <definedName name="xint1p">#REF!</definedName>
    <definedName name="xinvl">'[146]lam-moi'!#REF!</definedName>
    <definedName name="xinvl3p">#REF!</definedName>
    <definedName name="xit">#REF!</definedName>
    <definedName name="xit1">#REF!</definedName>
    <definedName name="xit1nc">'[146]lam-moi'!#REF!</definedName>
    <definedName name="xit1p">#REF!</definedName>
    <definedName name="xit1pnc">'[146]lam-moi'!#REF!</definedName>
    <definedName name="xit1pvl">'[146]lam-moi'!#REF!</definedName>
    <definedName name="xit1vl">'[146]lam-moi'!#REF!</definedName>
    <definedName name="xit2nc">'[146]lam-moi'!#REF!</definedName>
    <definedName name="xit2nc3p">#REF!</definedName>
    <definedName name="xit2vl">'[146]lam-moi'!#REF!</definedName>
    <definedName name="xit2vl3p">#REF!</definedName>
    <definedName name="xit3p">#REF!</definedName>
    <definedName name="xitnc">'[146]lam-moi'!#REF!</definedName>
    <definedName name="xitnc3p">#REF!</definedName>
    <definedName name="xittnc">'[178]CHITIET VL-NC'!$G$48</definedName>
    <definedName name="xittvl">'[178]CHITIET VL-NC'!$G$44</definedName>
    <definedName name="xitvl">'[146]lam-moi'!#REF!</definedName>
    <definedName name="xitvl3p">#REF!</definedName>
    <definedName name="xlpe10">#REF!</definedName>
    <definedName name="xlpe120">#REF!</definedName>
    <definedName name="xlpe150">#REF!</definedName>
    <definedName name="xlpe16">#REF!</definedName>
    <definedName name="xlpe185">#REF!</definedName>
    <definedName name="xlpe25">#REF!</definedName>
    <definedName name="xlpe35">#REF!</definedName>
    <definedName name="xlpe4">#REF!</definedName>
    <definedName name="xlpe50">#REF!</definedName>
    <definedName name="xlpe6">#REF!</definedName>
    <definedName name="xlpe70">#REF!</definedName>
    <definedName name="xlpe95">#REF!</definedName>
    <definedName name="xlpear10">#REF!</definedName>
    <definedName name="xlpear120">#REF!</definedName>
    <definedName name="xlpear150">#REF!</definedName>
    <definedName name="xlpear16">#REF!</definedName>
    <definedName name="xlpear185">#REF!</definedName>
    <definedName name="xlpear240">#REF!</definedName>
    <definedName name="xlpear25">#REF!</definedName>
    <definedName name="xlpear300">#REF!</definedName>
    <definedName name="xlpear35">#REF!</definedName>
    <definedName name="xlpear4">#REF!</definedName>
    <definedName name="xlpear50">#REF!</definedName>
    <definedName name="xlpear6">#REF!</definedName>
    <definedName name="xlpear70">#REF!</definedName>
    <definedName name="xlpear95">#REF!</definedName>
    <definedName name="xlpewre10">#REF!</definedName>
    <definedName name="xlpewre16">#REF!</definedName>
    <definedName name="xlpewre25">#REF!</definedName>
    <definedName name="xlpewre35">#REF!</definedName>
    <definedName name="xlpewre4">#REF!</definedName>
    <definedName name="xlpewre50">#REF!</definedName>
    <definedName name="xlpewre6">#REF!</definedName>
    <definedName name="xlpewre70">#REF!</definedName>
    <definedName name="xlpewre95">#REF!</definedName>
    <definedName name="xm">[180]gvl!$N$16</definedName>
    <definedName name="xp">#REF!</definedName>
    <definedName name="xr1nc">'[146]lam-moi'!#REF!</definedName>
    <definedName name="xr1vl">'[146]lam-moi'!#REF!</definedName>
    <definedName name="xs">#REF!</definedName>
    <definedName name="xtr3pnc">[177]gtrinh!#REF!</definedName>
    <definedName name="xtr3pvl">[177]gtrinh!#REF!</definedName>
    <definedName name="xv" hidden="1">{"Datos",#N/A,TRUE,"Datos"}</definedName>
    <definedName name="xvcxcv" hidden="1">{"Datos",#N/A,TRUE,"Datos"}</definedName>
    <definedName name="XX">[137]CAT_5!#REF!</definedName>
    <definedName name="XXX">#REF!</definedName>
    <definedName name="XXXX">#REF!</definedName>
    <definedName name="XXXXX">#REF!</definedName>
    <definedName name="xz">[66]AN!$H$4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0">'[31]DATA-1'!#REF!</definedName>
    <definedName name="Y_1">'[31]DATA-1'!#REF!</definedName>
    <definedName name="y_strainer">#REF!</definedName>
    <definedName name="Y0_P">'[31]DATA-1'!#REF!</definedName>
    <definedName name="ydp">#REF!</definedName>
    <definedName name="ye" hidden="1">{"Datos",#N/A,TRUE,"Datos"}</definedName>
    <definedName name="YEN">#REF!</definedName>
    <definedName name="YesNoTypes">#REF!</definedName>
    <definedName name="yeth" hidden="1">{"MF-601",#N/A,TRUE,"MANT-EX-B(fJ)";"MF-602",#N/A,TRUE,"ELECTR-FJ(B)";"MF-603",#N/A,TRUE,"PERSONAL(FJ)B";"MF-604",#N/A,TRUE,"REACT-P(B)";"MF-6XX",#N/A,TRUE,"Resumen";"MF-605",#N/A,TRUE,"OTR-COS.FJ(B)"}</definedName>
    <definedName name="yhh">#REF!</definedName>
    <definedName name="yi" hidden="1">{"'Sheet1'!$L$16"}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Y">#REF!</definedName>
    <definedName name="YNTypes">#REF!</definedName>
    <definedName name="YNYNYNYNY">#REF!</definedName>
    <definedName name="yp">#REF!</definedName>
    <definedName name="yrdtytyt" hidden="1">{#N/A,#N/A,FALSE,"CCTV"}</definedName>
    <definedName name="yrh" hidden="1">{"Datos",#N/A,TRUE,"Datos"}</definedName>
    <definedName name="yrj">#REF!</definedName>
    <definedName name="ys">#REF!</definedName>
    <definedName name="ytr">#REF!</definedName>
    <definedName name="yttuk" hidden="1">{"Datos",#N/A,TRUE,"Datos"}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jy">#REF!</definedName>
    <definedName name="yukyflk" hidden="1">{"Datos",#N/A,TRUE,"Datos"}</definedName>
    <definedName name="yur">#REF!</definedName>
    <definedName name="yutjf" hidden="1">{"Datos",#N/A,TRUE,"Datos"}</definedName>
    <definedName name="yuuyk" hidden="1">#REF!</definedName>
    <definedName name="yuyu" hidden="1">{"Datos",#N/A,TRUE,"Datos"}</definedName>
    <definedName name="YV_0">'[31]DATA-1'!#REF!</definedName>
    <definedName name="YV_1">'[31]DATA-1'!#REF!</definedName>
    <definedName name="ywer" hidden="1">{"Datos",#N/A,TRUE,"Datos"}</definedName>
    <definedName name="yy">#REF!</definedName>
    <definedName name="YYY">#N/A</definedName>
    <definedName name="YYYYYY">#N/A</definedName>
    <definedName name="yyyyyyyyyy">'[215]4K - (6a) Non Manual Breakdown'!$AC$3</definedName>
    <definedName name="Z">#REF!</definedName>
    <definedName name="Z_7A052380_7D70_11CF_8A56_006097109093_.wvu.Cols" hidden="1">#REF!</definedName>
    <definedName name="Z_7A052380_7D70_11CF_8A56_006097109093_.wvu.Rows" hidden="1">[216]表三!$A$693:$IV$790,[216]表三!#REF!</definedName>
    <definedName name="Z_8E6C59E0_FA78_45DE_AA3F_55E1FEB33861_.wvu.FilterData">Pricing [168]Sch!$B$131:$AQ$2013</definedName>
    <definedName name="Z_8E6C59E0_FA78_45DE_AA3F_55E1FEB33861_.wvu.PrintArea">Pricing [168]Sch!$B$1:$AF$2036</definedName>
    <definedName name="Z_8E6C59E0_FA78_45DE_AA3F_55E1FEB33861_.wvu.PrintTitles">Pricing [168]Sch!$A$123:$IV$433</definedName>
    <definedName name="Z_ABCCF9B4_4F75_4F3B_AAD2_54E1C063315C_.wvu.Cols" hidden="1">#REF!</definedName>
    <definedName name="Z_ABCCF9B4_4F75_4F3B_AAD2_54E1C063315C_.wvu.FilterData" hidden="1">#REF!</definedName>
    <definedName name="Z_ABCCF9B4_4F75_4F3B_AAD2_54E1C063315C_.wvu.PrintArea" hidden="1">#REF!</definedName>
    <definedName name="Z_E024B424_A961_11D3_8654_006097109096_.wvu.Cols" hidden="1">#REF!</definedName>
    <definedName name="Z_E024B424_A961_11D3_8654_006097109096_.wvu.Rows" hidden="1">[216]表三!$A$693:$IV$790,[216]表三!#REF!</definedName>
    <definedName name="zafgh" hidden="1">{"Datos",#N/A,TRUE,"Datos"}</definedName>
    <definedName name="zcv" hidden="1">{"Datos",#N/A,TRUE,"Datos"}</definedName>
    <definedName name="Zeit">40504.4482523148</definedName>
    <definedName name="zenntai">[165]電計工数内訳!#REF!</definedName>
    <definedName name="ZonaDaEliminare">#REF!</definedName>
    <definedName name="ZonaOrdinamento">#REF!</definedName>
    <definedName name="Zone_eff_dis">#REF!</definedName>
    <definedName name="Zone_impres_MI">#REF!</definedName>
    <definedName name="zone_saisie">#REF!,#REF!,#REF!,#REF!</definedName>
    <definedName name="ZPF435">#REF!</definedName>
    <definedName name="zsrdt" hidden="1">{"MF-601",#N/A,TRUE,"MANT-EX-B(fJ)";"MF-602",#N/A,TRUE,"ELECTR-FJ(B)";"MF-603",#N/A,TRUE,"PERSONAL(FJ)B";"MF-604",#N/A,TRUE,"REACT-P(B)";"MF-605",#N/A,TRUE,"OTR-COS.FJ(B)";"MF-60X",#N/A,TRUE,"Resumen"}</definedName>
    <definedName name="zwzw">#REF!</definedName>
    <definedName name="Zx">#REF!</definedName>
    <definedName name="ZXC">[66]AN!$H$3</definedName>
    <definedName name="zxcxcv" hidden="1">{"MF-601",#N/A,TRUE,"MANT-EX-B(fJ)";"MF-602",#N/A,TRUE,"ELECTR-FJ(B)";"MF-603",#N/A,TRUE,"PERSONAL(FJ)B";"MF-604",#N/A,TRUE,"REACT-P(B)";"MF-605",#N/A,TRUE,"OTR-COS.FJ(B)";"MF-60X",#N/A,TRUE,"Resumen"}</definedName>
    <definedName name="Zy">#REF!</definedName>
    <definedName name="ZZ">#REF!</definedName>
    <definedName name="ZZZ">#REF!</definedName>
    <definedName name="zzzzz">'[217]WITHOUT C&amp;I PROFIT (3)'!#REF!</definedName>
    <definedName name="ZZZZZZZZZZZZZZ" hidden="1">[22]FitOutConfCentre!#REF!</definedName>
    <definedName name="π">PI()</definedName>
    <definedName name="ガス_灯油混焼">#REF!</definedName>
    <definedName name="ｶﾒﾗ単価">'[218]5.4ITV'!#REF!</definedName>
    <definedName name="ｸﾗ">#REF!</definedName>
    <definedName name="ケーブル単価">'[218]5.4ITV'!#REF!</definedName>
    <definedName name="ｼｬｰｼ予備率">#REF!</definedName>
    <definedName name="その他">#REF!</definedName>
    <definedName name="タイトル">#REF!</definedName>
    <definedName name="ﾌﾟﾗｲﾐﾝｸﾞ配管">[219]EXｳｪｲﾄ0!$A$1:$IV$3</definedName>
    <definedName name="ﾓﾆﾀ単価">'[218]5.4ITV'!#REF!</definedName>
    <definedName name="ﾗﾍﾞﾙ">[220]集計!$A$5:$A$14</definedName>
    <definedName name="اا">'[218]5.4ITV'!#REF!</definedName>
    <definedName name="الباب_الثامن__الأبواب_والشبابيك">[221]BOQ!#REF!</definedName>
    <definedName name="الباب_الثانى">[221]BOQ!#REF!</definedName>
    <definedName name="الباب_الحادى_عشر">[221]BOQ!#REF!</definedName>
    <definedName name="الباب_العاشر">[221]BOQ!#REF!</definedName>
    <definedName name="الموقع">#REF!</definedName>
    <definedName name="ب82">#REF!</definedName>
    <definedName name="تتت">'[222] ｹ-ﾌﾞﾙ'!#REF!</definedName>
    <definedName name="تحليل">#REF!</definedName>
    <definedName name="تحليل.">#REF!</definedName>
    <definedName name="س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صفحة_14">[221]BOQ!#REF!</definedName>
    <definedName name="صفحة_15">[221]BOQ!#REF!</definedName>
    <definedName name="صفحة_16">[221]BOQ!#REF!</definedName>
    <definedName name="صفحة_17">[221]BOQ!#REF!</definedName>
    <definedName name="صفحة_20">[221]BOQ!#REF!</definedName>
    <definedName name="صفحة_21">[221]BOQ!#REF!</definedName>
    <definedName name="صفحة_22">[221]BOQ!#REF!</definedName>
    <definedName name="صفحة_23">[221]BOQ!#REF!</definedName>
    <definedName name="لا29">#REF!</definedName>
    <definedName name="ي327">#REF!</definedName>
    <definedName name="ㄱ미" hidden="1">{#N/A,#N/A,TRUE,"Basic";#N/A,#N/A,TRUE,"EXT-TABLE";#N/A,#N/A,TRUE,"STEEL";#N/A,#N/A,TRUE,"INT-Table";#N/A,#N/A,TRUE,"STEEL";#N/A,#N/A,TRUE,"Door"}</definedName>
    <definedName name="갈등관리">#REF!</definedName>
    <definedName name="강관파일" hidden="1">{#N/A,#N/A,FALSE,"부대1"}</definedName>
    <definedName name="건축">#REF!</definedName>
    <definedName name="겉표지" hidden="1">{#N/A,#N/A,TRUE,"Basic";#N/A,#N/A,TRUE,"EXT-TABLE";#N/A,#N/A,TRUE,"STEEL";#N/A,#N/A,TRUE,"INT-Table";#N/A,#N/A,TRUE,"STEEL";#N/A,#N/A,TRUE,"Door"}</definedName>
    <definedName name="견적">#REF!</definedName>
    <definedName name="견적SHEET" hidden="1">{#N/A,#N/A,FALSE,"CCTV"}</definedName>
    <definedName name="견적조건" hidden="1">[223]산근!#REF!</definedName>
    <definedName name="경비">#REF!</definedName>
    <definedName name="경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영계획수립">#REF!</definedName>
    <definedName name="계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구미1">#REF!</definedName>
    <definedName name="국제매너">#REF!</definedName>
    <definedName name="국제협상">#REF!</definedName>
    <definedName name="기계">#REF!</definedName>
    <definedName name="기타">#REF!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ㄴ">[100]CAT_5!#REF!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ㅁㄹㅈㄹ" hidden="1">#REF!</definedName>
    <definedName name="낭비개선">#REF!</definedName>
    <definedName name="내작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노무비">#REF!</definedName>
    <definedName name="노임10">[224]노임9월!#REF!</definedName>
    <definedName name="노임단가">[225]노임단가!$A$3:$B$138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단가비교">#N/A</definedName>
    <definedName name="단가조사">[225]단가조사!$A$1:$G$379</definedName>
    <definedName name="당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당초계획" hidden="1">#REF!</definedName>
    <definedName name="대상">#REF!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동력팀">#REF!</definedName>
    <definedName name="띠장">#REF!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ㅇㄴ" hidden="1">{"'Sheet1'!$L$16"}</definedName>
    <definedName name="리더십">#REF!</definedName>
    <definedName name="ㅁ561">#REF!</definedName>
    <definedName name="ㅁㄴㅇ" hidden="1">{#N/A,#N/A,FALSE,"배수1"}</definedName>
    <definedName name="ㅁㅁㅁ">#REF!</definedName>
    <definedName name="마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마케팅">#REF!</definedName>
    <definedName name="마케팅기본">#REF!</definedName>
    <definedName name="마케팅심화">#REF!</definedName>
    <definedName name="마케팅전략">#REF!</definedName>
    <definedName name="문제해결">#REF!</definedName>
    <definedName name="뮹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미제">#REF!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압기">#N/A</definedName>
    <definedName name="보고서">#REF!</definedName>
    <definedName name="부대공사" hidden="1">#REF!</definedName>
    <definedName name="부하육성">#REF!</definedName>
    <definedName name="비지니스레터">#REF!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ㄷ" hidden="1">{"'Sheet1'!$L$16"}</definedName>
    <definedName name="산업기계">#REF!</definedName>
    <definedName name="삼성급여">'[226]Site Expenses'!$P$2</definedName>
    <definedName name="생산전문가">#REF!</definedName>
    <definedName name="서식">#REF!</definedName>
    <definedName name="서식임">#REF!</definedName>
    <definedName name="섬유원료">#REF!</definedName>
    <definedName name="성형PU">#REF!</definedName>
    <definedName name="수" hidden="1">{#N/A,#N/A,TRUE,"Basic";#N/A,#N/A,TRUE,"EXT-TABLE";#N/A,#N/A,TRUE,"STEEL";#N/A,#N/A,TRUE,"INT-Table";#N/A,#N/A,TRUE,"STEEL";#N/A,#N/A,TRUE,"Door"}</definedName>
    <definedName name="수출입실무">#REF!</definedName>
    <definedName name="순기본">[227]인상효1!#REF!</definedName>
    <definedName name="신뢰성공학">#REF!</definedName>
    <definedName name="실험계획법">#REF!</definedName>
    <definedName name="써비스내역">[228]SERVICE!$A$2:$K$32</definedName>
    <definedName name="ㅇ191">#REF!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ㅇ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아아ㅏ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안양일정">[229]비용!#REF!</definedName>
    <definedName name="연구개발">#REF!</definedName>
    <definedName name="연봉">[230]본사인상전!#REF!</definedName>
    <definedName name="용연1">#REF!</definedName>
    <definedName name="울산관리팀">#REF!</definedName>
    <definedName name="원가회계">#REF!</definedName>
    <definedName name="이경식">#REF!</definedName>
    <definedName name="이문화">#REF!</definedName>
    <definedName name="이정" hidden="1">{#N/A,#N/A,FALSE,"2~8번"}</definedName>
    <definedName name="이찰">#REF!</definedName>
    <definedName name="인건비_산출기준">#REF!</definedName>
    <definedName name="일위대가">#REF!</definedName>
    <definedName name="입찰1">#N/A</definedName>
    <definedName name="입찰2">#N/A</definedName>
    <definedName name="ㅈㅈ" hidden="1">{#N/A,#N/A,FALSE,"표지목차"}</definedName>
    <definedName name="전기계장">#REF!</definedName>
    <definedName name="전략수립과정">#REF!</definedName>
    <definedName name="전략수립전문가">#REF!</definedName>
    <definedName name="전략의사결정">#REF!</definedName>
    <definedName name="조직개발">#REF!</definedName>
    <definedName name="주요물량비교">#N/A</definedName>
    <definedName name="중기">#REF!</definedName>
    <definedName name="직훈계획">[231]교수설계!#REF!</definedName>
    <definedName name="찰샇기" hidden="1">#REF!</definedName>
    <definedName name="창의력개발">#REF!</definedName>
    <definedName name="채권관리">#REF!</definedName>
    <definedName name="채권관리응용">#REF!</definedName>
    <definedName name="천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총원">'[232]220 (2)'!$A$7:$M$226</definedName>
    <definedName name="추" hidden="1">{"'Sheet1'!$L$16"}</definedName>
    <definedName name="추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추가분" hidden="1">{"'장비'!$A$3:$M$12"}</definedName>
    <definedName name="커뮤니케이션">#REF!</definedName>
    <definedName name="컴퓨터기획">#REF!</definedName>
    <definedName name="클레임">#REF!</definedName>
    <definedName name="토류판">#REF!</definedName>
    <definedName name="토목">#REF!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토목조정분1" hidden="1">{"'장비'!$A$3:$M$12"}</definedName>
    <definedName name="트랜스월드">#REF!</definedName>
    <definedName name="특허기본">#REF!</definedName>
    <definedName name="팀비젼창출">#REF!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일" hidden="1">#REF!</definedName>
    <definedName name="표지" hidden="1">{#N/A,#N/A,TRUE,"Basic";#N/A,#N/A,TRUE,"EXT-TABLE";#N/A,#N/A,TRUE,"STEEL";#N/A,#N/A,TRUE,"INT-Table";#N/A,#N/A,TRUE,"STEEL";#N/A,#N/A,TRUE,"Door"}</definedName>
    <definedName name="품질관리일반">#REF!</definedName>
    <definedName name="프리젠테이션">#REF!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할" hidden="1">{"'Sheet1'!$L$16"}</definedName>
    <definedName name="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계">#REF!</definedName>
    <definedName name="항" hidden="1">{"'Sheet1'!$L$16"}</definedName>
    <definedName name="협상능력">#REF!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환산">[233]환산표!$A$1:$B$3</definedName>
    <definedName name="환율">#REF!</definedName>
    <definedName name="ㅏㅏㅏ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ㅑㅅ" hidden="1">{"'Sheet1'!$L$16"}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ㅘ" hidden="1">{"'Sheet1'!$L$16"}</definedName>
    <definedName name="ㅠ1066">#REF!</definedName>
    <definedName name="ㅠ뮤ㅐ" hidden="1">#REF!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一般">#REF!</definedName>
    <definedName name="一般屋内">#REF!</definedName>
    <definedName name="一般屋外">#REF!</definedName>
    <definedName name="中操ｹｰﾌﾞﾙ処理室">#REF!</definedName>
    <definedName name="人工">#N/A</definedName>
    <definedName name="仕">#N/A</definedName>
    <definedName name="使用" hidden="1">#REF!</definedName>
    <definedName name="保温">[80]!COIORYG</definedName>
    <definedName name="入力ﾌｫｰﾑ">#REF!</definedName>
    <definedName name="入力方法の選択">#REF!</definedName>
    <definedName name="全体">#REF!</definedName>
    <definedName name="全体１">#REF!</definedName>
    <definedName name="冷却単価">'[218]5.4ITV'!#REF!</definedName>
    <definedName name="出力ﾌｫｰﾑ">#REF!</definedName>
    <definedName name="切替器単価">'[218]5.4ITV'!#REF!</definedName>
    <definedName name="取り付け係数">'[218]5.4ITV'!#REF!</definedName>
    <definedName name="台数">#REF!</definedName>
    <definedName name="合計">#REF!</definedName>
    <definedName name="国内">#REF!</definedName>
    <definedName name="国内COIORYG">[80]!COIORYG</definedName>
    <definedName name="国内Fitting">#REF!</definedName>
    <definedName name="国内Gaisaku">#REF!</definedName>
    <definedName name="国内GaisakuG">#REF!</definedName>
    <definedName name="国内Item">#REF!</definedName>
    <definedName name="国内ItemMaterial">#REF!</definedName>
    <definedName name="国内Material">#REF!</definedName>
    <definedName name="国内Naisaku">#REF!</definedName>
    <definedName name="国内NaisakuG">#REF!</definedName>
    <definedName name="国内Pipe">#REF!</definedName>
    <definedName name="国内Print_Area">#REF!</definedName>
    <definedName name="国内PRINT_AREA_MI">#REF!</definedName>
    <definedName name="国内Print_Titles">#REF!</definedName>
    <definedName name="国内PRINT_TITLES_MI">#REF!</definedName>
    <definedName name="国内RT">#REF!</definedName>
    <definedName name="国内ＲＴfilm">#REF!</definedName>
    <definedName name="国内Schedule">#REF!</definedName>
    <definedName name="国内SchMaterial">#REF!</definedName>
    <definedName name="国内Structure">#REF!</definedName>
    <definedName name="国内Support">#REF!</definedName>
    <definedName name="国内SupportDesign">#REF!</definedName>
    <definedName name="国内SupportPoint">#REF!</definedName>
    <definedName name="国内Weight">#REF!</definedName>
    <definedName name="土建" hidden="1">{"'照明目录'!$A$1:$H$31"}</definedName>
    <definedName name="土建2" hidden="1">{"'照明目录'!$A$1:$H$31"}</definedName>
    <definedName name="外装">#REF!</definedName>
    <definedName name="外装表">[234]外形!$D$25:$E$31</definedName>
    <definedName name="好听" hidden="1">{"'照明目录'!$A$1:$H$31"}</definedName>
    <definedName name="安全">#REF!</definedName>
    <definedName name="安全保温">#REF!</definedName>
    <definedName name="安全屋内">#REF!</definedName>
    <definedName name="安全屋外">#REF!</definedName>
    <definedName name="実行予算検討書">#REF!</definedName>
    <definedName name="実行予算次紙">#REF!</definedName>
    <definedName name="小計">#REF!</definedName>
    <definedName name="屋内一般">[234]屋内!$B$4:$W$27</definedName>
    <definedName name="屋内安全">[234]屋内!$B$33:$W$44</definedName>
    <definedName name="屋内最少">[234]屋内!$B$48:$W$49</definedName>
    <definedName name="屋内火傷">#REF!</definedName>
    <definedName name="屋外一般">[234]屋外!$B$4:$W$27</definedName>
    <definedName name="屋外安全">[234]屋外!$B$32:$W$43</definedName>
    <definedName name="屋外最少">[234]屋外!$B$46:$W$47</definedName>
    <definedName name="屋外火傷">#REF!</definedName>
    <definedName name="工事">[80]!COIORYG</definedName>
    <definedName name="才了" hidden="1">{"'照明目录'!$A$1:$H$31"}</definedName>
    <definedName name="打点数">'[235]7.13水分析計'!$AB$28:$AB$29</definedName>
    <definedName name="操作係数">'[218]5.4ITV'!#REF!</definedName>
    <definedName name="数">'[69]Sithe-PPL'!#REF!</definedName>
    <definedName name="数据库一">#REF!</definedName>
    <definedName name="春" hidden="1">{"'照明目录'!$A$1:$H$31"}</definedName>
    <definedName name="最少１">#REF!</definedName>
    <definedName name="最少２">#REF!</definedName>
    <definedName name="最少屋内">#REF!</definedName>
    <definedName name="最少屋外">#REF!</definedName>
    <definedName name="材料費">#REF!</definedName>
    <definedName name="水使用量山積み" hidden="1">[236]電源計画!$H$249:$AF$249</definedName>
    <definedName name="水山積み" hidden="1">[236]電源計画!$H$248:$AF$248</definedName>
    <definedName name="汇编" hidden="1">{"'照明目录'!$A$1:$H$31"}</definedName>
    <definedName name="汇编1" hidden="1">{"'照明目录'!$A$1:$H$31"}</definedName>
    <definedName name="治">#N/A</definedName>
    <definedName name="派遣" hidden="1">#REF!</definedName>
    <definedName name="派遣計画３">#REF!</definedName>
    <definedName name="海外">#REF!</definedName>
    <definedName name="海外COIORYG">#N/A</definedName>
    <definedName name="海外Fitting">'[237]GSTG PIPING'!#REF!</definedName>
    <definedName name="海外Gaisaku">'[237]GSTG PIPING'!#REF!</definedName>
    <definedName name="海外GaisakuG">'[237]GSTG PIPING'!#REF!</definedName>
    <definedName name="海外ItemMaterial">'[237]GSTG PIPING'!#REF!</definedName>
    <definedName name="海外Naisaku">'[237]GSTG PIPING'!#REF!</definedName>
    <definedName name="海外NaisakuG">'[237]GSTG PIPING'!#REF!</definedName>
    <definedName name="海外Pipe">'[237]GSTG PIPING'!#REF!</definedName>
    <definedName name="海外RT">'[237]GSTG PIPING'!#REF!</definedName>
    <definedName name="海外ＲＴfilm">'[237]GSTG PIPING'!#REF!</definedName>
    <definedName name="海外SchMaterial">'[237]GSTG PIPING'!#REF!</definedName>
    <definedName name="海外Structure">'[237]GSTG PIPING'!#REF!</definedName>
    <definedName name="海外Support">'[237]GSTG PIPING'!#REF!</definedName>
    <definedName name="海外SupportDesign">'[237]GSTG PIPING'!#REF!</definedName>
    <definedName name="海外SupportPoint">'[237]GSTG PIPING'!#REF!</definedName>
    <definedName name="海火">#N/A</definedName>
    <definedName name="温度１">#REF!</definedName>
    <definedName name="温度２">#REF!</definedName>
    <definedName name="温度３">#REF!</definedName>
    <definedName name="温度3A">#REF!</definedName>
    <definedName name="温度４">[234]屋外!$A$4:$A$27</definedName>
    <definedName name="温度５">[234]屋外!$A$32:$A$43</definedName>
    <definedName name="温度６">#REF!</definedName>
    <definedName name="盤ﾍﾞｰｽ単価">'[235]7.13水分析計'!$AC$18:$AD$19</definedName>
    <definedName name="直接経費">#REF!</definedName>
    <definedName name="石膏破碎及输送" hidden="1">{"'照明目录'!$A$1:$H$31"}</definedName>
    <definedName name="管径１">[234]屋内!$B$2:$W$2</definedName>
    <definedName name="管径２">[234]屋内!$B$31:$W$31</definedName>
    <definedName name="管径３">#REF!</definedName>
    <definedName name="管径４">[234]屋外!$B$2:$W$2</definedName>
    <definedName name="管径５">[234]屋外!$B$30:$W$30</definedName>
    <definedName name="管径６">#REF!</definedName>
    <definedName name="管経１">#REF!</definedName>
    <definedName name="管経２">#REF!</definedName>
    <definedName name="管経３">#REF!</definedName>
    <definedName name="経済">#REF!</definedName>
    <definedName name="自动空气开关" hidden="1">{"'照明目录'!$A$1:$H$31"}</definedName>
    <definedName name="自動化係数">'[235]7.13水分析計'!$AD$22:$AD$24</definedName>
    <definedName name="行ﾀｲﾄﾙ">[220]集計!$A$4:$O$4</definedName>
    <definedName name="行見だし">'[238] ｹ-ﾌﾞﾙ'!#REF!</definedName>
    <definedName name="行見出し">#REF!</definedName>
    <definedName name="表A">#N/A</definedName>
    <definedName name="表B">#N/A</definedName>
    <definedName name="見積DATA">[220]集計!$A$4:$O$14</definedName>
    <definedName name="見積予算概要">#REF!</definedName>
    <definedName name="記録計単価">'[235]7.13水分析計'!$AC$28:$AC$29</definedName>
    <definedName name="设备价">#REF!</definedName>
    <definedName name="資C">#N/A</definedName>
    <definedName name="超高管线">#REF!</definedName>
    <definedName name="選定_Btn">[81]!選定_Btn</definedName>
    <definedName name="配管">#REF!</definedName>
    <definedName name="配管径表">[234]外形!$A$1:$B$34</definedName>
    <definedName name="金" hidden="1">#REF!</definedName>
    <definedName name="金1" hidden="1">#REF!</definedName>
    <definedName name="間ﾗﾍﾞﾙ">[220]集計!$A$23:$A$33</definedName>
    <definedName name="間接DATA">[220]集計!$A$23:$H$33</definedName>
    <definedName name="間接費">#REF!</definedName>
    <definedName name="間行ﾀｲﾄﾙ">[220]集計!$A$23:$H$23</definedName>
    <definedName name="防凍">#REF!</definedName>
    <definedName name="防爆係数">'[218]5.4ITV'!#REF!</definedName>
    <definedName name="防露">#REF!</definedName>
    <definedName name="阿瑟" hidden="1">{"'照明目录'!$A$1:$H$31"}</definedName>
    <definedName name="随机配套" hidden="1">{"'照明目录'!$A$1:$H$31"}</definedName>
    <definedName name="電気">[80]!COIORYG</definedName>
    <definedName name="電気工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08" i="26" l="1"/>
  <c r="AY20" i="26" l="1"/>
  <c r="AW20" i="26"/>
  <c r="AY21" i="26"/>
  <c r="AW21" i="26"/>
  <c r="AZ20" i="26" l="1"/>
  <c r="AZ21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H66" i="26"/>
  <c r="I27" i="26"/>
  <c r="J27" i="26"/>
  <c r="K27" i="26"/>
  <c r="L27" i="26"/>
  <c r="M27" i="26"/>
  <c r="N27" i="26"/>
  <c r="O27" i="26"/>
  <c r="P27" i="26"/>
  <c r="Q27" i="26"/>
  <c r="R27" i="26"/>
  <c r="R31" i="26" s="1"/>
  <c r="S27" i="26"/>
  <c r="S28" i="26" s="1"/>
  <c r="T27" i="26"/>
  <c r="T31" i="26" s="1"/>
  <c r="U27" i="26"/>
  <c r="U31" i="26" s="1"/>
  <c r="V27" i="26"/>
  <c r="V31" i="26" s="1"/>
  <c r="W27" i="26"/>
  <c r="W29" i="26" s="1"/>
  <c r="X27" i="26"/>
  <c r="X31" i="26" s="1"/>
  <c r="Y27" i="26"/>
  <c r="Y28" i="26" s="1"/>
  <c r="Z27" i="26"/>
  <c r="Z29" i="26" s="1"/>
  <c r="AA27" i="26"/>
  <c r="AA29" i="26" s="1"/>
  <c r="AB27" i="26"/>
  <c r="AB29" i="26" s="1"/>
  <c r="AC27" i="26"/>
  <c r="AC29" i="26" s="1"/>
  <c r="AD27" i="26"/>
  <c r="AD28" i="26" s="1"/>
  <c r="AE27" i="26"/>
  <c r="AE29" i="26" s="1"/>
  <c r="AF27" i="26"/>
  <c r="AG27" i="26"/>
  <c r="AG31" i="26" s="1"/>
  <c r="AH27" i="26"/>
  <c r="AH29" i="26" s="1"/>
  <c r="AI27" i="26"/>
  <c r="AI28" i="26" s="1"/>
  <c r="AJ27" i="26"/>
  <c r="AJ28" i="26" s="1"/>
  <c r="AK27" i="26"/>
  <c r="AK31" i="26" s="1"/>
  <c r="AL27" i="26"/>
  <c r="AM27" i="26"/>
  <c r="AN27" i="26"/>
  <c r="AN28" i="26" s="1"/>
  <c r="AO27" i="26"/>
  <c r="AO31" i="26" s="1"/>
  <c r="AO32" i="26" s="1"/>
  <c r="AP27" i="26"/>
  <c r="AP29" i="26" s="1"/>
  <c r="AQ27" i="26"/>
  <c r="AQ29" i="26" s="1"/>
  <c r="AR27" i="26"/>
  <c r="AR29" i="26" s="1"/>
  <c r="AS27" i="26"/>
  <c r="AT27" i="26"/>
  <c r="AU27" i="26"/>
  <c r="AU29" i="26" s="1"/>
  <c r="H27" i="26"/>
  <c r="I28" i="26"/>
  <c r="J28" i="26"/>
  <c r="K28" i="26"/>
  <c r="T28" i="26"/>
  <c r="AP55" i="26"/>
  <c r="AY38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K37" i="26"/>
  <c r="AL37" i="26"/>
  <c r="AM37" i="26"/>
  <c r="AN37" i="26"/>
  <c r="AO37" i="26"/>
  <c r="AP37" i="26"/>
  <c r="AQ37" i="26"/>
  <c r="AR37" i="26"/>
  <c r="AS37" i="26"/>
  <c r="AT37" i="26"/>
  <c r="AU37" i="26"/>
  <c r="H37" i="26"/>
  <c r="AM44" i="26"/>
  <c r="AM41" i="26" s="1"/>
  <c r="Z44" i="26"/>
  <c r="Z43" i="26" s="1"/>
  <c r="AN43" i="26"/>
  <c r="AO44" i="26"/>
  <c r="AO43" i="26" s="1"/>
  <c r="AP43" i="26"/>
  <c r="AR43" i="26"/>
  <c r="AS43" i="26"/>
  <c r="AU43" i="26"/>
  <c r="AD41" i="26"/>
  <c r="AE41" i="26"/>
  <c r="AF41" i="26"/>
  <c r="AJ44" i="26"/>
  <c r="AJ41" i="26" s="1"/>
  <c r="AK44" i="26"/>
  <c r="AK41" i="26" s="1"/>
  <c r="AL44" i="26"/>
  <c r="AL41" i="26" s="1"/>
  <c r="AC43" i="26"/>
  <c r="AB44" i="26"/>
  <c r="AB43" i="26" s="1"/>
  <c r="AA43" i="26"/>
  <c r="X44" i="26"/>
  <c r="X43" i="26" s="1"/>
  <c r="Y44" i="26"/>
  <c r="Y43" i="26" s="1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AL39" i="26"/>
  <c r="AM39" i="26"/>
  <c r="AN39" i="26"/>
  <c r="AN57" i="26" s="1"/>
  <c r="AO39" i="26"/>
  <c r="AP39" i="26"/>
  <c r="AP57" i="26" s="1"/>
  <c r="AQ39" i="26"/>
  <c r="AQ57" i="26" s="1"/>
  <c r="AR39" i="26"/>
  <c r="AR57" i="26" s="1"/>
  <c r="AS39" i="26"/>
  <c r="AT39" i="26"/>
  <c r="AU39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AG41" i="26"/>
  <c r="AH41" i="26"/>
  <c r="AI41" i="26"/>
  <c r="AN41" i="26"/>
  <c r="AP41" i="26"/>
  <c r="AQ41" i="26"/>
  <c r="AR41" i="26"/>
  <c r="AS41" i="26"/>
  <c r="AT41" i="26"/>
  <c r="AU41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AD43" i="26"/>
  <c r="AG43" i="26"/>
  <c r="AH43" i="26"/>
  <c r="AI43" i="26"/>
  <c r="AQ43" i="26"/>
  <c r="AT43" i="26"/>
  <c r="H41" i="26"/>
  <c r="W44" i="26"/>
  <c r="W43" i="26" s="1"/>
  <c r="AL55" i="26"/>
  <c r="AO55" i="26"/>
  <c r="AS55" i="26"/>
  <c r="H39" i="26"/>
  <c r="AY93" i="26"/>
  <c r="AY92" i="26"/>
  <c r="AY91" i="26"/>
  <c r="AY90" i="26"/>
  <c r="AY89" i="26"/>
  <c r="AY88" i="26"/>
  <c r="AY86" i="26"/>
  <c r="AY85" i="26"/>
  <c r="AY82" i="26"/>
  <c r="AY75" i="26"/>
  <c r="AY72" i="26"/>
  <c r="AY71" i="26"/>
  <c r="AY68" i="26"/>
  <c r="AY67" i="26"/>
  <c r="AY63" i="26"/>
  <c r="AY58" i="26"/>
  <c r="AY51" i="26"/>
  <c r="AY50" i="26"/>
  <c r="AY49" i="26"/>
  <c r="AY48" i="26"/>
  <c r="AY47" i="26"/>
  <c r="AY24" i="26"/>
  <c r="AY22" i="26"/>
  <c r="AY19" i="26"/>
  <c r="AY17" i="26"/>
  <c r="AY16" i="26"/>
  <c r="AY15" i="26"/>
  <c r="AY14" i="26"/>
  <c r="AY13" i="26"/>
  <c r="AY11" i="26"/>
  <c r="AY9" i="26"/>
  <c r="AY8" i="26"/>
  <c r="AY10" i="26"/>
  <c r="AN55" i="26"/>
  <c r="AR55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I4" i="26"/>
  <c r="H4" i="26"/>
  <c r="AW86" i="26"/>
  <c r="AU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AN25" i="26"/>
  <c r="AO25" i="26"/>
  <c r="AP25" i="26"/>
  <c r="AQ25" i="26"/>
  <c r="AR25" i="26"/>
  <c r="AS25" i="26"/>
  <c r="AT25" i="26"/>
  <c r="H25" i="26"/>
  <c r="AQ87" i="26"/>
  <c r="AQ76" i="26"/>
  <c r="AQ78" i="26" s="1"/>
  <c r="AQ65" i="26"/>
  <c r="AQ64" i="26"/>
  <c r="AQ55" i="26"/>
  <c r="AQ53" i="26"/>
  <c r="AQ46" i="26"/>
  <c r="AQ45" i="26"/>
  <c r="AQ36" i="26"/>
  <c r="AQ54" i="26" s="1"/>
  <c r="AQ35" i="26"/>
  <c r="AS87" i="26"/>
  <c r="AR87" i="26"/>
  <c r="AP87" i="26"/>
  <c r="AO87" i="26"/>
  <c r="AN87" i="26"/>
  <c r="AM87" i="26"/>
  <c r="AL87" i="26"/>
  <c r="AS76" i="26"/>
  <c r="AS77" i="26" s="1"/>
  <c r="AS79" i="26" s="1"/>
  <c r="AS80" i="26" s="1"/>
  <c r="AS81" i="26" s="1"/>
  <c r="AR76" i="26"/>
  <c r="AR77" i="26" s="1"/>
  <c r="AR79" i="26" s="1"/>
  <c r="AR80" i="26" s="1"/>
  <c r="AR81" i="26" s="1"/>
  <c r="AP76" i="26"/>
  <c r="AP78" i="26" s="1"/>
  <c r="AO76" i="26"/>
  <c r="AO77" i="26" s="1"/>
  <c r="AO79" i="26" s="1"/>
  <c r="AO80" i="26" s="1"/>
  <c r="AO81" i="26" s="1"/>
  <c r="AN76" i="26"/>
  <c r="AN78" i="26" s="1"/>
  <c r="AM76" i="26"/>
  <c r="AM77" i="26" s="1"/>
  <c r="AM79" i="26" s="1"/>
  <c r="AM80" i="26" s="1"/>
  <c r="AM81" i="26" s="1"/>
  <c r="AL76" i="26"/>
  <c r="AL77" i="26" s="1"/>
  <c r="AL79" i="26" s="1"/>
  <c r="AL80" i="26" s="1"/>
  <c r="AL81" i="26" s="1"/>
  <c r="AS65" i="26"/>
  <c r="AR65" i="26"/>
  <c r="AP65" i="26"/>
  <c r="AO65" i="26"/>
  <c r="AN65" i="26"/>
  <c r="AM65" i="26"/>
  <c r="AL65" i="26"/>
  <c r="AS64" i="26"/>
  <c r="AR64" i="26"/>
  <c r="AP64" i="26"/>
  <c r="AO64" i="26"/>
  <c r="AN64" i="26"/>
  <c r="AM64" i="26"/>
  <c r="AL64" i="26"/>
  <c r="AM55" i="26"/>
  <c r="AS53" i="26"/>
  <c r="AR53" i="26"/>
  <c r="AP53" i="26"/>
  <c r="AO53" i="26"/>
  <c r="AN53" i="26"/>
  <c r="AM53" i="26"/>
  <c r="AL53" i="26"/>
  <c r="AS46" i="26"/>
  <c r="AR46" i="26"/>
  <c r="AP46" i="26"/>
  <c r="AO46" i="26"/>
  <c r="AN46" i="26"/>
  <c r="AM46" i="26"/>
  <c r="AL46" i="26"/>
  <c r="AS45" i="26"/>
  <c r="AR45" i="26"/>
  <c r="AP45" i="26"/>
  <c r="AO45" i="26"/>
  <c r="AN45" i="26"/>
  <c r="AM45" i="26"/>
  <c r="AL45" i="26"/>
  <c r="AS36" i="26"/>
  <c r="AS54" i="26" s="1"/>
  <c r="AR36" i="26"/>
  <c r="AR54" i="26" s="1"/>
  <c r="AP36" i="26"/>
  <c r="AP54" i="26" s="1"/>
  <c r="AO36" i="26"/>
  <c r="AO54" i="26" s="1"/>
  <c r="AN36" i="26"/>
  <c r="AN54" i="26" s="1"/>
  <c r="AM36" i="26"/>
  <c r="AM54" i="26" s="1"/>
  <c r="AL36" i="26"/>
  <c r="AL54" i="26" s="1"/>
  <c r="AS35" i="26"/>
  <c r="AR35" i="26"/>
  <c r="AP35" i="26"/>
  <c r="AO35" i="26"/>
  <c r="AN35" i="26"/>
  <c r="AM35" i="26"/>
  <c r="AL35" i="26"/>
  <c r="BL21" i="26" l="1"/>
  <c r="BK21" i="26"/>
  <c r="BJ21" i="26"/>
  <c r="BI21" i="26"/>
  <c r="BN21" i="26"/>
  <c r="BM21" i="26"/>
  <c r="BJ20" i="26"/>
  <c r="BI20" i="26"/>
  <c r="BL20" i="26"/>
  <c r="BN20" i="26"/>
  <c r="BM20" i="26"/>
  <c r="BK20" i="26"/>
  <c r="O31" i="26"/>
  <c r="N28" i="26"/>
  <c r="M31" i="26"/>
  <c r="L31" i="26"/>
  <c r="K31" i="26"/>
  <c r="J29" i="26"/>
  <c r="Q31" i="26"/>
  <c r="I31" i="26"/>
  <c r="H31" i="26"/>
  <c r="P31" i="26"/>
  <c r="AR31" i="26"/>
  <c r="AR32" i="26" s="1"/>
  <c r="AI31" i="26"/>
  <c r="AA31" i="26"/>
  <c r="S31" i="26"/>
  <c r="AJ31" i="26"/>
  <c r="AJ29" i="26"/>
  <c r="L29" i="26"/>
  <c r="AB31" i="26"/>
  <c r="AB28" i="26"/>
  <c r="AP28" i="26"/>
  <c r="I29" i="26"/>
  <c r="AC31" i="26"/>
  <c r="AL43" i="26"/>
  <c r="AL56" i="26" s="1"/>
  <c r="S29" i="26"/>
  <c r="AO29" i="26"/>
  <c r="AO28" i="26"/>
  <c r="Y31" i="26"/>
  <c r="Q29" i="26"/>
  <c r="Y41" i="26"/>
  <c r="Y56" i="26" s="1"/>
  <c r="AA28" i="26"/>
  <c r="K29" i="26"/>
  <c r="AR28" i="26"/>
  <c r="AQ28" i="26"/>
  <c r="AD29" i="26"/>
  <c r="N31" i="26"/>
  <c r="AI29" i="26"/>
  <c r="X41" i="26"/>
  <c r="X56" i="26" s="1"/>
  <c r="AK43" i="26"/>
  <c r="AK56" i="26" s="1"/>
  <c r="AQ31" i="26"/>
  <c r="AQ32" i="26" s="1"/>
  <c r="AJ43" i="26"/>
  <c r="AJ56" i="26" s="1"/>
  <c r="AO41" i="26"/>
  <c r="AO56" i="26" s="1"/>
  <c r="W41" i="26"/>
  <c r="W56" i="26" s="1"/>
  <c r="AG29" i="26"/>
  <c r="V28" i="26"/>
  <c r="X29" i="26"/>
  <c r="AD31" i="26"/>
  <c r="Y29" i="26"/>
  <c r="Q28" i="26"/>
  <c r="U29" i="26"/>
  <c r="AU56" i="26"/>
  <c r="T29" i="26"/>
  <c r="L28" i="26"/>
  <c r="J31" i="26"/>
  <c r="AT31" i="26"/>
  <c r="AT28" i="26"/>
  <c r="AH28" i="26"/>
  <c r="AH31" i="26"/>
  <c r="AG28" i="26"/>
  <c r="R29" i="26"/>
  <c r="R28" i="26"/>
  <c r="AL31" i="26"/>
  <c r="AP31" i="26"/>
  <c r="AP32" i="26" s="1"/>
  <c r="AL28" i="26"/>
  <c r="Z28" i="26"/>
  <c r="Z31" i="26"/>
  <c r="AY27" i="26"/>
  <c r="H29" i="26"/>
  <c r="H28" i="26"/>
  <c r="X28" i="26"/>
  <c r="AU31" i="26"/>
  <c r="AN29" i="26"/>
  <c r="AF29" i="26"/>
  <c r="P29" i="26"/>
  <c r="AU28" i="26"/>
  <c r="AM28" i="26"/>
  <c r="AE28" i="26"/>
  <c r="W28" i="26"/>
  <c r="O28" i="26"/>
  <c r="P28" i="26"/>
  <c r="AF28" i="26"/>
  <c r="W31" i="26"/>
  <c r="AT29" i="26"/>
  <c r="AL29" i="26"/>
  <c r="V29" i="26"/>
  <c r="N29" i="26"/>
  <c r="AS28" i="26"/>
  <c r="AK28" i="26"/>
  <c r="AC28" i="26"/>
  <c r="U28" i="26"/>
  <c r="M28" i="26"/>
  <c r="AF31" i="26"/>
  <c r="AM29" i="26"/>
  <c r="AS29" i="26"/>
  <c r="AK29" i="26"/>
  <c r="M29" i="26"/>
  <c r="O29" i="26"/>
  <c r="AN31" i="26"/>
  <c r="AN32" i="26" s="1"/>
  <c r="AS31" i="26"/>
  <c r="AM31" i="26"/>
  <c r="AE31" i="26"/>
  <c r="AB41" i="26"/>
  <c r="AB56" i="26" s="1"/>
  <c r="Z41" i="26"/>
  <c r="Z56" i="26" s="1"/>
  <c r="AY25" i="26"/>
  <c r="T56" i="26"/>
  <c r="L56" i="26"/>
  <c r="Q56" i="26"/>
  <c r="AO40" i="26"/>
  <c r="AO42" i="26"/>
  <c r="K56" i="26"/>
  <c r="J56" i="26"/>
  <c r="AG56" i="26"/>
  <c r="AW44" i="26"/>
  <c r="AR56" i="26"/>
  <c r="AF43" i="26"/>
  <c r="AF56" i="26" s="1"/>
  <c r="AM43" i="26"/>
  <c r="AM56" i="26" s="1"/>
  <c r="AE43" i="26"/>
  <c r="AE56" i="26" s="1"/>
  <c r="AI56" i="26"/>
  <c r="AH56" i="26"/>
  <c r="AC41" i="26"/>
  <c r="AC56" i="26" s="1"/>
  <c r="AA41" i="26"/>
  <c r="AA56" i="26" s="1"/>
  <c r="O56" i="26"/>
  <c r="AP56" i="26"/>
  <c r="R56" i="26"/>
  <c r="I56" i="26"/>
  <c r="P56" i="26"/>
  <c r="S56" i="26"/>
  <c r="AY39" i="26"/>
  <c r="AY44" i="26"/>
  <c r="H43" i="26"/>
  <c r="AD56" i="26"/>
  <c r="AY37" i="26"/>
  <c r="AT56" i="26"/>
  <c r="V56" i="26"/>
  <c r="N56" i="26"/>
  <c r="AS56" i="26"/>
  <c r="U56" i="26"/>
  <c r="M56" i="26"/>
  <c r="AL57" i="26"/>
  <c r="AS57" i="26"/>
  <c r="AQ56" i="26"/>
  <c r="AN56" i="26"/>
  <c r="AO57" i="26"/>
  <c r="AM57" i="26"/>
  <c r="AZ86" i="26"/>
  <c r="AL52" i="26"/>
  <c r="AN52" i="26"/>
  <c r="AQ52" i="26"/>
  <c r="AQ77" i="26"/>
  <c r="AQ79" i="26" s="1"/>
  <c r="AQ80" i="26" s="1"/>
  <c r="AQ81" i="26" s="1"/>
  <c r="AO52" i="26"/>
  <c r="AN77" i="26"/>
  <c r="AN79" i="26" s="1"/>
  <c r="AN80" i="26" s="1"/>
  <c r="AN81" i="26" s="1"/>
  <c r="AP52" i="26"/>
  <c r="AP77" i="26"/>
  <c r="AP79" i="26" s="1"/>
  <c r="AP80" i="26" s="1"/>
  <c r="AP81" i="26" s="1"/>
  <c r="AR52" i="26"/>
  <c r="AR78" i="26"/>
  <c r="AS52" i="26"/>
  <c r="AM52" i="26"/>
  <c r="AO78" i="26"/>
  <c r="AS78" i="26"/>
  <c r="AL78" i="26"/>
  <c r="AM78" i="26"/>
  <c r="BN86" i="26" l="1"/>
  <c r="BM86" i="26"/>
  <c r="BL86" i="26"/>
  <c r="BJ86" i="26"/>
  <c r="BK86" i="26"/>
  <c r="BI86" i="26"/>
  <c r="H56" i="26"/>
  <c r="AR42" i="26"/>
  <c r="AR40" i="26"/>
  <c r="AQ40" i="26"/>
  <c r="AN42" i="26"/>
  <c r="AQ42" i="26"/>
  <c r="AN40" i="26"/>
  <c r="AP42" i="26"/>
  <c r="AL32" i="26"/>
  <c r="AL42" i="26" s="1"/>
  <c r="AZ44" i="26"/>
  <c r="AP40" i="26"/>
  <c r="AY29" i="26"/>
  <c r="AY28" i="26"/>
  <c r="AS32" i="26"/>
  <c r="AS40" i="26" s="1"/>
  <c r="AY31" i="26"/>
  <c r="AM32" i="26"/>
  <c r="AM42" i="26" s="1"/>
  <c r="AY43" i="26"/>
  <c r="AY41" i="26"/>
  <c r="AQ60" i="26"/>
  <c r="AO60" i="26"/>
  <c r="AO59" i="26"/>
  <c r="AP60" i="26"/>
  <c r="AR60" i="26"/>
  <c r="AN60" i="26"/>
  <c r="BN44" i="26" l="1"/>
  <c r="BM44" i="26"/>
  <c r="BJ44" i="26"/>
  <c r="BI44" i="26"/>
  <c r="BL44" i="26"/>
  <c r="BK44" i="26"/>
  <c r="AR59" i="26"/>
  <c r="AY56" i="26"/>
  <c r="AN59" i="26"/>
  <c r="AL40" i="26"/>
  <c r="AL59" i="26" s="1"/>
  <c r="AQ59" i="26"/>
  <c r="AP59" i="26"/>
  <c r="AS42" i="26"/>
  <c r="AM40" i="26"/>
  <c r="AM59" i="26" s="1"/>
  <c r="AS60" i="26"/>
  <c r="AN61" i="26"/>
  <c r="AN62" i="26" s="1"/>
  <c r="AO61" i="26"/>
  <c r="AO62" i="26" s="1"/>
  <c r="AQ61" i="26"/>
  <c r="AQ62" i="26" s="1"/>
  <c r="AP61" i="26"/>
  <c r="AP62" i="26" s="1"/>
  <c r="AR61" i="26"/>
  <c r="AR62" i="26" s="1"/>
  <c r="AL60" i="26"/>
  <c r="AM60" i="26"/>
  <c r="AS59" i="26" l="1"/>
  <c r="AS61" i="26"/>
  <c r="AS62" i="26" s="1"/>
  <c r="AL61" i="26"/>
  <c r="AL62" i="26" s="1"/>
  <c r="AM61" i="26"/>
  <c r="AM62" i="26" s="1"/>
  <c r="H65" i="26" l="1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K35" i="26"/>
  <c r="AT35" i="26"/>
  <c r="AU35" i="26"/>
  <c r="AW29" i="26"/>
  <c r="AW28" i="26"/>
  <c r="AW27" i="26"/>
  <c r="AU4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AT53" i="26"/>
  <c r="AU53" i="26"/>
  <c r="K53" i="26"/>
  <c r="J53" i="26"/>
  <c r="I53" i="26"/>
  <c r="H53" i="26"/>
  <c r="I36" i="26"/>
  <c r="J36" i="26"/>
  <c r="K36" i="26"/>
  <c r="L36" i="26"/>
  <c r="M36" i="26"/>
  <c r="N36" i="26"/>
  <c r="O36" i="26"/>
  <c r="P36" i="26"/>
  <c r="Q36" i="26"/>
  <c r="R36" i="26"/>
  <c r="R54" i="26" s="1"/>
  <c r="S36" i="26"/>
  <c r="S54" i="26" s="1"/>
  <c r="T36" i="26"/>
  <c r="T54" i="26" s="1"/>
  <c r="U36" i="26"/>
  <c r="U54" i="26" s="1"/>
  <c r="V36" i="26"/>
  <c r="V54" i="26" s="1"/>
  <c r="W36" i="26"/>
  <c r="W54" i="26" s="1"/>
  <c r="X36" i="26"/>
  <c r="X54" i="26" s="1"/>
  <c r="Y36" i="26"/>
  <c r="Y54" i="26" s="1"/>
  <c r="Z36" i="26"/>
  <c r="Z54" i="26" s="1"/>
  <c r="AA36" i="26"/>
  <c r="AA54" i="26" s="1"/>
  <c r="AB36" i="26"/>
  <c r="AB54" i="26" s="1"/>
  <c r="AC36" i="26"/>
  <c r="AC54" i="26" s="1"/>
  <c r="AD36" i="26"/>
  <c r="AD54" i="26" s="1"/>
  <c r="AE36" i="26"/>
  <c r="AE54" i="26" s="1"/>
  <c r="AF36" i="26"/>
  <c r="AF54" i="26" s="1"/>
  <c r="AG36" i="26"/>
  <c r="AG54" i="26" s="1"/>
  <c r="AH36" i="26"/>
  <c r="AH54" i="26" s="1"/>
  <c r="AI36" i="26"/>
  <c r="AI54" i="26" s="1"/>
  <c r="AJ36" i="26"/>
  <c r="AJ54" i="26" s="1"/>
  <c r="AK36" i="26"/>
  <c r="AK54" i="26" s="1"/>
  <c r="AT36" i="26"/>
  <c r="AT54" i="26" s="1"/>
  <c r="AU36" i="26"/>
  <c r="AU54" i="26" s="1"/>
  <c r="AW54" i="26" s="1"/>
  <c r="H36" i="26"/>
  <c r="H35" i="26"/>
  <c r="AZ9" i="26"/>
  <c r="AW10" i="26"/>
  <c r="BN9" i="26" l="1"/>
  <c r="BM9" i="26"/>
  <c r="BJ9" i="26"/>
  <c r="BL9" i="26"/>
  <c r="BK9" i="26"/>
  <c r="BI9" i="26"/>
  <c r="M54" i="26"/>
  <c r="L54" i="26"/>
  <c r="N54" i="26"/>
  <c r="J54" i="26"/>
  <c r="Q54" i="26"/>
  <c r="I54" i="26"/>
  <c r="K54" i="26"/>
  <c r="P54" i="26"/>
  <c r="O54" i="26"/>
  <c r="AY53" i="26"/>
  <c r="AY35" i="26"/>
  <c r="H54" i="26"/>
  <c r="AY36" i="26"/>
  <c r="AJ57" i="26"/>
  <c r="T57" i="26"/>
  <c r="J57" i="26"/>
  <c r="AI57" i="26"/>
  <c r="AA57" i="26"/>
  <c r="S57" i="26"/>
  <c r="H57" i="26"/>
  <c r="I57" i="26"/>
  <c r="AB57" i="26"/>
  <c r="K57" i="26"/>
  <c r="AH57" i="26"/>
  <c r="Z57" i="26"/>
  <c r="R57" i="26"/>
  <c r="AK57" i="26"/>
  <c r="U57" i="26"/>
  <c r="Y57" i="26"/>
  <c r="Q57" i="26"/>
  <c r="M57" i="26"/>
  <c r="AF57" i="26"/>
  <c r="X57" i="26"/>
  <c r="P57" i="26"/>
  <c r="AC57" i="26"/>
  <c r="L57" i="26"/>
  <c r="AU57" i="26"/>
  <c r="AE57" i="26"/>
  <c r="W57" i="26"/>
  <c r="O57" i="26"/>
  <c r="AG57" i="26"/>
  <c r="AT57" i="26"/>
  <c r="AD57" i="26"/>
  <c r="V57" i="26"/>
  <c r="N57" i="26"/>
  <c r="S32" i="26"/>
  <c r="K32" i="26"/>
  <c r="AH32" i="26"/>
  <c r="O32" i="26"/>
  <c r="R32" i="26"/>
  <c r="AT32" i="26"/>
  <c r="AD32" i="26"/>
  <c r="V32" i="26"/>
  <c r="N32" i="26"/>
  <c r="Z32" i="26"/>
  <c r="J32" i="26"/>
  <c r="AE32" i="26"/>
  <c r="AK32" i="26"/>
  <c r="AC32" i="26"/>
  <c r="U32" i="26"/>
  <c r="M32" i="26"/>
  <c r="AA32" i="26"/>
  <c r="AJ32" i="26"/>
  <c r="T32" i="26"/>
  <c r="AG32" i="26"/>
  <c r="Y32" i="26"/>
  <c r="Q32" i="26"/>
  <c r="AI32" i="26"/>
  <c r="I32" i="26"/>
  <c r="AF32" i="26"/>
  <c r="X32" i="26"/>
  <c r="P32" i="26"/>
  <c r="H32" i="26"/>
  <c r="AZ27" i="26"/>
  <c r="AZ29" i="26"/>
  <c r="AZ28" i="26"/>
  <c r="AW39" i="26"/>
  <c r="AZ10" i="26"/>
  <c r="AB32" i="26"/>
  <c r="L32" i="26"/>
  <c r="AU32" i="26"/>
  <c r="W32" i="26"/>
  <c r="AT46" i="26"/>
  <c r="AU46" i="26"/>
  <c r="AW46" i="26" s="1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K46" i="26"/>
  <c r="H46" i="26"/>
  <c r="AT87" i="26"/>
  <c r="AT76" i="26"/>
  <c r="AT78" i="26" s="1"/>
  <c r="AT65" i="26"/>
  <c r="AT64" i="26"/>
  <c r="AT55" i="26"/>
  <c r="AT45" i="26"/>
  <c r="AW25" i="26"/>
  <c r="AW24" i="26"/>
  <c r="BJ10" i="26" l="1"/>
  <c r="BI10" i="26"/>
  <c r="BL10" i="26"/>
  <c r="BN10" i="26"/>
  <c r="BM10" i="26"/>
  <c r="BK10" i="26"/>
  <c r="BN28" i="26"/>
  <c r="BM28" i="26"/>
  <c r="BL28" i="26"/>
  <c r="BK28" i="26"/>
  <c r="BI28" i="26"/>
  <c r="BJ28" i="26"/>
  <c r="BL27" i="26"/>
  <c r="BK27" i="26"/>
  <c r="BJ27" i="26"/>
  <c r="BI27" i="26"/>
  <c r="BN27" i="26"/>
  <c r="BM27" i="26"/>
  <c r="BN29" i="26"/>
  <c r="BM29" i="26"/>
  <c r="BJ29" i="26"/>
  <c r="BL29" i="26"/>
  <c r="BK29" i="26"/>
  <c r="BI29" i="26"/>
  <c r="AY54" i="26"/>
  <c r="AZ54" i="26" s="1"/>
  <c r="AW41" i="26"/>
  <c r="AU40" i="26"/>
  <c r="AU42" i="26"/>
  <c r="AY32" i="26"/>
  <c r="H40" i="26"/>
  <c r="Y40" i="26"/>
  <c r="Y42" i="26"/>
  <c r="AK40" i="26"/>
  <c r="AK42" i="26"/>
  <c r="R40" i="26"/>
  <c r="R42" i="26"/>
  <c r="AY46" i="26"/>
  <c r="AZ46" i="26" s="1"/>
  <c r="L42" i="26"/>
  <c r="L40" i="26"/>
  <c r="AG40" i="26"/>
  <c r="AG42" i="26"/>
  <c r="AE42" i="26"/>
  <c r="AE40" i="26"/>
  <c r="O42" i="26"/>
  <c r="O40" i="26"/>
  <c r="P40" i="26"/>
  <c r="P42" i="26"/>
  <c r="J42" i="26"/>
  <c r="J40" i="26"/>
  <c r="X40" i="26"/>
  <c r="X42" i="26"/>
  <c r="Z40" i="26"/>
  <c r="Z42" i="26"/>
  <c r="K40" i="26"/>
  <c r="K42" i="26"/>
  <c r="AF40" i="26"/>
  <c r="AF42" i="26"/>
  <c r="AA42" i="26"/>
  <c r="AA40" i="26"/>
  <c r="N42" i="26"/>
  <c r="N40" i="26"/>
  <c r="S42" i="26"/>
  <c r="S40" i="26"/>
  <c r="T42" i="26"/>
  <c r="T40" i="26"/>
  <c r="AH40" i="26"/>
  <c r="AH42" i="26"/>
  <c r="AJ42" i="26"/>
  <c r="AJ40" i="26"/>
  <c r="I40" i="26"/>
  <c r="I42" i="26"/>
  <c r="M40" i="26"/>
  <c r="M42" i="26"/>
  <c r="V42" i="26"/>
  <c r="V40" i="26"/>
  <c r="AB42" i="26"/>
  <c r="AB40" i="26"/>
  <c r="AI42" i="26"/>
  <c r="AI40" i="26"/>
  <c r="U40" i="26"/>
  <c r="U42" i="26"/>
  <c r="AD42" i="26"/>
  <c r="AD40" i="26"/>
  <c r="W40" i="26"/>
  <c r="W42" i="26"/>
  <c r="Q40" i="26"/>
  <c r="Q42" i="26"/>
  <c r="AC40" i="26"/>
  <c r="AC42" i="26"/>
  <c r="AT42" i="26"/>
  <c r="AT40" i="26"/>
  <c r="AY57" i="26"/>
  <c r="H42" i="26"/>
  <c r="AW43" i="26"/>
  <c r="AZ39" i="26"/>
  <c r="AZ25" i="26"/>
  <c r="AT52" i="26"/>
  <c r="AT77" i="26"/>
  <c r="AT79" i="26" s="1"/>
  <c r="AT80" i="26" s="1"/>
  <c r="AT81" i="26" s="1"/>
  <c r="AZ24" i="26"/>
  <c r="BL54" i="26" l="1"/>
  <c r="BK54" i="26"/>
  <c r="BJ54" i="26"/>
  <c r="BI54" i="26"/>
  <c r="BN54" i="26"/>
  <c r="BM54" i="26"/>
  <c r="BL46" i="26"/>
  <c r="BK46" i="26"/>
  <c r="BJ46" i="26"/>
  <c r="BI46" i="26"/>
  <c r="BN46" i="26"/>
  <c r="BM46" i="26"/>
  <c r="BN39" i="26"/>
  <c r="BM39" i="26"/>
  <c r="BL39" i="26"/>
  <c r="BK39" i="26"/>
  <c r="BJ39" i="26"/>
  <c r="BI39" i="26"/>
  <c r="BJ25" i="26"/>
  <c r="BI25" i="26"/>
  <c r="BL25" i="26"/>
  <c r="BM25" i="26"/>
  <c r="BK25" i="26"/>
  <c r="BN25" i="26"/>
  <c r="BN24" i="26"/>
  <c r="BM24" i="26"/>
  <c r="BJ24" i="26"/>
  <c r="BL24" i="26"/>
  <c r="BK24" i="26"/>
  <c r="BI24" i="26"/>
  <c r="AZ41" i="26"/>
  <c r="AF59" i="26"/>
  <c r="AY42" i="26"/>
  <c r="AY40" i="26"/>
  <c r="AI59" i="26"/>
  <c r="X59" i="26"/>
  <c r="AG59" i="26"/>
  <c r="Q59" i="26"/>
  <c r="Y59" i="26"/>
  <c r="AA59" i="26"/>
  <c r="J59" i="26"/>
  <c r="O59" i="26"/>
  <c r="AK59" i="26"/>
  <c r="AD59" i="26"/>
  <c r="V59" i="26"/>
  <c r="P59" i="26"/>
  <c r="AT59" i="26"/>
  <c r="M59" i="26"/>
  <c r="I59" i="26"/>
  <c r="S59" i="26"/>
  <c r="AE59" i="26"/>
  <c r="Z59" i="26"/>
  <c r="AH59" i="26"/>
  <c r="R59" i="26"/>
  <c r="AZ43" i="26"/>
  <c r="N59" i="26"/>
  <c r="T59" i="26"/>
  <c r="K59" i="26"/>
  <c r="U59" i="26"/>
  <c r="AC59" i="26"/>
  <c r="AJ59" i="26"/>
  <c r="H59" i="26"/>
  <c r="H60" i="26"/>
  <c r="AT60" i="26"/>
  <c r="L59" i="26"/>
  <c r="AB59" i="26"/>
  <c r="AU59" i="26"/>
  <c r="W59" i="26"/>
  <c r="BN43" i="26" l="1"/>
  <c r="BM43" i="26"/>
  <c r="BL43" i="26"/>
  <c r="BK43" i="26"/>
  <c r="BJ43" i="26"/>
  <c r="BI43" i="26"/>
  <c r="BJ41" i="26"/>
  <c r="BI41" i="26"/>
  <c r="BL41" i="26"/>
  <c r="BM41" i="26"/>
  <c r="BN41" i="26"/>
  <c r="BK41" i="26"/>
  <c r="AY59" i="26"/>
  <c r="AT61" i="26"/>
  <c r="AT62" i="26" s="1"/>
  <c r="AW93" i="26"/>
  <c r="AW92" i="26"/>
  <c r="AW91" i="26"/>
  <c r="AW90" i="26"/>
  <c r="AW89" i="26"/>
  <c r="AW88" i="26"/>
  <c r="AW85" i="26"/>
  <c r="AW82" i="26"/>
  <c r="AW75" i="26"/>
  <c r="AW72" i="26"/>
  <c r="AW71" i="26"/>
  <c r="AW68" i="26"/>
  <c r="AW67" i="26"/>
  <c r="AW63" i="26"/>
  <c r="AW58" i="26"/>
  <c r="AW51" i="26"/>
  <c r="AW50" i="26"/>
  <c r="AW49" i="26"/>
  <c r="AW48" i="26"/>
  <c r="AW47" i="26"/>
  <c r="AW38" i="26"/>
  <c r="AW37" i="26"/>
  <c r="AW36" i="26"/>
  <c r="AW32" i="26"/>
  <c r="AW31" i="26"/>
  <c r="AW22" i="26"/>
  <c r="AW19" i="26"/>
  <c r="AW14" i="26"/>
  <c r="AW15" i="26"/>
  <c r="AW16" i="26"/>
  <c r="AW17" i="26"/>
  <c r="AU87" i="26"/>
  <c r="AW87" i="26" s="1"/>
  <c r="AU76" i="26"/>
  <c r="AU77" i="26" s="1"/>
  <c r="AU79" i="26" s="1"/>
  <c r="AU80" i="26" s="1"/>
  <c r="AU81" i="26" s="1"/>
  <c r="AW81" i="26" s="1"/>
  <c r="AU65" i="26"/>
  <c r="AW65" i="26" s="1"/>
  <c r="AU64" i="26"/>
  <c r="AW64" i="26" s="1"/>
  <c r="AW57" i="26"/>
  <c r="AU55" i="26"/>
  <c r="AW55" i="26" s="1"/>
  <c r="AW53" i="26"/>
  <c r="AU45" i="26"/>
  <c r="AW13" i="26"/>
  <c r="AW11" i="26"/>
  <c r="AW8" i="26"/>
  <c r="AZ89" i="26" l="1"/>
  <c r="AZ68" i="26"/>
  <c r="AZ90" i="26"/>
  <c r="AZ93" i="26"/>
  <c r="AZ72" i="26"/>
  <c r="AW45" i="26"/>
  <c r="AZ88" i="26"/>
  <c r="AZ71" i="26"/>
  <c r="AZ38" i="26"/>
  <c r="AZ58" i="26"/>
  <c r="AZ85" i="26"/>
  <c r="AZ67" i="26"/>
  <c r="AZ48" i="26"/>
  <c r="AZ17" i="26"/>
  <c r="AZ49" i="26"/>
  <c r="AZ63" i="26"/>
  <c r="AZ47" i="26"/>
  <c r="AZ51" i="26"/>
  <c r="AZ36" i="26"/>
  <c r="AZ37" i="26"/>
  <c r="AZ50" i="26"/>
  <c r="AZ91" i="26"/>
  <c r="AW59" i="26"/>
  <c r="AZ82" i="26"/>
  <c r="AZ75" i="26"/>
  <c r="AU52" i="26"/>
  <c r="AZ22" i="26"/>
  <c r="AW66" i="26"/>
  <c r="AW80" i="26"/>
  <c r="AZ13" i="26"/>
  <c r="AZ16" i="26"/>
  <c r="AZ14" i="26"/>
  <c r="AZ15" i="26"/>
  <c r="AZ19" i="26"/>
  <c r="AZ92" i="26"/>
  <c r="AW40" i="26"/>
  <c r="AW42" i="26"/>
  <c r="AW76" i="26"/>
  <c r="AW77" i="26"/>
  <c r="AW35" i="26"/>
  <c r="AU78" i="26"/>
  <c r="AW78" i="26" s="1"/>
  <c r="AW79" i="26"/>
  <c r="BJ15" i="26" l="1"/>
  <c r="BI15" i="26"/>
  <c r="BL15" i="26"/>
  <c r="BN15" i="26"/>
  <c r="BM15" i="26"/>
  <c r="BK15" i="26"/>
  <c r="BN75" i="26"/>
  <c r="BM75" i="26"/>
  <c r="BL75" i="26"/>
  <c r="BK75" i="26"/>
  <c r="BJ75" i="26"/>
  <c r="BI75" i="26"/>
  <c r="BN47" i="26"/>
  <c r="BM47" i="26"/>
  <c r="BL47" i="26"/>
  <c r="BK47" i="26"/>
  <c r="BJ47" i="26"/>
  <c r="BI47" i="26"/>
  <c r="BL38" i="26"/>
  <c r="BK38" i="26"/>
  <c r="BJ38" i="26"/>
  <c r="BI38" i="26"/>
  <c r="BN38" i="26"/>
  <c r="BM38" i="26"/>
  <c r="BN93" i="26"/>
  <c r="BM93" i="26"/>
  <c r="BL93" i="26"/>
  <c r="BK93" i="26"/>
  <c r="BJ93" i="26"/>
  <c r="BI93" i="26"/>
  <c r="BN14" i="26"/>
  <c r="BM14" i="26"/>
  <c r="BJ14" i="26"/>
  <c r="BK14" i="26"/>
  <c r="BL14" i="26"/>
  <c r="BI14" i="26"/>
  <c r="BL16" i="26"/>
  <c r="BK16" i="26"/>
  <c r="BJ16" i="26"/>
  <c r="BI16" i="26"/>
  <c r="BN16" i="26"/>
  <c r="BM16" i="26"/>
  <c r="BJ91" i="26"/>
  <c r="BI91" i="26"/>
  <c r="BN91" i="26"/>
  <c r="BL91" i="26"/>
  <c r="BM91" i="26"/>
  <c r="BK91" i="26"/>
  <c r="BL82" i="26"/>
  <c r="BK82" i="26"/>
  <c r="BJ82" i="26"/>
  <c r="BI82" i="26"/>
  <c r="BN82" i="26"/>
  <c r="BM82" i="26"/>
  <c r="BJ71" i="26"/>
  <c r="BI71" i="26"/>
  <c r="BN71" i="26"/>
  <c r="BL71" i="26"/>
  <c r="BM71" i="26"/>
  <c r="BK71" i="26"/>
  <c r="BL88" i="26"/>
  <c r="BK88" i="26"/>
  <c r="BJ88" i="26"/>
  <c r="BI88" i="26"/>
  <c r="BN88" i="26"/>
  <c r="BM88" i="26"/>
  <c r="BN90" i="26"/>
  <c r="BM90" i="26"/>
  <c r="BL90" i="26"/>
  <c r="BJ90" i="26"/>
  <c r="BK90" i="26"/>
  <c r="BI90" i="26"/>
  <c r="BN13" i="26"/>
  <c r="BM13" i="26"/>
  <c r="BL13" i="26"/>
  <c r="BK13" i="26"/>
  <c r="BI13" i="26"/>
  <c r="BJ13" i="26"/>
  <c r="BN17" i="26"/>
  <c r="BM17" i="26"/>
  <c r="BL17" i="26"/>
  <c r="BK17" i="26"/>
  <c r="BJ17" i="26"/>
  <c r="BI17" i="26"/>
  <c r="BL50" i="26"/>
  <c r="BK50" i="26"/>
  <c r="BJ50" i="26"/>
  <c r="BI50" i="26"/>
  <c r="BN50" i="26"/>
  <c r="BM50" i="26"/>
  <c r="BN48" i="26"/>
  <c r="BM48" i="26"/>
  <c r="BJ48" i="26"/>
  <c r="BL48" i="26"/>
  <c r="BK48" i="26"/>
  <c r="BI48" i="26"/>
  <c r="BN68" i="26"/>
  <c r="BM68" i="26"/>
  <c r="BL68" i="26"/>
  <c r="BJ68" i="26"/>
  <c r="BI68" i="26"/>
  <c r="BK68" i="26"/>
  <c r="BN19" i="26"/>
  <c r="BM19" i="26"/>
  <c r="BJ19" i="26"/>
  <c r="BL19" i="26"/>
  <c r="BK19" i="26"/>
  <c r="BI19" i="26"/>
  <c r="BL58" i="26"/>
  <c r="BK58" i="26"/>
  <c r="BJ58" i="26"/>
  <c r="BI58" i="26"/>
  <c r="BN58" i="26"/>
  <c r="BM58" i="26"/>
  <c r="BN63" i="26"/>
  <c r="BM63" i="26"/>
  <c r="BL63" i="26"/>
  <c r="BK63" i="26"/>
  <c r="BI63" i="26"/>
  <c r="BJ63" i="26"/>
  <c r="BJ49" i="26"/>
  <c r="BI49" i="26"/>
  <c r="BL49" i="26"/>
  <c r="BN49" i="26"/>
  <c r="BM49" i="26"/>
  <c r="BK49" i="26"/>
  <c r="BJ37" i="26"/>
  <c r="BI37" i="26"/>
  <c r="BL37" i="26"/>
  <c r="BN37" i="26"/>
  <c r="BM37" i="26"/>
  <c r="BK37" i="26"/>
  <c r="BN67" i="26"/>
  <c r="BM67" i="26"/>
  <c r="BL67" i="26"/>
  <c r="BK67" i="26"/>
  <c r="BJ67" i="26"/>
  <c r="BI67" i="26"/>
  <c r="BL72" i="26"/>
  <c r="BK72" i="26"/>
  <c r="BJ72" i="26"/>
  <c r="BI72" i="26"/>
  <c r="BN72" i="26"/>
  <c r="BM72" i="26"/>
  <c r="BN51" i="26"/>
  <c r="BM51" i="26"/>
  <c r="BL51" i="26"/>
  <c r="BK51" i="26"/>
  <c r="BI51" i="26"/>
  <c r="BJ51" i="26"/>
  <c r="BL92" i="26"/>
  <c r="BK92" i="26"/>
  <c r="BJ92" i="26"/>
  <c r="BI92" i="26"/>
  <c r="BN92" i="26"/>
  <c r="BM92" i="26"/>
  <c r="BN22" i="26"/>
  <c r="BM22" i="26"/>
  <c r="BL22" i="26"/>
  <c r="BK22" i="26"/>
  <c r="BJ22" i="26"/>
  <c r="BI22" i="26"/>
  <c r="BN36" i="26"/>
  <c r="BM36" i="26"/>
  <c r="BJ36" i="26"/>
  <c r="BL36" i="26"/>
  <c r="BK36" i="26"/>
  <c r="BI36" i="26"/>
  <c r="BN85" i="26"/>
  <c r="BM85" i="26"/>
  <c r="BL85" i="26"/>
  <c r="BK85" i="26"/>
  <c r="BJ85" i="26"/>
  <c r="BI85" i="26"/>
  <c r="BN89" i="26"/>
  <c r="BM89" i="26"/>
  <c r="BL89" i="26"/>
  <c r="BK89" i="26"/>
  <c r="BJ89" i="26"/>
  <c r="BI89" i="26"/>
  <c r="AW52" i="26"/>
  <c r="AU60" i="26"/>
  <c r="AW56" i="26"/>
  <c r="AK87" i="26"/>
  <c r="AJ87" i="26"/>
  <c r="AI87" i="26"/>
  <c r="AH87" i="26"/>
  <c r="AG87" i="26"/>
  <c r="AF87" i="26"/>
  <c r="AE87" i="26"/>
  <c r="AD87" i="26"/>
  <c r="AC87" i="26"/>
  <c r="AB87" i="26"/>
  <c r="AK76" i="26"/>
  <c r="AK78" i="26" s="1"/>
  <c r="AJ76" i="26"/>
  <c r="AJ78" i="26" s="1"/>
  <c r="AI76" i="26"/>
  <c r="AI78" i="26" s="1"/>
  <c r="AH76" i="26"/>
  <c r="AH78" i="26" s="1"/>
  <c r="AF76" i="26"/>
  <c r="AF77" i="26" s="1"/>
  <c r="AF79" i="26" s="1"/>
  <c r="AF80" i="26" s="1"/>
  <c r="AF81" i="26" s="1"/>
  <c r="AE76" i="26"/>
  <c r="AE78" i="26" s="1"/>
  <c r="AD76" i="26"/>
  <c r="AD78" i="26" s="1"/>
  <c r="AC76" i="26"/>
  <c r="AC78" i="26" s="1"/>
  <c r="AB76" i="26"/>
  <c r="AB78" i="26" s="1"/>
  <c r="AK65" i="26"/>
  <c r="AJ65" i="26"/>
  <c r="AI65" i="26"/>
  <c r="AH65" i="26"/>
  <c r="AF65" i="26"/>
  <c r="AE65" i="26"/>
  <c r="AD65" i="26"/>
  <c r="AC65" i="26"/>
  <c r="AB65" i="26"/>
  <c r="AK64" i="26"/>
  <c r="AJ64" i="26"/>
  <c r="AI64" i="26"/>
  <c r="AH64" i="26"/>
  <c r="AF64" i="26"/>
  <c r="AE64" i="26"/>
  <c r="AD64" i="26"/>
  <c r="AC64" i="26"/>
  <c r="AB64" i="26"/>
  <c r="AK55" i="26"/>
  <c r="AJ55" i="26"/>
  <c r="AI55" i="26"/>
  <c r="AH55" i="26"/>
  <c r="AG55" i="26"/>
  <c r="AF55" i="26"/>
  <c r="AE55" i="26"/>
  <c r="AD55" i="26"/>
  <c r="AC55" i="26"/>
  <c r="AB55" i="26"/>
  <c r="AK45" i="26"/>
  <c r="AJ45" i="26"/>
  <c r="AI45" i="26"/>
  <c r="AH45" i="26"/>
  <c r="AF45" i="26"/>
  <c r="AE45" i="26"/>
  <c r="AD45" i="26"/>
  <c r="AC45" i="26"/>
  <c r="AB45" i="26"/>
  <c r="AG64" i="26"/>
  <c r="AA87" i="26"/>
  <c r="Z87" i="26"/>
  <c r="Y87" i="26"/>
  <c r="X87" i="26"/>
  <c r="W87" i="26"/>
  <c r="V87" i="26"/>
  <c r="U87" i="26"/>
  <c r="T87" i="26"/>
  <c r="S87" i="26"/>
  <c r="R87" i="26"/>
  <c r="AA76" i="26"/>
  <c r="AA78" i="26" s="1"/>
  <c r="Z76" i="26"/>
  <c r="Z78" i="26" s="1"/>
  <c r="Y76" i="26"/>
  <c r="Y78" i="26" s="1"/>
  <c r="X76" i="26"/>
  <c r="X77" i="26" s="1"/>
  <c r="X79" i="26" s="1"/>
  <c r="X80" i="26" s="1"/>
  <c r="X81" i="26" s="1"/>
  <c r="V76" i="26"/>
  <c r="V78" i="26" s="1"/>
  <c r="U76" i="26"/>
  <c r="U77" i="26" s="1"/>
  <c r="U79" i="26" s="1"/>
  <c r="U80" i="26" s="1"/>
  <c r="U81" i="26" s="1"/>
  <c r="T76" i="26"/>
  <c r="T77" i="26" s="1"/>
  <c r="T79" i="26" s="1"/>
  <c r="T80" i="26" s="1"/>
  <c r="T81" i="26" s="1"/>
  <c r="S76" i="26"/>
  <c r="S78" i="26" s="1"/>
  <c r="R76" i="26"/>
  <c r="R78" i="26" s="1"/>
  <c r="AA65" i="26"/>
  <c r="Z65" i="26"/>
  <c r="Y65" i="26"/>
  <c r="X65" i="26"/>
  <c r="V65" i="26"/>
  <c r="U65" i="26"/>
  <c r="T65" i="26"/>
  <c r="S65" i="26"/>
  <c r="R65" i="26"/>
  <c r="AA64" i="26"/>
  <c r="Z64" i="26"/>
  <c r="Y64" i="26"/>
  <c r="X64" i="26"/>
  <c r="V64" i="26"/>
  <c r="U64" i="26"/>
  <c r="T64" i="26"/>
  <c r="S64" i="26"/>
  <c r="R64" i="26"/>
  <c r="AA55" i="26"/>
  <c r="Z55" i="26"/>
  <c r="Y55" i="26"/>
  <c r="X55" i="26"/>
  <c r="W55" i="26"/>
  <c r="V55" i="26"/>
  <c r="U55" i="26"/>
  <c r="T55" i="26"/>
  <c r="S55" i="26"/>
  <c r="R55" i="26"/>
  <c r="AA45" i="26"/>
  <c r="Z45" i="26"/>
  <c r="Y45" i="26"/>
  <c r="X45" i="26"/>
  <c r="V45" i="26"/>
  <c r="U45" i="26"/>
  <c r="T45" i="26"/>
  <c r="S45" i="26"/>
  <c r="R45" i="26"/>
  <c r="W76" i="26"/>
  <c r="AF52" i="26" l="1"/>
  <c r="AB52" i="26"/>
  <c r="T52" i="26"/>
  <c r="AI52" i="26"/>
  <c r="U60" i="26"/>
  <c r="AC52" i="26"/>
  <c r="AU61" i="26"/>
  <c r="AW60" i="26"/>
  <c r="AD52" i="26"/>
  <c r="Z60" i="26"/>
  <c r="V52" i="26"/>
  <c r="AK52" i="26"/>
  <c r="S52" i="26"/>
  <c r="U52" i="26"/>
  <c r="T60" i="26"/>
  <c r="AJ52" i="26"/>
  <c r="AD77" i="26"/>
  <c r="AD79" i="26" s="1"/>
  <c r="AD80" i="26" s="1"/>
  <c r="AD81" i="26" s="1"/>
  <c r="AH52" i="26"/>
  <c r="AE52" i="26"/>
  <c r="AB77" i="26"/>
  <c r="AB79" i="26" s="1"/>
  <c r="AB80" i="26" s="1"/>
  <c r="AB81" i="26" s="1"/>
  <c r="AI77" i="26"/>
  <c r="AI79" i="26" s="1"/>
  <c r="AI80" i="26" s="1"/>
  <c r="AI81" i="26" s="1"/>
  <c r="AJ77" i="26"/>
  <c r="AJ79" i="26" s="1"/>
  <c r="AJ80" i="26" s="1"/>
  <c r="AJ81" i="26" s="1"/>
  <c r="AB60" i="26"/>
  <c r="AF78" i="26"/>
  <c r="R60" i="26"/>
  <c r="AA60" i="26"/>
  <c r="AC60" i="26"/>
  <c r="AK60" i="26"/>
  <c r="AG65" i="26"/>
  <c r="AG76" i="26"/>
  <c r="AC77" i="26"/>
  <c r="AC79" i="26" s="1"/>
  <c r="AC80" i="26" s="1"/>
  <c r="AC81" i="26" s="1"/>
  <c r="AK77" i="26"/>
  <c r="AK79" i="26" s="1"/>
  <c r="AK80" i="26" s="1"/>
  <c r="AK81" i="26" s="1"/>
  <c r="AJ60" i="26"/>
  <c r="AE60" i="26"/>
  <c r="AE77" i="26"/>
  <c r="AE79" i="26" s="1"/>
  <c r="AE80" i="26" s="1"/>
  <c r="AE81" i="26" s="1"/>
  <c r="AF60" i="26"/>
  <c r="AG45" i="26"/>
  <c r="AD60" i="26"/>
  <c r="AH60" i="26"/>
  <c r="AH77" i="26"/>
  <c r="AH79" i="26" s="1"/>
  <c r="AH80" i="26" s="1"/>
  <c r="AH81" i="26" s="1"/>
  <c r="Z52" i="26"/>
  <c r="AI60" i="26"/>
  <c r="Y60" i="26"/>
  <c r="V60" i="26"/>
  <c r="X52" i="26"/>
  <c r="V77" i="26"/>
  <c r="V79" i="26" s="1"/>
  <c r="V80" i="26" s="1"/>
  <c r="V81" i="26" s="1"/>
  <c r="Y52" i="26"/>
  <c r="Y77" i="26"/>
  <c r="Y79" i="26" s="1"/>
  <c r="Y80" i="26" s="1"/>
  <c r="Y81" i="26" s="1"/>
  <c r="R52" i="26"/>
  <c r="T78" i="26"/>
  <c r="AA52" i="26"/>
  <c r="S60" i="26"/>
  <c r="W78" i="26"/>
  <c r="W77" i="26"/>
  <c r="W79" i="26" s="1"/>
  <c r="W80" i="26" s="1"/>
  <c r="W81" i="26" s="1"/>
  <c r="W45" i="26"/>
  <c r="U78" i="26"/>
  <c r="X60" i="26"/>
  <c r="R77" i="26"/>
  <c r="R79" i="26" s="1"/>
  <c r="R80" i="26" s="1"/>
  <c r="R81" i="26" s="1"/>
  <c r="Z77" i="26"/>
  <c r="Z79" i="26" s="1"/>
  <c r="Z80" i="26" s="1"/>
  <c r="Z81" i="26" s="1"/>
  <c r="X78" i="26"/>
  <c r="W64" i="26"/>
  <c r="S77" i="26"/>
  <c r="S79" i="26" s="1"/>
  <c r="S80" i="26" s="1"/>
  <c r="S81" i="26" s="1"/>
  <c r="AA77" i="26"/>
  <c r="AA79" i="26" s="1"/>
  <c r="AA80" i="26" s="1"/>
  <c r="AA81" i="26" s="1"/>
  <c r="W65" i="26"/>
  <c r="W52" i="26" l="1"/>
  <c r="AG52" i="26"/>
  <c r="Y61" i="26"/>
  <c r="Y62" i="26" s="1"/>
  <c r="AK61" i="26"/>
  <c r="AK62" i="26" s="1"/>
  <c r="V61" i="26"/>
  <c r="V62" i="26" s="1"/>
  <c r="AE61" i="26"/>
  <c r="AE62" i="26" s="1"/>
  <c r="AA61" i="26"/>
  <c r="AA62" i="26" s="1"/>
  <c r="AJ61" i="26"/>
  <c r="AJ62" i="26" s="1"/>
  <c r="R61" i="26"/>
  <c r="R62" i="26" s="1"/>
  <c r="T61" i="26"/>
  <c r="T62" i="26" s="1"/>
  <c r="Z61" i="26"/>
  <c r="Z62" i="26" s="1"/>
  <c r="AF61" i="26"/>
  <c r="AF62" i="26" s="1"/>
  <c r="AC61" i="26"/>
  <c r="AC62" i="26" s="1"/>
  <c r="X61" i="26"/>
  <c r="X62" i="26" s="1"/>
  <c r="AH61" i="26"/>
  <c r="AH62" i="26" s="1"/>
  <c r="S61" i="26"/>
  <c r="S62" i="26" s="1"/>
  <c r="U61" i="26"/>
  <c r="U62" i="26" s="1"/>
  <c r="AD61" i="26"/>
  <c r="AD62" i="26" s="1"/>
  <c r="AB61" i="26"/>
  <c r="AB62" i="26" s="1"/>
  <c r="AI61" i="26"/>
  <c r="AI62" i="26" s="1"/>
  <c r="AU62" i="26"/>
  <c r="AW62" i="26" s="1"/>
  <c r="AW61" i="26"/>
  <c r="AG77" i="26"/>
  <c r="AG79" i="26" s="1"/>
  <c r="AG80" i="26" s="1"/>
  <c r="AG81" i="26" s="1"/>
  <c r="AG78" i="26"/>
  <c r="AG60" i="26"/>
  <c r="W60" i="26"/>
  <c r="W61" i="26" l="1"/>
  <c r="W62" i="26" s="1"/>
  <c r="AG61" i="26"/>
  <c r="AG62" i="26" s="1"/>
  <c r="H76" i="26"/>
  <c r="I76" i="26"/>
  <c r="J76" i="26"/>
  <c r="K76" i="26"/>
  <c r="L76" i="26"/>
  <c r="N76" i="26"/>
  <c r="O76" i="26"/>
  <c r="P76" i="26"/>
  <c r="Q76" i="26"/>
  <c r="Q65" i="26"/>
  <c r="P65" i="26"/>
  <c r="O65" i="26"/>
  <c r="N65" i="26"/>
  <c r="L65" i="26"/>
  <c r="K65" i="26"/>
  <c r="J65" i="26"/>
  <c r="I65" i="26"/>
  <c r="Q64" i="26"/>
  <c r="P64" i="26"/>
  <c r="O64" i="26"/>
  <c r="N64" i="26"/>
  <c r="L64" i="26"/>
  <c r="K64" i="26"/>
  <c r="J64" i="26"/>
  <c r="I64" i="26"/>
  <c r="Q55" i="26"/>
  <c r="P55" i="26"/>
  <c r="O55" i="26"/>
  <c r="N55" i="26"/>
  <c r="M55" i="26"/>
  <c r="L55" i="26"/>
  <c r="K55" i="26"/>
  <c r="J55" i="26"/>
  <c r="I55" i="26"/>
  <c r="Q45" i="26"/>
  <c r="P45" i="26"/>
  <c r="O45" i="26"/>
  <c r="N45" i="26"/>
  <c r="L45" i="26"/>
  <c r="K45" i="26"/>
  <c r="J45" i="26"/>
  <c r="I45" i="26"/>
  <c r="H64" i="26"/>
  <c r="H55" i="26"/>
  <c r="H45" i="26"/>
  <c r="Q87" i="26"/>
  <c r="P87" i="26"/>
  <c r="O87" i="26"/>
  <c r="N87" i="26"/>
  <c r="M87" i="26"/>
  <c r="L87" i="26"/>
  <c r="K87" i="26"/>
  <c r="J87" i="26"/>
  <c r="I87" i="26"/>
  <c r="H87" i="26"/>
  <c r="I77" i="26" l="1"/>
  <c r="P77" i="26"/>
  <c r="Q77" i="26"/>
  <c r="O77" i="26"/>
  <c r="J78" i="26"/>
  <c r="L78" i="26"/>
  <c r="N77" i="26"/>
  <c r="K78" i="26"/>
  <c r="AY87" i="26"/>
  <c r="AZ87" i="26" s="1"/>
  <c r="AY55" i="26"/>
  <c r="AZ55" i="26" s="1"/>
  <c r="AZ53" i="26"/>
  <c r="AZ35" i="26"/>
  <c r="N52" i="26"/>
  <c r="Q52" i="26"/>
  <c r="I52" i="26"/>
  <c r="J52" i="26"/>
  <c r="L52" i="26"/>
  <c r="L60" i="26"/>
  <c r="O52" i="26"/>
  <c r="K52" i="26"/>
  <c r="N60" i="26"/>
  <c r="P52" i="26"/>
  <c r="H52" i="26"/>
  <c r="O60" i="26"/>
  <c r="P60" i="26"/>
  <c r="I60" i="26"/>
  <c r="Q60" i="26"/>
  <c r="J60" i="26"/>
  <c r="K60" i="26"/>
  <c r="J77" i="26"/>
  <c r="K77" i="26"/>
  <c r="N78" i="26"/>
  <c r="L77" i="26"/>
  <c r="O78" i="26"/>
  <c r="P78" i="26"/>
  <c r="I78" i="26"/>
  <c r="Q78" i="26"/>
  <c r="BJ87" i="26" l="1"/>
  <c r="BI87" i="26"/>
  <c r="BN87" i="26"/>
  <c r="BL87" i="26"/>
  <c r="BM87" i="26"/>
  <c r="BK87" i="26"/>
  <c r="BN55" i="26"/>
  <c r="BM55" i="26"/>
  <c r="BL55" i="26"/>
  <c r="BK55" i="26"/>
  <c r="BJ55" i="26"/>
  <c r="BI55" i="26"/>
  <c r="BN35" i="26"/>
  <c r="BM35" i="26"/>
  <c r="BL35" i="26"/>
  <c r="BK35" i="26"/>
  <c r="BJ35" i="26"/>
  <c r="BI35" i="26"/>
  <c r="BJ53" i="26"/>
  <c r="BI53" i="26"/>
  <c r="BL53" i="26"/>
  <c r="BN53" i="26"/>
  <c r="BM53" i="26"/>
  <c r="BK53" i="26"/>
  <c r="K79" i="26"/>
  <c r="P79" i="26"/>
  <c r="N79" i="26"/>
  <c r="L79" i="26"/>
  <c r="J79" i="26"/>
  <c r="O79" i="26"/>
  <c r="Q79" i="26"/>
  <c r="I79" i="26"/>
  <c r="I61" i="26"/>
  <c r="O61" i="26"/>
  <c r="L61" i="26"/>
  <c r="Q61" i="26"/>
  <c r="P61" i="26"/>
  <c r="N61" i="26"/>
  <c r="K61" i="26"/>
  <c r="J61" i="26"/>
  <c r="N80" i="26" l="1"/>
  <c r="P62" i="26"/>
  <c r="Q62" i="26"/>
  <c r="J62" i="26"/>
  <c r="O80" i="26"/>
  <c r="N62" i="26"/>
  <c r="L80" i="26"/>
  <c r="K62" i="26"/>
  <c r="I80" i="26"/>
  <c r="P80" i="26"/>
  <c r="Q80" i="26"/>
  <c r="J80" i="26"/>
  <c r="L62" i="26"/>
  <c r="O62" i="26"/>
  <c r="I62" i="26"/>
  <c r="K80" i="26"/>
  <c r="H61" i="26"/>
  <c r="M76" i="26"/>
  <c r="AZ40" i="26"/>
  <c r="M65" i="26"/>
  <c r="AZ57" i="26"/>
  <c r="AZ42" i="26"/>
  <c r="M45" i="26"/>
  <c r="M64" i="26"/>
  <c r="BN40" i="26" l="1"/>
  <c r="BM40" i="26"/>
  <c r="BJ40" i="26"/>
  <c r="BK40" i="26"/>
  <c r="BI40" i="26"/>
  <c r="BL40" i="26"/>
  <c r="BL42" i="26"/>
  <c r="BK42" i="26"/>
  <c r="BJ42" i="26"/>
  <c r="BI42" i="26"/>
  <c r="BN42" i="26"/>
  <c r="BM42" i="26"/>
  <c r="BJ57" i="26"/>
  <c r="BI57" i="26"/>
  <c r="BL57" i="26"/>
  <c r="BN57" i="26"/>
  <c r="BM57" i="26"/>
  <c r="BK57" i="26"/>
  <c r="Q81" i="26"/>
  <c r="L81" i="26"/>
  <c r="K81" i="26"/>
  <c r="J81" i="26"/>
  <c r="P81" i="26"/>
  <c r="I81" i="26"/>
  <c r="O81" i="26"/>
  <c r="N81" i="26"/>
  <c r="AY76" i="26"/>
  <c r="AZ76" i="26" s="1"/>
  <c r="AY64" i="26"/>
  <c r="AZ64" i="26" s="1"/>
  <c r="AY45" i="26"/>
  <c r="AZ45" i="26" s="1"/>
  <c r="AY65" i="26"/>
  <c r="AZ65" i="26" s="1"/>
  <c r="M52" i="26"/>
  <c r="H62" i="26"/>
  <c r="AZ59" i="26"/>
  <c r="M77" i="26"/>
  <c r="M78" i="26"/>
  <c r="BJ65" i="26" l="1"/>
  <c r="BI65" i="26"/>
  <c r="BN65" i="26"/>
  <c r="BL65" i="26"/>
  <c r="BM65" i="26"/>
  <c r="BK65" i="26"/>
  <c r="BN76" i="26"/>
  <c r="BM76" i="26"/>
  <c r="BL76" i="26"/>
  <c r="BJ76" i="26"/>
  <c r="BK76" i="26"/>
  <c r="BI76" i="26"/>
  <c r="BJ45" i="26"/>
  <c r="BI45" i="26"/>
  <c r="BL45" i="26"/>
  <c r="BN45" i="26"/>
  <c r="BK45" i="26"/>
  <c r="BM45" i="26"/>
  <c r="BN64" i="26"/>
  <c r="BM64" i="26"/>
  <c r="BL64" i="26"/>
  <c r="BJ64" i="26"/>
  <c r="BK64" i="26"/>
  <c r="BI64" i="26"/>
  <c r="BN59" i="26"/>
  <c r="BM59" i="26"/>
  <c r="BL59" i="26"/>
  <c r="BK59" i="26"/>
  <c r="BJ59" i="26"/>
  <c r="BI59" i="26"/>
  <c r="M79" i="26"/>
  <c r="AY52" i="26"/>
  <c r="AZ52" i="26" s="1"/>
  <c r="AY66" i="26"/>
  <c r="AZ66" i="26" s="1"/>
  <c r="M60" i="26"/>
  <c r="AZ56" i="26"/>
  <c r="BL66" i="26" l="1"/>
  <c r="BK66" i="26"/>
  <c r="BJ66" i="26"/>
  <c r="BI66" i="26"/>
  <c r="BN66" i="26"/>
  <c r="BM66" i="26"/>
  <c r="BN56" i="26"/>
  <c r="BM56" i="26"/>
  <c r="BJ56" i="26"/>
  <c r="BL56" i="26"/>
  <c r="BI56" i="26"/>
  <c r="BK56" i="26"/>
  <c r="BN52" i="26"/>
  <c r="BM52" i="26"/>
  <c r="BJ52" i="26"/>
  <c r="BK52" i="26"/>
  <c r="BL52" i="26"/>
  <c r="BI52" i="26"/>
  <c r="M80" i="26"/>
  <c r="AY60" i="26"/>
  <c r="AZ60" i="26" s="1"/>
  <c r="M61" i="26"/>
  <c r="AZ11" i="26"/>
  <c r="H77" i="26"/>
  <c r="BL11" i="26" l="1"/>
  <c r="BK11" i="26"/>
  <c r="BJ11" i="26"/>
  <c r="BI11" i="26"/>
  <c r="BN11" i="26"/>
  <c r="BM11" i="26"/>
  <c r="BN60" i="26"/>
  <c r="BM60" i="26"/>
  <c r="BJ60" i="26"/>
  <c r="BL60" i="26"/>
  <c r="BK60" i="26"/>
  <c r="BI60" i="26"/>
  <c r="M81" i="26"/>
  <c r="AY61" i="26"/>
  <c r="AZ61" i="26" s="1"/>
  <c r="AY77" i="26"/>
  <c r="AZ77" i="26" s="1"/>
  <c r="M62" i="26"/>
  <c r="H79" i="26"/>
  <c r="H78" i="26"/>
  <c r="BJ61" i="26" l="1"/>
  <c r="BI61" i="26"/>
  <c r="BL61" i="26"/>
  <c r="BM61" i="26"/>
  <c r="BK61" i="26"/>
  <c r="BN61" i="26"/>
  <c r="BJ77" i="26"/>
  <c r="BI77" i="26"/>
  <c r="BN77" i="26"/>
  <c r="BL77" i="26"/>
  <c r="BK77" i="26"/>
  <c r="BM77" i="26"/>
  <c r="AY79" i="26"/>
  <c r="AZ79" i="26" s="1"/>
  <c r="AY78" i="26"/>
  <c r="AZ78" i="26" s="1"/>
  <c r="AY62" i="26"/>
  <c r="AZ62" i="26" s="1"/>
  <c r="H80" i="26"/>
  <c r="BL78" i="26" l="1"/>
  <c r="BK78" i="26"/>
  <c r="BJ78" i="26"/>
  <c r="BI78" i="26"/>
  <c r="BN78" i="26"/>
  <c r="BM78" i="26"/>
  <c r="BN79" i="26"/>
  <c r="BM79" i="26"/>
  <c r="BL79" i="26"/>
  <c r="BK79" i="26"/>
  <c r="BJ79" i="26"/>
  <c r="BI79" i="26"/>
  <c r="BL62" i="26"/>
  <c r="BK62" i="26"/>
  <c r="BJ62" i="26"/>
  <c r="BI62" i="26"/>
  <c r="BN62" i="26"/>
  <c r="BM62" i="26"/>
  <c r="AY80" i="26"/>
  <c r="AZ80" i="26" s="1"/>
  <c r="H81" i="26"/>
  <c r="BN80" i="26" l="1"/>
  <c r="BM80" i="26"/>
  <c r="BL80" i="26"/>
  <c r="BJ80" i="26"/>
  <c r="BK80" i="26"/>
  <c r="BI80" i="26"/>
  <c r="AY81" i="26"/>
  <c r="AZ81" i="26" s="1"/>
  <c r="BJ81" i="26" l="1"/>
  <c r="BI81" i="26"/>
  <c r="BN81" i="26"/>
  <c r="BL81" i="26"/>
  <c r="BM81" i="26"/>
  <c r="BK81" i="26"/>
  <c r="AZ31" i="26" l="1"/>
  <c r="AZ32" i="26"/>
  <c r="BL32" i="26" l="1"/>
  <c r="BK32" i="26"/>
  <c r="BJ32" i="26"/>
  <c r="BI32" i="26"/>
  <c r="BN32" i="26"/>
  <c r="BM32" i="26"/>
  <c r="BJ31" i="26"/>
  <c r="BI31" i="26"/>
  <c r="BL31" i="26"/>
  <c r="BK31" i="26"/>
  <c r="BN31" i="26"/>
  <c r="BM31" i="26"/>
  <c r="AZ8" i="26" l="1"/>
  <c r="BI8" i="26" s="1"/>
  <c r="BI7" i="26" l="1"/>
  <c r="BN84" i="26" l="1"/>
  <c r="BL84" i="26"/>
  <c r="BI84" i="26"/>
  <c r="BJ84" i="26"/>
  <c r="BK84" i="26"/>
  <c r="BM84" i="26"/>
  <c r="BL8" i="26" l="1"/>
  <c r="BK8" i="26" l="1"/>
  <c r="BJ8" i="26"/>
  <c r="BJ7" i="26" s="1"/>
  <c r="BN8" i="26"/>
  <c r="BL7" i="26"/>
  <c r="BM8" i="26"/>
  <c r="BK7" i="26" l="1"/>
  <c r="BN7" i="26"/>
  <c r="BM7" i="26"/>
  <c r="BN34" i="26" l="1"/>
  <c r="BM34" i="26"/>
  <c r="BK34" i="26"/>
  <c r="BJ34" i="26"/>
  <c r="BI34" i="26"/>
  <c r="BL34" i="26"/>
  <c r="BN70" i="26" l="1"/>
  <c r="BM70" i="26"/>
  <c r="BL70" i="26"/>
  <c r="BI70" i="26"/>
  <c r="BK70" i="26"/>
  <c r="BJ70" i="26"/>
  <c r="BI74" i="26" l="1"/>
  <c r="BI101" i="26" s="1"/>
  <c r="BL74" i="26"/>
  <c r="BL101" i="26" s="1"/>
  <c r="BM74" i="26"/>
  <c r="BM101" i="26" s="1"/>
  <c r="BK74" i="26"/>
  <c r="BK101" i="26" s="1"/>
  <c r="BJ74" i="26"/>
  <c r="BJ101" i="26" s="1"/>
  <c r="BN74" i="26"/>
  <c r="BN101" i="26" s="1"/>
  <c r="BI104" i="26" l="1"/>
</calcChain>
</file>

<file path=xl/sharedStrings.xml><?xml version="1.0" encoding="utf-8"?>
<sst xmlns="http://schemas.openxmlformats.org/spreadsheetml/2006/main" count="323" uniqueCount="186">
  <si>
    <t>W/O spare</t>
  </si>
  <si>
    <t>With spare</t>
  </si>
  <si>
    <t>Unit Price</t>
  </si>
  <si>
    <t>Total Price With Spare</t>
  </si>
  <si>
    <t>Item</t>
  </si>
  <si>
    <t xml:space="preserve">  </t>
  </si>
  <si>
    <t>Manufacturer</t>
  </si>
  <si>
    <t>Part no.</t>
  </si>
  <si>
    <t>Qty.</t>
  </si>
  <si>
    <t xml:space="preserve"> USD Foreign</t>
  </si>
  <si>
    <t>USD Local</t>
  </si>
  <si>
    <t>EURO Foreign</t>
  </si>
  <si>
    <t xml:space="preserve"> Euro Local</t>
  </si>
  <si>
    <t>EGP</t>
  </si>
  <si>
    <t>Service EGP</t>
  </si>
  <si>
    <t xml:space="preserve">PLC component </t>
  </si>
  <si>
    <t xml:space="preserve">IO </t>
  </si>
  <si>
    <t>HMI &amp; Communication</t>
  </si>
  <si>
    <t>Power Supply</t>
  </si>
  <si>
    <t>Panel Accessories (Relays, terminal block,MCB, Fuses, …etc)</t>
  </si>
  <si>
    <t>WAGO</t>
  </si>
  <si>
    <t>Relays, 24VDC, 1CO</t>
  </si>
  <si>
    <t>857-304</t>
  </si>
  <si>
    <t>Terminal Blocks, Feed through for 10mm 2wire</t>
  </si>
  <si>
    <t>2010-1201</t>
  </si>
  <si>
    <t>Earth Terminal Blocks for 10mm2 wire</t>
  </si>
  <si>
    <t>2010-1207</t>
  </si>
  <si>
    <t>Terminal Blocks, Feed through for 2.5mm2 wire</t>
  </si>
  <si>
    <t>2002-1201</t>
  </si>
  <si>
    <t>Fused Terminals (Fuse Holders) for 2.5mm2 wire</t>
  </si>
  <si>
    <t>2002-1611</t>
  </si>
  <si>
    <t>Panel Service Socket</t>
  </si>
  <si>
    <t>Schneider or Equ.</t>
  </si>
  <si>
    <t>Schneider/Siemens/Hager</t>
  </si>
  <si>
    <t>MCB, 2-pole 16A AC</t>
  </si>
  <si>
    <t>MCB, 2-pole 6A AC</t>
  </si>
  <si>
    <t>Relay and Isolator Labels</t>
  </si>
  <si>
    <t>2009-115</t>
  </si>
  <si>
    <t>Relay Cross connector (1 with 10 pins for each 10 relays)</t>
  </si>
  <si>
    <t>859-410</t>
  </si>
  <si>
    <t xml:space="preserve">Terminal Block Cover for Feed through 10mm2 </t>
  </si>
  <si>
    <t>2010-1291</t>
  </si>
  <si>
    <t xml:space="preserve">Terminal Block Cover for Feed through 2.5 mm2 </t>
  </si>
  <si>
    <t>2002-1291</t>
  </si>
  <si>
    <t>Terminal Block Cross Connector (1 with 10 pins for each 10 TBs)</t>
  </si>
  <si>
    <t>2002-410</t>
  </si>
  <si>
    <t>Fused Terminal Cross Connector (1 with 10 pins for each 10 TBs)</t>
  </si>
  <si>
    <t>2004-410</t>
  </si>
  <si>
    <t>Terminal Block Label (considered to be the same as Fuse holder Label)</t>
  </si>
  <si>
    <t>Terminal End Stop (Terminal lock)</t>
  </si>
  <si>
    <t>249-116</t>
  </si>
  <si>
    <t>Group marker carrier, gray</t>
  </si>
  <si>
    <t>249-119</t>
  </si>
  <si>
    <t>Terminal Group Label</t>
  </si>
  <si>
    <t>210-808</t>
  </si>
  <si>
    <t>Local</t>
  </si>
  <si>
    <t>Glass Fuses 5A</t>
  </si>
  <si>
    <t>Glass Fuses 1A</t>
  </si>
  <si>
    <t>Glass Fuses 0.5A</t>
  </si>
  <si>
    <t>Glass Fuses 0.1A</t>
  </si>
  <si>
    <t>Earth Bars</t>
  </si>
  <si>
    <t>Ethernet Cables CAT6, 2m</t>
  </si>
  <si>
    <t>Rittal</t>
  </si>
  <si>
    <t>Schneider</t>
  </si>
  <si>
    <t>Enclosure (PLC)</t>
  </si>
  <si>
    <t>SZ Connection cable, Infeed, 2-pole (with socket, without connector) - 5 per set</t>
  </si>
  <si>
    <t>Wiring plain pocket SZ2514 A4</t>
  </si>
  <si>
    <t>Panel Fan and Filter</t>
  </si>
  <si>
    <t>Panel Filter</t>
  </si>
  <si>
    <t>Panel Thermostat</t>
  </si>
  <si>
    <t>Panel Lamp</t>
  </si>
  <si>
    <t>Panel Door Switch</t>
  </si>
  <si>
    <t>Total</t>
  </si>
  <si>
    <t>Analog Isolator</t>
  </si>
  <si>
    <t>857-452</t>
  </si>
  <si>
    <t>Wago</t>
  </si>
  <si>
    <t>Controller PFC200; 2nd Generation; 2 x ETHERNET, RS-232/-485; Extreme</t>
  </si>
  <si>
    <t>750-8212/040-000</t>
  </si>
  <si>
    <t>2759-2290/211-1000</t>
  </si>
  <si>
    <t>Runtime; DNP3 Slave; Single License; Online activation</t>
  </si>
  <si>
    <t>8-channel digital input; 24 VDC; 3 ms; Extreme</t>
  </si>
  <si>
    <t>16-channel digital input; 24 VDC; 3 ms; Extreme</t>
  </si>
  <si>
    <t>750-430/040-000</t>
  </si>
  <si>
    <t>750-1405/040-000</t>
  </si>
  <si>
    <t>8-channel digital output; 24 VDC; 0.5 A; 2-conductor connection; Extreme</t>
  </si>
  <si>
    <t>750-1515/040-000</t>
  </si>
  <si>
    <t>4-channel analog input; 4 … 20 mA; Single-ended; Extreme</t>
  </si>
  <si>
    <t>750-455/040-000</t>
  </si>
  <si>
    <t>End Module; Extreme</t>
  </si>
  <si>
    <t>750-600/040-000</t>
  </si>
  <si>
    <t>762-3403</t>
  </si>
  <si>
    <t>Web Panel 400; 17.8 cm (7.0"); 1024 x 600 pixels; Web Panel</t>
  </si>
  <si>
    <t>power supply with integrated charger; 24 VDC output voltage; 5 A output;</t>
  </si>
  <si>
    <t>787-1675</t>
  </si>
  <si>
    <t>Pure Lead Battery Module; 24 VDC input voltage; Capacity: 13 Ah; with battery control</t>
  </si>
  <si>
    <t>787-878/001-3000</t>
  </si>
  <si>
    <t>Industrial-ECO-Switch; 5-port 100Base-TX; black</t>
  </si>
  <si>
    <t>852-111/000-001</t>
  </si>
  <si>
    <t>ID_Module</t>
  </si>
  <si>
    <t>sr</t>
  </si>
  <si>
    <t>Multimeter</t>
  </si>
  <si>
    <t>Memory Card</t>
  </si>
  <si>
    <t>758-879/000-2108</t>
  </si>
  <si>
    <t>SPARE PANEL</t>
  </si>
  <si>
    <t>Pilot lamps</t>
  </si>
  <si>
    <t>792-800</t>
  </si>
  <si>
    <t xml:space="preserve">Surge protection for analog signals </t>
  </si>
  <si>
    <t>750-602/040-000</t>
  </si>
  <si>
    <t>Fieldbus Coupler Modbus TCP; 4th generation; Extreme</t>
  </si>
  <si>
    <t>2002-2201</t>
  </si>
  <si>
    <t>788-341</t>
  </si>
  <si>
    <t>Relays, 24VDC, 1CO with manual operation</t>
  </si>
  <si>
    <t>788-117</t>
  </si>
  <si>
    <t>Jumper; for jumper slot; 8-way; insulated; light gray for realy with manual operation</t>
  </si>
  <si>
    <t>RTU</t>
  </si>
  <si>
    <t>750-362/040-000</t>
  </si>
  <si>
    <t>Power Supply; 24 VDC; Extreme</t>
  </si>
  <si>
    <t>RS-232/485 Serial Interface; Extreme</t>
  </si>
  <si>
    <t>750-652/040-000</t>
  </si>
  <si>
    <t>2002-2612</t>
  </si>
  <si>
    <t>Double-deck fuse terminal block;</t>
  </si>
  <si>
    <t>1-0-0-1-1-0</t>
  </si>
  <si>
    <t>0-1-1-1-1-1</t>
  </si>
  <si>
    <t>1-0-0-2-1-0</t>
  </si>
  <si>
    <t>0-1-0-2-1-0</t>
  </si>
  <si>
    <t>0-1-1-2-2-1</t>
  </si>
  <si>
    <t>0-1-1-2-1-1</t>
  </si>
  <si>
    <t>1-1-1-2-1-2</t>
  </si>
  <si>
    <t>0-2-1-2-2-2</t>
  </si>
  <si>
    <t>1-1-1-2-2-2</t>
  </si>
  <si>
    <t>1-1-1-3-2-2</t>
  </si>
  <si>
    <t>1-1-1-3-3-2</t>
  </si>
  <si>
    <t>1-1-1-3-2-1</t>
  </si>
  <si>
    <t>0-2-1-3-2-2</t>
  </si>
  <si>
    <t>1-1-1-3-1-2</t>
  </si>
  <si>
    <t>1-1-1-4-1-0</t>
  </si>
  <si>
    <t>0-2-1-4-2-3</t>
  </si>
  <si>
    <t>1-2-1-3-3-3</t>
  </si>
  <si>
    <t>0-2-1-4-2-2</t>
  </si>
  <si>
    <t>0-2-1-4-3-3</t>
  </si>
  <si>
    <t>1-1-1-5-1-0</t>
  </si>
  <si>
    <t>0-2-1-5-2-1</t>
  </si>
  <si>
    <t>1-2-1-4-3-3</t>
  </si>
  <si>
    <t>0-3-1-5-3-4</t>
  </si>
  <si>
    <t>0-3-1-5-2-4</t>
  </si>
  <si>
    <t>0-3-2-5-2-4</t>
  </si>
  <si>
    <t>1-2-2-5-2-2</t>
  </si>
  <si>
    <t>1-3-1-5-3-5</t>
  </si>
  <si>
    <t>1-2-1-7-2-2</t>
  </si>
  <si>
    <t>0-2-2-7-1-0</t>
  </si>
  <si>
    <t>0-2-2-8-1-0</t>
  </si>
  <si>
    <t>0-2-2-8-2-0</t>
  </si>
  <si>
    <t>1-2-2-8-1-0</t>
  </si>
  <si>
    <t>0-3-2-8-2-1</t>
  </si>
  <si>
    <t>1-2-2-9-1-0</t>
  </si>
  <si>
    <t>0-5-1-8-2-6</t>
  </si>
  <si>
    <t>0-3-2-10-1-0</t>
  </si>
  <si>
    <t>0-4-2-11-2-2</t>
  </si>
  <si>
    <t>0-4-2-13-1-0</t>
  </si>
  <si>
    <t>1-4-3-15-1-0</t>
  </si>
  <si>
    <t>IO Module Qty.</t>
  </si>
  <si>
    <t xml:space="preserve">Width </t>
  </si>
  <si>
    <t>Height</t>
  </si>
  <si>
    <t>Fused Terminals (Fuse Holders) for 2.5mm2 wire Marshllng</t>
  </si>
  <si>
    <t>Terminal Blocks, Feed through for 2.5mm2 wire MARSHALLING</t>
  </si>
  <si>
    <t>Enclosure WHD:600x800x300 mm GRP</t>
  </si>
  <si>
    <t>Enclosure WHD:800x1000x300 mm GRP</t>
  </si>
  <si>
    <t>2857-570/024-001</t>
  </si>
  <si>
    <t>3-Phase Power Measurement Module; 3x277/480 V/1 A; Modbus RTU</t>
  </si>
  <si>
    <t>855-4001/100-001</t>
  </si>
  <si>
    <t>Split-core current transformer; Primary rated current: 100 A; Secondary rated current: 1 A</t>
  </si>
  <si>
    <t>A9L40500</t>
  </si>
  <si>
    <t>iPRD40r modular surge arrester - 1P + N - 350V</t>
  </si>
  <si>
    <t>UPS Panel</t>
  </si>
  <si>
    <t>Intermediate Panel</t>
  </si>
  <si>
    <t>MIRO-L200 Industrial cellular router with NAT, VPN, firewall, 2 Ethernet</t>
  </si>
  <si>
    <t>INSYS icom</t>
  </si>
  <si>
    <t>8012-0099/0000-1145</t>
  </si>
  <si>
    <t>Antenna 10022961 ,Compact premium antenna for screw or wall</t>
  </si>
  <si>
    <t>8000-099/000-2992</t>
  </si>
  <si>
    <t>Double-deck terminal block MARSHALLING</t>
  </si>
  <si>
    <t>AX Compact enclosure, WHD: 380x600x210 mm, sheet steel</t>
  </si>
  <si>
    <t>USD</t>
  </si>
  <si>
    <t>Euro</t>
  </si>
  <si>
    <t>RATE</t>
  </si>
  <si>
    <t>Consumed DC Current(mA)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</si>
</sst>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EGP]\ * #,##0.00_);_([$EGP]\ * \(#,##0.00\);_([$EGP]\ * &quot;-&quot;??_);_(@_)"/>
    <numFmt numFmtId="165" formatCode="0.000"/>
    <numFmt numFmtId="166" formatCode="_-* #,##0.00_-;\-* #,##0.00_-;_-* &quot;-&quot;??_-;_-@_-"/>
    <numFmt numFmtId="167" formatCode="_([$USD]\ * #,##0.00_);_([$USD]\ * \(#,##0.00\);_([$USD]\ * &quot;-&quot;??_);_(@_)"/>
    <numFmt numFmtId="168" formatCode="_([$EUR]\ * #,##0.00_);_([$EUR]\ * \(#,##0.00\);_([$EUR]\ * &quot;-&quot;??_);_(@_)"/>
    <numFmt numFmtId="169" formatCode="_([$€-2]\ * #,##0.00_);_([$€-2]\ * \(#,##0.00\);_([$€-2]\ * &quot;-&quot;??_);_(@_)"/>
    <numFmt numFmtId="170" formatCode="_([$$-409]* #,##0.00_);_([$$-409]* \(#,##0.00\);_([$$-409]* &quot;-&quot;??_);_(@_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badi"/>
      <family val="2"/>
    </font>
    <font>
      <sz val="12"/>
      <color theme="1"/>
      <name val="Abadi"/>
      <family val="2"/>
    </font>
    <font>
      <b/>
      <sz val="8"/>
      <color rgb="FF000000"/>
      <name val="Inherit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8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0" fontId="2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9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0" fillId="0" borderId="1" xfId="0" applyBorder="1"/>
    <xf numFmtId="167" fontId="0" fillId="0" borderId="0" xfId="0" applyNumberFormat="1"/>
    <xf numFmtId="168" fontId="0" fillId="0" borderId="0" xfId="0" applyNumberFormat="1"/>
    <xf numFmtId="0" fontId="9" fillId="0" borderId="0" xfId="0" applyFont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9" fontId="1" fillId="6" borderId="1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9" fillId="7" borderId="0" xfId="0" applyFon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167" fontId="0" fillId="0" borderId="1" xfId="0" applyNumberFormat="1" applyBorder="1"/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7" fontId="1" fillId="6" borderId="1" xfId="0" applyNumberFormat="1" applyFont="1" applyFill="1" applyBorder="1" applyAlignment="1">
      <alignment horizontal="left"/>
    </xf>
    <xf numFmtId="167" fontId="0" fillId="2" borderId="5" xfId="0" applyNumberFormat="1" applyFill="1" applyBorder="1" applyAlignment="1">
      <alignment vertical="center"/>
    </xf>
    <xf numFmtId="168" fontId="1" fillId="6" borderId="1" xfId="0" applyNumberFormat="1" applyFont="1" applyFill="1" applyBorder="1" applyAlignment="1">
      <alignment horizontal="left"/>
    </xf>
    <xf numFmtId="168" fontId="0" fillId="0" borderId="1" xfId="0" applyNumberFormat="1" applyBorder="1"/>
    <xf numFmtId="168" fontId="0" fillId="2" borderId="5" xfId="0" applyNumberFormat="1" applyFill="1" applyBorder="1" applyAlignment="1">
      <alignment vertical="center"/>
    </xf>
    <xf numFmtId="164" fontId="1" fillId="6" borderId="1" xfId="0" applyNumberFormat="1" applyFont="1" applyFill="1" applyBorder="1" applyAlignment="1">
      <alignment horizontal="left"/>
    </xf>
    <xf numFmtId="168" fontId="0" fillId="0" borderId="1" xfId="0" applyNumberFormat="1" applyBorder="1" applyAlignment="1">
      <alignment horizontal="left"/>
    </xf>
    <xf numFmtId="168" fontId="0" fillId="6" borderId="1" xfId="0" applyNumberFormat="1" applyFill="1" applyBorder="1" applyAlignment="1">
      <alignment horizontal="left"/>
    </xf>
    <xf numFmtId="167" fontId="2" fillId="0" borderId="1" xfId="2" applyNumberFormat="1" applyFont="1" applyBorder="1"/>
    <xf numFmtId="167" fontId="0" fillId="6" borderId="1" xfId="0" applyNumberFormat="1" applyFill="1" applyBorder="1" applyAlignment="1">
      <alignment horizontal="left"/>
    </xf>
    <xf numFmtId="167" fontId="2" fillId="0" borderId="1" xfId="2" applyNumberFormat="1" applyFont="1" applyFill="1" applyBorder="1"/>
    <xf numFmtId="0" fontId="11" fillId="5" borderId="4" xfId="0" applyFont="1" applyFill="1" applyBorder="1" applyAlignment="1">
      <alignment horizontal="center" vertical="center" wrapText="1"/>
    </xf>
    <xf numFmtId="167" fontId="2" fillId="0" borderId="1" xfId="2" applyNumberFormat="1" applyFont="1" applyFill="1" applyBorder="1" applyAlignment="1">
      <alignment horizontal="left"/>
    </xf>
    <xf numFmtId="0" fontId="0" fillId="0" borderId="0" xfId="0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167" fontId="1" fillId="6" borderId="1" xfId="0" applyNumberFormat="1" applyFont="1" applyFill="1" applyBorder="1" applyAlignment="1">
      <alignment horizontal="left" vertical="center"/>
    </xf>
    <xf numFmtId="168" fontId="1" fillId="6" borderId="1" xfId="0" applyNumberFormat="1" applyFont="1" applyFill="1" applyBorder="1" applyAlignment="1">
      <alignment horizontal="left" vertical="center"/>
    </xf>
    <xf numFmtId="168" fontId="0" fillId="0" borderId="4" xfId="0" applyNumberFormat="1" applyBorder="1"/>
    <xf numFmtId="168" fontId="11" fillId="5" borderId="4" xfId="0" applyNumberFormat="1" applyFont="1" applyFill="1" applyBorder="1" applyAlignment="1">
      <alignment horizontal="center" vertical="center" wrapText="1"/>
    </xf>
    <xf numFmtId="168" fontId="0" fillId="6" borderId="4" xfId="0" applyNumberFormat="1" applyFill="1" applyBorder="1" applyAlignment="1">
      <alignment horizontal="center"/>
    </xf>
    <xf numFmtId="168" fontId="1" fillId="6" borderId="4" xfId="0" applyNumberFormat="1" applyFont="1" applyFill="1" applyBorder="1" applyAlignment="1">
      <alignment horizontal="left"/>
    </xf>
    <xf numFmtId="164" fontId="0" fillId="6" borderId="1" xfId="0" applyNumberFormat="1" applyFill="1" applyBorder="1"/>
    <xf numFmtId="164" fontId="1" fillId="6" borderId="1" xfId="0" applyNumberFormat="1" applyFont="1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left"/>
    </xf>
    <xf numFmtId="9" fontId="9" fillId="2" borderId="1" xfId="17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67" fontId="2" fillId="0" borderId="0" xfId="2" applyNumberFormat="1" applyFont="1" applyFill="1" applyBorder="1"/>
    <xf numFmtId="164" fontId="0" fillId="0" borderId="0" xfId="0" applyNumberFormat="1"/>
    <xf numFmtId="167" fontId="2" fillId="0" borderId="0" xfId="2" applyNumberFormat="1" applyFont="1" applyBorder="1"/>
    <xf numFmtId="168" fontId="0" fillId="0" borderId="0" xfId="0" applyNumberFormat="1" applyAlignment="1">
      <alignment horizontal="left"/>
    </xf>
    <xf numFmtId="170" fontId="0" fillId="0" borderId="1" xfId="0" applyNumberForma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8" fontId="0" fillId="3" borderId="1" xfId="0" applyNumberFormat="1" applyFill="1" applyBorder="1" applyAlignment="1">
      <alignment horizontal="left"/>
    </xf>
    <xf numFmtId="0" fontId="0" fillId="5" borderId="6" xfId="0" applyFill="1" applyBorder="1"/>
    <xf numFmtId="167" fontId="0" fillId="5" borderId="6" xfId="0" applyNumberFormat="1" applyFill="1" applyBorder="1"/>
    <xf numFmtId="0" fontId="10" fillId="4" borderId="3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</cellXfs>
  <cellStyles count="18">
    <cellStyle name="Comma 2" xfId="16" xr:uid="{033991A3-51A2-421E-9A08-4DC14192B7E9}"/>
    <cellStyle name="Comma 3" xfId="10" xr:uid="{B8EE0C5A-B9A1-4AEE-A7DE-0D84D6A36D1B}"/>
    <cellStyle name="Currency" xfId="2" builtinId="4"/>
    <cellStyle name="Normal" xfId="0" builtinId="0"/>
    <cellStyle name="Normal 2" xfId="5" xr:uid="{84AA3149-0EE8-4F11-BD4A-A78561A5A47A}"/>
    <cellStyle name="Normal 2 2 3 2" xfId="4" xr:uid="{05131606-5800-410C-A82C-5810D69E0DCA}"/>
    <cellStyle name="Normal 2 2 4" xfId="7" xr:uid="{5907BF3F-93E7-45DF-9112-E6295CD26ABC}"/>
    <cellStyle name="Normal 3" xfId="6" xr:uid="{F1D0B4B7-996D-4E47-B8DC-13D5122E77F9}"/>
    <cellStyle name="Normal 3 4" xfId="13" xr:uid="{6794AFE4-A040-44A0-A8C3-C0BA42E9C164}"/>
    <cellStyle name="Normal 4" xfId="1" xr:uid="{6961A064-FF65-4410-8171-88E1033D6996}"/>
    <cellStyle name="Normal 4 3" xfId="14" xr:uid="{051D50FB-69FF-41EB-8393-D6A5A6C14BA8}"/>
    <cellStyle name="Normal 4 3 2" xfId="3" xr:uid="{1D7006BE-35CA-413D-9AA5-D950872842B8}"/>
    <cellStyle name="Normal 5 2 2" xfId="12" xr:uid="{CA8AA92C-30BA-47C5-B716-9F48159FB417}"/>
    <cellStyle name="Normal 5 4" xfId="9" xr:uid="{9E5C1E3C-C777-43FA-B6A5-FF8CF35269F5}"/>
    <cellStyle name="Percent" xfId="17" builtinId="5"/>
    <cellStyle name="Percent 2" xfId="8" xr:uid="{8EE9B8DD-405E-4F5E-A8CB-7087CCCFA5B4}"/>
    <cellStyle name="Percent 2 2" xfId="15" xr:uid="{4335CA3E-ECD0-47BB-AED7-A62627BB8A25}"/>
    <cellStyle name="Percent 2 3" xfId="11" xr:uid="{0E1AB4E5-33B7-4F68-9A97-AE730BDC7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26" Type="http://schemas.openxmlformats.org/officeDocument/2006/relationships/externalLink" Target="externalLinks/externalLink22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16" Type="http://schemas.openxmlformats.org/officeDocument/2006/relationships/externalLink" Target="externalLinks/externalLink215.xml"/><Relationship Id="rId237" Type="http://schemas.openxmlformats.org/officeDocument/2006/relationships/externalLink" Target="externalLinks/externalLink236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theme" Target="theme/theme1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styles" Target="style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10" Type="http://schemas.openxmlformats.org/officeDocument/2006/relationships/externalLink" Target="externalLinks/externalLink20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sharedStrings" Target="sharedStrings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calcChain" Target="calcChain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customXml" Target="../customXml/item1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customXml" Target="../customXml/item2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customXml" Target="../customXml/item3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_OOTSUJI\&#20849;&#26377;\My%20Documents\ITEN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LWORK\PAITON\PROPOSAL\WOLVES\96'WORK\9610\TEC-IN\SCH-ALL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YL3\DAT\ENGFORM\ENG1\99173-2\ENG1\SRC-B3U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96;&#44032;&#54364;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11\Domestic\Substations\Samasta%20&amp;%20Sennores%2066-11kV%20(11T050-51)\internal%20ip\Sec%20ip\INTERNAL_Control%20and%20Protection_Rev%20A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11\Domestic\Substations\Samasta%20&amp;%20Sennores%2066-11kV%20(11T050-51)\internal%20ip\Sec%20ip\4%20-%20Control%20Cables\220kV%20Control%20Cables%20Calc_Bal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connt\Sales\projects\shallalat%20Hilton\shallalat%20hilt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connt\Sales\projects\&#1576;&#1585;&#1580;%20&#1585;&#1608;&#1590;%20&#1575;&#1604;&#1601;&#1585;&#1580;\calcul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inge\Preventivi\Stime\Varie\IAS\Termico\Analisi%20C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&#65411;&#65438;&#65405;&#65400;&#65412;&#65391;&#65420;&#65439;\&#26481;&#38651;%20&#24029;&#23822;\H10&#24180;&#24230;&#26908;&#3534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ACC\Sales\Beheiry\Beheiry%20Final\Torgoman\smart%20village\smart%20village%20-exhibtion%20h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abb.com\eg\PS\Substations\Bidding\2014\Domestic\Substation\Cairo%20Air%20Port%20Package%203%20(Civil,Medium%20&amp;%20Control)%20Tender%20No.01T014\SCM\Internal%20ip\sec\INTERNAL_Control%20and%20Protection_Rev%20A1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share\inge\Preventivi\Stime\Varie\IAS\Termico\Analisi%20C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995-%20SECON%20Nile%20Towers\Document%20Control\Received\Submittals\2014.11.17%20Data%20from%20Site\Falcon%20Towers%20Un-Priced%20BOQ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abb.com\eg\PS\Substations\Bidding\2014\Domestic\Substation\Cairo%20Air%20Port%20Package%203%20(Civil,Medium%20&amp;%20Control)%20Tender%20No.01T014\SCM\Internal%20ip\sec\4%20-%20Control%20Cables\220kV%20Control%20Cables%20Calc_Bala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efileserver\&#28779;&#12503;&#35373;$\WINDOWS\&#65411;&#65438;&#65405;&#65400;&#65412;&#65391;&#65420;&#65439;\&#26481;&#38651;%20&#24029;&#23822;\H10&#24180;&#24230;&#26908;&#3534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PROY-332%20Ca&#241;ete-Cayucupil%201-Informes\4-final-Informes\Ca&#241;ete\3-pu%20y%20presupuestos\PRESUP-%20ca&#241;ete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277A-EGY-PRELIMS%20FROM%20SIAC\Adel%20Reda\Final%20Contarct%20Doc\John%20Final\Merged%20BQ2Acoded%20Mai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BC6DF\AEc&#51077;&#52272;&#44204;&#51201;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Deedo\Desktop\004400\Users\Deedo\AppData\Roaming\Microsoft\Excel\Documents%20and%20Settings\user\Application%20Data\Microsoft\Excel\&#50980;&#51116;&#50672;\aproject\skec\TDI\BM\TDIB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s0007\24813\BOBW\PROCEDRS\PRIN_RPT\SUMRPTS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TO043\Trabalhos\1513\51-1513.02-Tubagem%20Butane\Lista%20de%20Tie-Ins\Trabalhos\Borealis\1321\07-Incendios%20MTBE\docum\1321_07_51_LT_001_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os0007\24813\BOBW\PROCEDRS\PRINCIPL\04_05B_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hmed%20gamal%20work\egypt%20projects\Alcatel%20Egypt%20(Etisalat%20Project)%2012-2-2009\Received\updated%20Qatar%20CW%20%20budget%20Study%20211020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1572-Central-Survival%20Plan\01-Caldeira%203%20-%20Fuel%20Gas%20para%20Queimadores%203&#186;%20N&#237;vel\51-Tubagem\Listas\Lista%20Linhas\1572.01-NM-0022-001-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Public\Users\ebrahimm\AppData\Local\Temp\Rar$DI01.785\Mahmoud%201\Smart%20Village\B135%20-%202nd%20Round%20(18-3-2009)\B-135%20(B.O.Q)\WINDOWS\TEMP\Projects\dummey\Book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11\Domestic\Substations\Abu%20Ghaleb%20&amp;%20Ashmoom%2066-11kV%20AIS%20(11T047-8)\Internal%20Input\Secondary\11%20Oct%20Rev%202\INTERNAL_Control%20and%20Protection_Rev%20A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abb.com\eg\Users\egtasab\AppData\Local\Microsoft\Windows\Temporary%20Internet%20Files\Content.Outlook\4LF0ZVAG\INTERNAL_Control%20and%20Protection_Rev%20A1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277A-EGY-PRELIMS%20FROM%20SIAC\MMOHSEN%20FILES\MY%20DOSUMENTS\Contract\Qatar\QNCC%204\revised%20bill\QNCC%204-revised%20bill%20for%20revi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11\Domestic\Substations\Abu%20Ghaleb%20&amp;%20Ashmoom%2066-11kV%20AIS%20(11T047-8)\Internal%20Input\Secondary\11%20Oct%20Rev%202\4%20-%20Control%20Cables\220kV%20Control%20Cables%20Calc_Bala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mad1802\100$\Documents%20and%20Settings\gaj\Configuraci&#243;n%20local\Archivos%20temporales%20de%20Internet\OLK5\MOR-0-VW-CLM-INM-001.0%20%20PRESUPUESTO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mad1802\100$\WINDOWS\Temporary%20Internet%20Files\Archivos%20temporales%20de%20Internet\OLKB0F3\Mediciones%20obra%20civi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mad1802\100$\WINDOWS\Archivos%20temporales%20de%20Internet\OLK8344\REPSOL-BPA-ESCOMBRERA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SBAST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710624\YAMASHITA\&#20303;&#20849;&#12288;&#22764;&#29983;&#24029;\FUJITA\niihama\&#12508;&#12452;&#12521;&#26412;&#20307;\&#26045;&#24037;&#35336;&#30011;\&#35201;&#38936;&#26360;\&#38651;&#21147;(25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\Muhtelif\Sablonlar\CBF-Bo&#351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995-%20SECON%20Nile%20Towers\Document%20Control\Received\Submittals\2014.11.17%20Data%20from%20Site\WINDOWS\TEMP\Projects\dummey\Book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995-%20SECON%20Nile%20Towers\Document%20Control\Received\Submittals\2014.11.17%20Data%20from%20Site\AHMED%20SHAKER%201\Falcon%20Tower%20Hotel%20-%20Maadi\Falcon%20Re-Tender\Retender%20Study%2008-12-2011\Documents\DOCS\Dumm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raining\S.S\green%20power%20%20mv-HV%20General%20plan\Congviec\Ta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mohamed.naga\Desktop\12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ricardo.PYSA2\Mis%20documentos\02.P-Licitaci&#243;n\IDAM\I.D.A.M.%20Andratx%20(Mallorca)%20(DRACE)%20(04-09-03)\I.D.A.M.%20ANDRATX.%20Rev-01%20(22-07-03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abb.com\eg\Users\egtasab\AppData\Local\Microsoft\Windows\Temporary%20Internet%20Files\Content.Outlook\4LF0ZVAG\4%20-%20Control%20Cables\220kV%20Control%20Cables%20Calc_Bala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Deedo\Desktop\004400\Users\Deedo\AppData\Roaming\Microsoft\Excel\A\yhchoi\PROJECT\Form\cost\cost%20For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PPS\QNA\HydroQuebec\Langlois%2520VFT\2002-06064\2002-06064%2520Quotesheet%2520rev%2520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Harris\PROJECT\EEA\2001-07905\Quotes\NW-SUEZ%20Rev%2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225_Process\Design\Equipment%20Data%20Sheet\Datasheets\Packages\016-F-070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HI-OF\IDAM\IDAM%20Mutxamel\Desalaci&#243;n\Dimensionamiento\Electricidad\HI-OF\OFERTA\EDAR\VALLADO\CFVALL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Deedo\Desktop\004400\Users\Deedo\AppData\Roaming\Microsoft\Excel\h\CHINA\PROJECT\CONTROL\CST_STA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sua\biphuoc\vilg-57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sua\biphuoc\tach-7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LOWLI\tra-tuy\thphuo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bu%20Qir%20STG%20-%20MHI\&#28023;&#22806;&#35211;&#31309;\&#12450;&#12476;&#12523;&#12496;&#12452;&#12472;&#12515;&#12531;\JEL%20&#24341;&#21512;\&#28023;&#22806;&#35211;&#31309;\&#12450;&#12476;&#12523;&#12496;&#12452;&#12472;&#12515;&#12531;&#26696;&#20214;\&#28023;&#22806;&#35211;&#31309;\&#24037;&#31243;\&#35211;&#31309;\DUBA&#36861;&#35211;&#65297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edmachine\c\QQQ\QQQ\CRES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Harris\PROJECT\EEA\2001-07905\Quotes\NW-SUEZ%2520Rev%252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850\project\C&#50504;&#48337;&#46160;\AN\EXCEL\ESTI\Est2001\Acetic%20Acid\1st%20&#44204;&#51201;\&#51204;&#44592;\Lnx$LPS-A301(Excel)_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bu%20Qir%20STG%20-%20MHI\MyDocuments\&#26481;&#20124;&#24029;&#23822;\&#36914;&#25431;&#29366;&#27841;&#22577;&#21578;\&#20182;&#31038;&#12487;&#12540;&#12479;\&#65321;&#65320;&#65321;\&#36914;&#25431;&#29366;&#27841;&#22577;&#21578;&#26360;IHI&#12288;1-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InvernL\CENTRALI%20TERMICHE\PIOMBINO\Cet3-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HOME\BALDAZM\SARMATO\NEWADI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hf\engineering\Documents%20and%20Settings\popovic\Local%20Settings\Temporary%20Internet%20Files\OLK11D\intermedio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Propuestas\A&#241;o%202012\201204%20-%20Planta%20de%20Cemento%20BSA%20Coronel\Antecedentes\Ant_04%2023-05-12\TK%20-%20Est%20Const%20-%20Bid%20Tab\Bid%20Tab\Bid%20Form%203%20-%20BSA%20Mechanical%20&amp;%20Electrical%20Equip%20Install%20Bid%20Tab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p.agipkco.com/SHEARWTR/MECHANIC/MAINGEN/DATASHT/DS0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-Son\Aproject\Bonifacio%20Condo\&#51077;&#52272;&#54408;&#51032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k1Insu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cuments%20and%20Settings\parteche\Datos%20de%20programa\Microsoft\Excel\Balance%20energ&#233;tico%20ISOFOTON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heemmachine\c\LUBEOIL\Foster%20Wheeler\Bk2Pain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6.86.100\Ofertas\Documents%20and%20Settings\jomaro\Mis%20documentos\ofertas\VOPAK\Premonor\Condiciones%20Comerciales%20(CC)%20Prefab%20y%20Montaje%20Tub.%20y%20Sop.%20PREMONOR%20Rev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k\iq-10%20(doosa\BD\2005-06\IQ\IQ-10%20(Doosan%20-%20Anpara%20C)\Offer\pulau%20final\WINDOWS\Desktop\New%20Folder\Qo-158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8023;&#22806;&#35211;&#31309;\&#12510;&#12524;&#12540;&#12471;&#12450;\&#28023;&#22806;&#35211;&#31309;\&#12510;&#12524;&#12540;&#12471;&#12450;\PORT%20DICKSON&#38306;&#20418;\&#28023;&#22806;&#35211;&#31309;\&#12510;&#12524;&#12540;&#12471;&#12450;\PRAI&#38306;&#20418;\&#28023;&#22806;&#35211;&#31309;\&#12450;&#12476;&#12523;&#12496;&#12452;&#12472;&#12515;&#12531;&#26696;&#20214;\&#65393;&#65420;&#65438;&#65408;&#65438;&#65419;&#65438;PP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andt.sharepoint.com/Users/mohammed.mamer/AppData/Local/Microsoft/Windows/INetCache/Content.Outlook/19KUQ3HB/ALKAN%20CIT%2022.3.2017%20(2)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lson\BOQ\507-4\514-9-BQ-ADD-R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Users\carlosj.rodriguez\Documents\10.-%20OFERTAS\E-6153-1%20-%20IKAKO%20-%20PA\Ingenieria\20150413%20Ikako%20PA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-4352%20-%20BOQ%20Civil%20Works%20-%20%20Khalifa%20Park,%20W2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Temp\notesAE2D45\Control%20and%20Protection_Rev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ACC\Sales\SAMIR%20SELIEM\Luna\Smart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2.hyosung.com/&#50900;&#44036;&#48372;&#44256;/&#48376;&#49324;/Monthly%20progress(kjj-03.0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3.10.201\project\BAWAT%20INPUTS\CALCULATIONS\IRFAN\ALHAMRA\ALHAMRA\DC%20CALCULATION%20issed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gesco.com\pg-data\Tenders\ALGERIA\CEEG%20-%20AOI%205,%206%20&amp;%207%20-%202013%20-%20Manufacturer%20Offers\Price%20Working\Mes%20documents\Nouveau%20dossier\F%20Tecnique%20N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995-%20SECON%20Nile%20Towers\Document%20Control\Received\Submittals\2014.11.17%20Data%20from%20Site\SE6380\TOP1\MISS_&#9426;&#247;\ORIGINAL\&#9426;&#247;_0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ali.fathy\Desktop\MEP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WIN\TEMP\My%20Documents\&#35336;&#30011;&#26032;&#26691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-1\D\WINDOWS\TEMP\cost%20breakdown%20templat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file\Projects\T06036(Takreer)\700%20Licensors\703%20-%20Axens%20-%20Unit%20815\703.06.0%20Equipment%20Data%20Sheets\6.4%20Heat%20Exchangers\815-E-001A-E\Latest\5554-DS-815-E-001%20ABCDE_R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efileserver\&#28779;&#12503;&#35373;$\&#20491;&#20154;&#29992;\&#21513;&#26449;&#12373;&#12435;\&#12479;&#12452;\MDX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%20Harris\commercial\Europe\Italy\ENEL%20Produzionne\3-1%20RTU%20I-O%20Calculations%20R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S&amp;M\2006\Deshna%20EETC\Internal%20inputs\Secondary\Dishna_C&amp;P_%20Rev%20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cuments%20and%20Settings\morenov\Mis%20documentos\OHL%20Industrial\Cementera%20Brasil\M-SC-4000%20-%20Oferta%20T&#233;cnica%20Tanques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372\&#48176;&#44288;&#44592;&#49696;\spring\VSDATA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ed.sadek\Downloads\New%20Microsoft%20Excel%20Worksheet%20(2).xlsx" TargetMode="External"/><Relationship Id="rId1" Type="http://schemas.openxmlformats.org/officeDocument/2006/relationships/externalLinkPath" Target="file:///C:\Users\mohamed.sadek\Downloads\New%20Microsoft%20Excel%20Worksheet%20(2)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-Son\Aproject\Bonifacio%20Condo\Brief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-1\D\1\UCOVERS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ATOSGR\CONSTRUCCION\OFERTAS\TRABAJO\29002%20ESTYRENE%20PLANT\40%20BOQ\60%20ELECTR\BOQ%20Construccion%20OT-29002%20rev%200%20(8-2-16)_ESTRATEGIA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\mecanicos\Documents%20and%20Settings\RBA\Escritorio\LISTAS\PIPING%20LIST\GP-7416-LI-IN-002-R04-LINES%20LIST_ultima_para%20enviar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08_Commerciale\2_dossier_offres\2_Offres_en_cours\1_Devis_Projet\DP_121_ARA_AO09KDL\2_dossier%20devinet_documents%20de%20d&#233;cision\2_1_devinet\Lot%20AO_09_Lot_04\DEVINET%20AO09_Lot_04_Dar_ElBeidaFinal11052008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PPS\QAIM\Egypt\20304073%20EGEMAC%20Abu%20Rawash%20D20\Costing\20304073%20Pricing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EA\810908\scs\SC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alc\EXCEL\WI_COST\Cost_DBr2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raining\S.S\green%20power%20%20mv-HV%20General%20plan\Luu_Tru\Ltb_ktkh\DZ220KV_Dau_Noi_sau_tram_500kV_Ha_Tinh\Gia_tha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\iq65_alstom\prc_sch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-vnet-2\ace\data\CODE5090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HICBN\Escritorio\Borrador\Saadiyat\Pricing\HI-OF\OFERTA\EDAR\VALLADO\CFVALLAD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andt.sharepoint.com/Users/hany.badawy/AppData/Local/Microsoft/Windows/Temporary%20Internet%20Files/Content.Outlook/L6S741H7/PPS%20Gas%20station%20VR7%2023-11-2010%20No%20FM%20Selling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Temp\notes6030C8\07T061_Nile%20Textile_66kV%202LF+1TR_Control%20and%20Protection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NDERS\OMAN\Dhofar\Price%20Working\Rev%201\priceworking-OHL%20Supply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.abb.com\eg\Users\egmawag\Desktop\FullCostCalculation%20Attachment%20B%20-%20Version%202010%20-%2001.07.201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efileserver\&#28779;&#12503;&#35373;$\&#28779;&#12503;&#35373;\&#24314;&#35373;&#35336;&#30011;&#37096;\&#24314;&#35373;&#35336;&#30011;&#35506;(&#38651;&#35336;)\&#9324;&#20316;&#30058;&#26360;&#39006;\ABU%20QIR\&#25454;&#20184;&#35211;&#31309;%20&#23550;ORASCOM\My%20Documents\TUXPAN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w72121\5n22-kuwait\My%20Documents\SKILL\sum-form\CODE5090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07233\&#20849;&#26377;\&#20849;&#26377;\&#19977;&#20117;&#65325;&#65317;&#65313;\TEC,&#19977;&#36896;&#27604;&#36611;\Eqp-bq-R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CT\SCT%20Tendering\SCT%20MAY\SCT%20Finishes%20MAY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endering%20Projects\power%20plant\117\117%20helwan\Helwan%20south%20CP117\share\Tendering\Elec.%20Division\Eng.Muhammad%20Mustafa\&#44277;&#50976;\&#45347;&#50612;&#51452;&#44592;\&#50980;&#50689;&#50885;\Cable%20bom%201&#52264;(1025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KNPC\Data%20Sheets\Preliminary\API%20610%20(9)%20Horiz%20Rev.%207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raining\S.S\green%20power%20%20mv-HV%20General%20plan\DO-HUONG\GT-BO\TKTC10-8\phong%20nen\DT-THL7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vis_Produits\A_Offre\A_Chiffrage\A_Outil%20de%20chiffrage\chiff%20th7m_09120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ncmail2.lgenc.co.kr/Documents/WLGP_Tecnimont/Rev01/Proposal/Combined/Cbf_MEI+Civil_R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b\qs\a%20format\general\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t\hdb%20carpark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001sf0002\axens\Mechanical\Data%20Sheets\Vessels\015-D-01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F83DA21\costmod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09\09T072%20ACC%20220-6.3%20kV%20Extension\Internal%20input\Secondary%20Input\Control%20&amp;%20Protection\27%20Jan%2010\ACC_Control%20and%20Protection_Rev0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25.1.159\e\02_&#51077;&#52272;&#49444;&#44228;\2008&#45380;\0802S05_&#48288;&#53944;&#45224;_220&amp;110kV%20GIS%20substation\06_&#50896;&#44032;&#44288;&#47532;\&#54408;&#51032;&#49436;&#48143;&#54364;&#5164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HI-OF\IDAM\IDAM%20Mutxamel\Desalaci&#243;n\Dimensionamiento\Electricidad\ABENSUR\HI-OF\OFERTA\EDAR\SUECA\PIEZSU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HI-OF\IDAM\IDAM%20Mutxamel\Desalaci&#243;n\Dimensionamiento\Electricidad\HI-OF\OFERTA\EDAR\NOVELDA\NOVELDA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PHIN\DEPARTMENT\Calc\EXCEL\Eng_hour\ENGHOUR6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Usuarios\DOCUME~1\ppaiva\CONFIG~1\Temp\7zO17.tmp\Condiciones%20Comerciales%20(CC)%20Prefab%20y%20Montaje%20Tub.%20y%20Sop.%20(280711)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9324;&#48512;&#49436;\&#44277;&#49324;&#48512;%20&#52980;(&#51077;&#52272;)\&#44060;&#48156;program\fdn_bm_pro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-1\D\WINDOWS\TEMP\CODE509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nsito\apps\goldmine\MailBox\Attach\Trabajo%20actualizacion%2015_01_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efileserver\&#28779;&#12503;&#35373;$\&#28779;&#12503;&#35373;\&#24314;&#35373;&#35336;&#30011;&#37096;\&#24314;&#35373;&#35336;&#30011;&#35506;(&#38651;&#35336;)\&#9324;&#20316;&#30058;&#26360;&#39006;\ABU%20QIR\&#25454;&#20184;&#35211;&#31309;%20&#23550;ORASCOM\My%20Documents\My%20Documents\TUXPAN3&amp;4.&#26087;xls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pe\za\Documents%20and%20Settings\rflores\Local%20Settings\Temporary%20Internet%20Files\Content.Outlook\0POHA1QM\New%20Folder\STANDARD%20BLOCK%20ENGINEERING\TYPE%20PROJECT%20TRACKER_V001\BILL%20OF%20MATERIAL\MEDTRAB.xlsm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Users\miguelangelromerajuarez\Desktop\DOCUMENTADION%20PERSONAL%20MIGUEL%20ANGEL\Bill%20of%20material-V8.2.xlsm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ales\Tender\52515%20Cairo%20North\Exch_rates\Exch_rate0_90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raouf.haikal\Desktop\Aswan%20Water\Financial\Scada%20Aswan%20te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AED806F\makeBQ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ender\00-%20Proposals\2020\3.%20Distribution\06-%20Ring%20Road\Final\Ring%20Road%20-%20Copy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ncmail2.lgenc.co.kr/Documents/SAFCO_MHI/Rev00/Proposal/Summary_Units_Coef_R0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IEN\TANHUNG\HTTANHU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RV\fsdata\Users\Deedo\Desktop\004400\Users\Deedo\AppData\Roaming\Microsoft\Excel\h\CHINA\PROJECT\CONTROL\CST_STAT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RV\fsdata\Users\Deedo\Desktop\004400\Users\Deedo\AppData\Roaming\Microsoft\Excel\A\yhchoi\PROJECT\Form\cost\cost%20Form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fierW\Altri%20impianti\Seti\Kvearner\ESTIMATE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file\projects\T06036(Takreer)\081%20EngWIP\Mechanical\Specs-Data%20Sheets-Lists\Data%20Sheets\Templates,%20Rev.%20A%20Masters%20issued%20to%20PMC%20and%20Takreer\Filter%20Spec%20-%20metric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oter\d\proyecto\Concesiones%20328\Enlace-Cocharcas\Cant-obras%20y%20Precios-COCHA\presu%20y%20cant_obras-COCHARCAS1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KIENGIAN\LONGKIEN\DD110\TTK13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DATA\MYDOCU~1\M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DATA\MYDOCU~1\ANSUONG-HC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Diet_db_s\System\&#35336;&#30011;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CAPITAL\220nb-th\CAPITAL\220DTXL\PLQN99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vr02\mechanical\Projects\7S97%20(Green%20Diesel%20Project)\06%20-%202%20%20Requsition%20&amp;%20Attachements\5554-MR-K-01(Centrifugal%20Compressor)\Native%20Data%20sheets\5554-DS-803-K-001_R2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Mis%20documentos\juan%20carlos\Clientes\CEPSA\OTS\Sulfolane\Segimiento%20obra\Cronogramas\9&#170;%20semana%20instrumentaci&#243;n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ECH\3157\SPLHTL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chtner_wp\depts\MECH\USER\RKM\MISC\TESTRKM\HEAT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andt.sharepoint.com/DOCUME~1/cgcgu/CONFIG~1/Temp/notes29331C/Trabajos/Ofertas/Hermosillo/Presupuestos/OE-2%20y%203%20corregidos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KIENGIAN\THOTNOT\BATRIBTR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uario\Configuraci&#243;n%20local\Archivos%20temporales%20de%20Internet\Content.IE5\5BJVH98E\PE%20LUCUS\ventas%20rmt%20hepotas%2020kv%20r090812%20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khh\LOWLI\P-LONG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89;&#49689;\D\share\loss&#44228;&#49328;-TAWEELAH-msf-jan6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Projects\2006\Shabrakhite\Shorakhit_C&amp;P_%20Rev%200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file\Projects\T06036(Takreer)\081%20EngWIP\Process\Specs-Data%20Sheets-Lists\Equipment%20Data%20Sheets\Unit%20807%20Hydrogen%20Purification\Water%20Cooled%20Exchangers\5554-DS-807-E-007_RB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2009\08T042%20El%20Fnoon\Supply%20Management\secondary%20input\El%20Fenoon_Control%20and%20Protection_Rev1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KIENGIAN\LONGKIEN\DKHLKIEN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SOCTRANG\KEAN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cuments%20and%20Settings\h113168\Local%20Settings\Temporary%20Internet%20Files\OLKA\&#48156;&#51204;_MSF\MSF3-2000t_day-2009.05.28-spec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WW\PROJECT\THAIWAN\&#44256;&#49549;&#52384;&#46020;\Data-1\&#45432;&#47924;&#48708;&#44592;&#51456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bu%20Qir%20STG%20-%20MHI\&#20849;&#36890;\&#28023;&#22806;&#35211;&#31309;\&#28023;&#22806;&#28779;&#21147;&#20849;&#36890;&#12288;&#35211;&#31309;&#26908;&#35342;&#29992;&#36039;&#26009;\&#35211;&#31309;&#26360;&#65420;&#65387;&#65392;&#65423;&#65391;&#65412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ABB\TENDERS\08_TENDERS\Nigeria\SCOPE\SHAKISSO_Control%20and%20Protection_Rev0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h\LOWLI\P-LONG2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orealis_Repsol\1641\51-Tubagem\MTO\Cracker%20Area\Rev.B\1641-MTO-1312-002_C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LOWLI\M-HOAN\tach-71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NHLONG\NGA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MSOFFICE\YNHI\TNOC-110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-dt4\thunhi\THUNHI\KIENGIAN\HIEN\TUYHA\MYXUAN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EDA\AppData\Local\Temp\Rar$DI27.432\DAR_Erection_BOQ1_6XGT26_Dual_Rev%20A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Server\District%20Cooling\&#48376;&#49324;&#49436;&#47448;\ADDC%20&#44036;&#51217;&#48708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40;&#48393;\PSB\MSOFFICE\EXCELL\KHUNWA\MILYANG\GEJANG\ILWIPOH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DATA\MYDOCU~1\DONGIA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LS\DT-MAU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ohsenmachine\c\EXCEL\DOCS\AYOUN\QQQ\QQQ\VARIETY\CEMENT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-HUONG\GT-BO\TKTC10-8\phong%20nen\DT-THL7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Y\&#48176;&#44288;&#54408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KZ000_BOQ-Listen__(Colli+Erec)__v701__Rev0011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egypt003\eghvo\Bidding\Samah%20Hussein\2008\EETC%20Projects\Abu%20Kbeer%20220-66-11kV-2008T012\Internal%20input\Abu%20Kebeer_Control%20and%20Protection_Rev1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s\Departments\Users\jnadal\Desktop\BOM%20_Cairo_Monorail_NCC_Rev1_240818.xlsm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$FACTU\A&#209;O98\$ENE98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BENSUR\HI-OF\OFERTA\EDAR\BARCARRO\MEMORIA\CALCBARC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EWHICO\USER05\OPT\NHK\SU_S1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share\&#28023;&#22806;&#35211;&#31309;\&#12450;&#12476;&#12523;&#12496;&#12452;&#12472;&#12515;&#12531;\JEL%20&#24341;&#21512;\&#28023;&#22806;&#35211;&#31309;\&#12450;&#12476;&#12523;&#12496;&#12452;&#12472;&#12515;&#12531;&#26696;&#20214;\&#28023;&#22806;&#35211;&#31309;\&#24037;&#31243;\&#35211;&#31309;\DUBA&#36861;&#35211;&#65297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-Son\Aproject\Bonifacio%20Condo\single\email\temp\AAProject\Novena\MOE\DATA\PROTO-40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SERVER\995-%20SECON%20Nile%20Towers\Document%20Control\Received\Submittals\2014.11.17%20Data%20from%20Site\AHMED%20SHAKER%201\Falcon%20Tower%20Hotel%20-%20Maadi\Falcon%20Re-Tender\Retender%20Study%2008-12-2011\a-project\&#44204;&#51201;\&#52285;&#51060;&#51077;&#52272;&#54408;&#51032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endering%20Projects\power%20plant\117\117%20helwan\Helwan%20south%20CP117\share\Tendering\Elec.%20Division\Eng.Muhammad%20Mustafa\F1056\LBS\CEMENT\&#51473;&#46041;&#51648;&#50669;\ACC\&#52636;&#51109;\boq\&#51473;&#46041;&#51648;&#50669;\ACC\POWER-s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M\Iq-17\mmm\technimount_icb_iq14\JC\Petrogal-Sines\Weldingbook\Piping%20material%20HG%20take%20off%20-%20Rev05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imad1802\100$\Documents%20and%20Settings\jbj\Configuraci&#243;n%20local\Archivos%20temporales%20de%20Internet\OLK1\01_VOL1_IP_Anexo_A_CdePreciosRevA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Doaa\Tendering%20Projects\power%20plant\117\117%20helwan\Helwan%20south%20CP117\share\Tendering\Elec.%20Division\Eng.Muhammad%20Mustafa\UmmAlNar\&#44396;&#47588;&#44288;&#47144;\&#49444;&#52824;&#51088;&#51116;\cable\OrderBM(Power)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oo\server\Documents%20and%20Settings\hp\Desktop\Data\Davis%20Langdon\ACCE\1230%20ACC%20Extension\POST%20CONTRACT\c-%20%20Valuation\Valuation%20-%2003\DL%20recommendation\Valuation%20no.%203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-svr\Cost&#54016;\04-&#48512;&#49436;&#51068;&#48152;%20(H.J.Lee)\03-&#44204;&#51201;&#54016;%20&#54364;&#51456;&#47928;&#49436;\&#45824;&#54364;&#47932;&#47049;\Project\SCB(5Q63)\cost&#51089;&#50629;\expense&#44288;&#47144;\&#51089;&#50629;&#50857;-5Q43_PCA_Sum_R1(Saudi_GFPC_LAB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file\projects\SYSTEMS\FORMS\SPEC'S\SYSTEMS\FORMS\EQ-LIST\EQ-LIST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office\EXCEL\Dir-2002\Jeddah%20North%20Substation\Cost-Jeddah%20North%20SS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T-1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3_esg\project\&#28023;&#22806;&#65314;&#65333;\XPD2\LFP&#9675;&#28023;&#28779;&#65297;\H17&#24180;&#20197;&#38477;&#20316;&#25104;\11&#22806;&#27880;\01_&#21463;&#27880;&#21069;&#24341;&#21512;(APR'06&#65374;)\01_M&amp;E&#25454;&#20184;&#24037;&#20107;BQ\&#24341;&#21512;&#26360;&#29992;BQ(July'06)\Hin%20krut%20&#31309;&#31639;&#35211;&#30452;&#12375;&#65288;BULK%20BTG)%20REV-2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h\mong(tc)\DATA\MYDOCU~1\M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y%20Documents\PORT%20DICKSON&#35211;&#31309;020801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sua\biphuoc\thphuoc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\Business\KrongBuk-Eakar&amp;TBA\B-CAOQ~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khh\LOWLI\A-TUAN\khh\LOWLI\GIAMAP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KHTTTH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office\EXCEL\Dir-MH\Dir2001\Jeddah%20Pumping%20Station\COST-JPS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3_esg\project\PJT\jebel%20Ali(Toshiba)\&#49849;&#51064;&#51088;&#47308;\003T(Thermal%20Performance%20data)\UAN-TSest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MMARY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office\EXCEL\Dir-2002\Aramco-Jeddah%20Refinery\Vendor%200010007599%20RFQ%206000003368%20Ver%2000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WPFS02\Proyecto\Datos\facturacion\A&#241;o%202001\$JUN20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6160;&#54872;\&#44277;&#49324;&#44288;&#47144;&#47928;&#49436;\&#47785;&#50857;&#44053;\MANUAL\calculation\DESIGN57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I%20Edison%20Termoelettrica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GeneralCOST%20Estimator\GeneralCost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common\20-KND\2008-PFR-1\PFR_2008_Sep04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sj\GSDE\&#20044;&#36798;\150\My%252520Documents\&#27491;&#22312;&#36827;&#34892;\&#30707;&#27827;&#23376;\&#30707;&#27827;&#23376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oo\server\WINDOWS\TEMP\Projects\dummey\Book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&#35336;&#35013;&#38651;&#27671;&#36039;&#26009;\&#40658;&#30000;&#12373;&#12435;&#12363;&#12425;&#12398;&#36039;&#26009;\&#65299;&#26376;&#65302;&#26085;&#21040;&#30528;&#20998;\form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YANAGI\&#35211;&#31309;&#38306;&#20418;\&#35211;&#31309;(TPK\H9TA-1\&#22985;%231H9A&#65361;&#65361;&#65361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1.&#20491;&#20154;FILE\1.PROJECT\2.EGYPT%20NUBARIA\1.&#21462;&#12426;&#32399;&#12417;\2.&#35211;&#31309;&#12418;&#12426;&#27604;&#36611;%20REV3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11\2008\project\2008\1259$\BOQ_FIN\M%20Ezz%20Data\Old%20Projects\P%201002\Comarison\Studies\B7-Alam%20Sons\B7-Alam%20Sons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share\Tendering\Elec.%20Division\Eng.Muhammad%20Mustafa\Users\Mr_Mostafa\Desktop\&#28779;&#21147;\&#28779;&#35336;&#37096;\&#27743;&#34276;\&#22269;&#20869;&#20316;&#30058;\YT1\HP2B&#65401;-&#65420;&#65438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ocuments%20and%20Settings/&#50724;%20&#44305;&#50896;/My%20Documents/My%20Documents/SKKIM/Work1999/SKC%20CDP/My%20Documents/CIVIL/&#53664;&#47785;&#44204;&#51201;/#2CDU&#49892;&#54665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5432;&#47924;&#48708;9.XLW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8373;&#52268;\f\&#44608;&#49345;&#50864;JOB\DOWN&#47700;&#51068;\&#48128;&#50577;&#45236;&#50669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28D8AF\&#52285;&#51060;&#51077;&#52272;&#54408;&#51032;(&#50896;&#50504;A-33)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IN2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396;&#51221;\C\USER\WON\WORKIMP\SU_S1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LDH\97&#44277;&#49688;\HGAN9702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EXCEL\96KYOSUB\GOJOL\BONSA\&#44277;&#51109;&#45824;&#48708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0500;&#45817;&#51088;&#44053;\C\WINDOWS\TEMP\&#49888;&#51076;&#52264;&#51109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INDOWS\TEMP\&#47749;&#45800;1222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476\&#45812;&#49688;PSM%20TFT\&#45812;&#49688;%20PSM\&#54408;&#47785;&#48324;%20&#44277;&#44553;&#50629;&#52404;%20&#54217;&#44032;%20SHEET-&#50896;&#48376;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3_esg\project\02&#26481;&#20140;&#38651;&#21147;&#12849;%20%20%20&#21697;&#24029;&#28779;&#21147;%20%20&#65297;&#21495;&#31995;&#21015;\&#20181;&#27096;&#26360;\&#22235;&#22269;&#38651;&#21147;&#12849;%20&#27224;&#28286;&#30330;&#38651;&#25152;\BQ&#22235;&#38651;&#27224;&#28286;%20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&#12458;&#12540;&#12480;\&#36664;&#20986;\95071\&#35211;&#31309;\&#35211;&#31309;&#35336;&#30011;\R2\INS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\Cairo%20West%20STG\FUJITA\niihama\&#12508;&#12452;&#12521;&#26412;&#20307;\&#26045;&#24037;&#35336;&#30011;\&#35201;&#38936;&#26360;\&#38651;&#21147;(25)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F7D84E\SHUWEIHAT%20Common%20Use%20BOQ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1\Users\Mr_Mostafa\Desktop\&#28779;&#21147;\&#28779;&#35336;&#37096;\&#27743;&#34276;\&#22269;&#20869;&#20316;&#30058;\YT1\HP2B&#65401;-&#65420;&#6543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2&amp;KVCM(MAR 1-6'99)"/>
      <sheetName val="合成単価作成表-BLDG"/>
      <sheetName val="SILICATE"/>
      <sheetName val="ITENRY"/>
      <sheetName val="RFP002"/>
    </sheetNames>
    <definedNames>
      <definedName name="DataFilter"/>
      <definedName name="DataSort"/>
      <definedName name="GoBack"/>
    </defined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제출BM"/>
      <sheetName val="BM (2)"/>
      <sheetName val="일위"/>
      <sheetName val="BM-PILE"/>
      <sheetName val="Duct bank"/>
      <sheetName val="sum"/>
      <sheetName val="mechmng-base"/>
      <sheetName val="mechmng-PROPOSAL"/>
      <sheetName val="HI-DI"/>
      <sheetName val="MAN'G-PROPOSAL"/>
      <sheetName val="D-623D"/>
      <sheetName val="노임9월"/>
      <sheetName val="뜃맟뭁돽띿맟?-BLDG"/>
      <sheetName val="기기리스트"/>
      <sheetName val="CB"/>
      <sheetName val="신표지1"/>
      <sheetName val="뜃맟뭁돽띿맟_-BLDG"/>
      <sheetName val="inter"/>
      <sheetName val="rate"/>
      <sheetName val="SCHE"/>
      <sheetName val="#REF"/>
      <sheetName val="손익차9월2"/>
      <sheetName val="COA-17"/>
      <sheetName val="C-18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融中心概估  (2)"/>
      <sheetName val="金融中心概估  (3)"/>
      <sheetName val="金融中心概估  (4)"/>
      <sheetName val="CT-1 (3)"/>
      <sheetName val="SRC-B3U2"/>
      <sheetName val="SRC_B3U2"/>
      <sheetName val="001"/>
      <sheetName val="BSD (2)"/>
      <sheetName val="정부노임단가"/>
      <sheetName val="특수선일위대가"/>
      <sheetName val="당초"/>
      <sheetName val="Bill 1"/>
      <sheetName val="Bill 2"/>
      <sheetName val="Bill 3"/>
      <sheetName val="Bill 4"/>
      <sheetName val="Bill 5"/>
      <sheetName val="Bill 6"/>
      <sheetName val="Bill 7"/>
      <sheetName val="Site Expenses"/>
      <sheetName val="dropdowns"/>
      <sheetName val="金融中心概估__(2)"/>
      <sheetName val="金融中心概估__(3)"/>
      <sheetName val="金融中心概估__(4)"/>
      <sheetName val="CT-1_(3)"/>
      <sheetName val="BSD_(2)"/>
      <sheetName val="Bill_1"/>
      <sheetName val="Bill_2"/>
      <sheetName val="Bill_3"/>
      <sheetName val="Bill_4"/>
      <sheetName val="Bill_5"/>
      <sheetName val="Bill_6"/>
      <sheetName val="Bill_7"/>
      <sheetName val="Site_Expenses"/>
      <sheetName val="SubmitCal"/>
      <sheetName val="MOTOR"/>
      <sheetName val="Customer Databas"/>
      <sheetName val="A-4"/>
      <sheetName val="FACTOR"/>
      <sheetName val="물량산출근거"/>
      <sheetName val="입찰내역 발주처 양식"/>
      <sheetName val="Tender Summary"/>
      <sheetName val="협조전"/>
      <sheetName val="BOQ건축"/>
      <sheetName val="BID"/>
      <sheetName val="총괄"/>
      <sheetName val="材料单"/>
      <sheetName val="单价"/>
      <sheetName val="安装费测算"/>
      <sheetName val="境外安装费"/>
      <sheetName val="BOQ"/>
      <sheetName val="Summary"/>
      <sheetName val="POWER"/>
      <sheetName val="制造厂收费标准"/>
      <sheetName val="属性"/>
      <sheetName val="Project Brief"/>
      <sheetName val="4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산출내역서"/>
      <sheetName val="1"/>
      <sheetName val="ITEM"/>
      <sheetName val="분석"/>
      <sheetName val="단가표"/>
      <sheetName val="XZLC004_PART2"/>
      <sheetName val="공사비내역서"/>
      <sheetName val="환율change"/>
      <sheetName val="analysis"/>
      <sheetName val="PriceSummary"/>
      <sheetName val="BOQ-Rev.3"/>
      <sheetName val="Cost Summary"/>
      <sheetName val="u_rates"/>
      <sheetName val="beam"/>
      <sheetName val="james's"/>
      <sheetName val="Windows"/>
      <sheetName val="ACCOUNT"/>
      <sheetName val="finalj"/>
      <sheetName val="LAB"/>
      <sheetName val="Summary Rates From Contract"/>
      <sheetName val="金融中心概估__(2)1"/>
      <sheetName val="金融中心概估__(3)1"/>
      <sheetName val="金融中心概估__(4)1"/>
      <sheetName val="CT-1_(3)1"/>
      <sheetName val="BSD_(2)1"/>
      <sheetName val="Bill_11"/>
      <sheetName val="Bill_21"/>
      <sheetName val="Bill_31"/>
      <sheetName val="Bill_41"/>
      <sheetName val="Bill_51"/>
      <sheetName val="Bill_61"/>
      <sheetName val="Bill_71"/>
      <sheetName val="Site_Expenses1"/>
      <sheetName val="입찰내역_발주처_양식"/>
      <sheetName val="Project_Brief"/>
      <sheetName val="_Structural"/>
      <sheetName val="Travel_Cranes"/>
      <sheetName val="Recap_Architect"/>
      <sheetName val="Recap_External"/>
      <sheetName val="Recap_Struct"/>
      <sheetName val="Recap_Travel_Crane"/>
      <sheetName val="Package_1"/>
      <sheetName val="Recap_Lift"/>
      <sheetName val="Customer_Databas"/>
      <sheetName val="Tender_Summary"/>
      <sheetName val="BOQ-Rev_3"/>
      <sheetName val="Cost_Summary"/>
      <sheetName val="Tender Analysis (Original)"/>
      <sheetName val="金融中心概估__(2)2"/>
      <sheetName val="金融中心概估__(3)2"/>
      <sheetName val="金融中心概估__(4)2"/>
      <sheetName val="CT-1_(3)2"/>
      <sheetName val="BSD_(2)2"/>
      <sheetName val="Bill_12"/>
      <sheetName val="Bill_22"/>
      <sheetName val="Bill_32"/>
      <sheetName val="Bill_42"/>
      <sheetName val="Bill_52"/>
      <sheetName val="Bill_62"/>
      <sheetName val="Bill_72"/>
      <sheetName val="Site_Expenses2"/>
      <sheetName val="입찰내역_발주처_양식1"/>
      <sheetName val="Project_Brief1"/>
      <sheetName val="_Structural1"/>
      <sheetName val="Travel_Cranes1"/>
      <sheetName val="Recap_Architect1"/>
      <sheetName val="Recap_External1"/>
      <sheetName val="Recap_Struct1"/>
      <sheetName val="Recap_Travel_Crane1"/>
      <sheetName val="Package_11"/>
      <sheetName val="Recap_Lift1"/>
      <sheetName val="Customer_Databas1"/>
      <sheetName val="Tender_Summary1"/>
      <sheetName val="BOQ-Rev_31"/>
      <sheetName val="Cost_Summary1"/>
      <sheetName val="金融中心概估__(2)3"/>
      <sheetName val="金融中心概估__(3)3"/>
      <sheetName val="金融中心概估__(4)3"/>
      <sheetName val="CT-1_(3)3"/>
      <sheetName val="BSD_(2)3"/>
      <sheetName val="Bill_13"/>
      <sheetName val="Bill_23"/>
      <sheetName val="Bill_33"/>
      <sheetName val="Bill_43"/>
      <sheetName val="Bill_53"/>
      <sheetName val="Bill_63"/>
      <sheetName val="Bill_73"/>
      <sheetName val="Site_Expenses3"/>
      <sheetName val="입찰내역_발주처_양식2"/>
      <sheetName val="Project_Brief2"/>
      <sheetName val="_Structural2"/>
      <sheetName val="Travel_Cranes2"/>
      <sheetName val="Recap_Architect2"/>
      <sheetName val="Recap_External2"/>
      <sheetName val="Recap_Struct2"/>
      <sheetName val="Recap_Travel_Crane2"/>
      <sheetName val="Package_12"/>
      <sheetName val="Recap_Lift2"/>
      <sheetName val="Customer_Databas2"/>
      <sheetName val="Tender_Summary2"/>
      <sheetName val="BOQ-Rev_32"/>
      <sheetName val="Cost_Summary2"/>
      <sheetName val="金融中心概估__(2)4"/>
      <sheetName val="金融中心概估__(3)4"/>
      <sheetName val="金融中心概估__(4)4"/>
      <sheetName val="CT-1_(3)4"/>
      <sheetName val="BSD_(2)4"/>
      <sheetName val="Bill_14"/>
      <sheetName val="Bill_24"/>
      <sheetName val="Bill_34"/>
      <sheetName val="Bill_44"/>
      <sheetName val="Bill_54"/>
      <sheetName val="Bill_64"/>
      <sheetName val="Bill_74"/>
      <sheetName val="Site_Expenses4"/>
      <sheetName val="입찰내역_발주처_양식3"/>
      <sheetName val="Project_Brief3"/>
      <sheetName val="_Structural3"/>
      <sheetName val="Travel_Cranes3"/>
      <sheetName val="Recap_Architect3"/>
      <sheetName val="Recap_External3"/>
      <sheetName val="Recap_Struct3"/>
      <sheetName val="Recap_Travel_Crane3"/>
      <sheetName val="Package_13"/>
      <sheetName val="Recap_Lift3"/>
      <sheetName val="Customer_Databas3"/>
      <sheetName val="Tender_Summary3"/>
      <sheetName val="BOQ-Rev_33"/>
      <sheetName val="Cost_Summary3"/>
      <sheetName val="金融中心概估__(2)5"/>
      <sheetName val="金融中心概估__(3)5"/>
      <sheetName val="金融中心概估__(4)5"/>
      <sheetName val="CT-1_(3)5"/>
      <sheetName val="BSD_(2)5"/>
      <sheetName val="Bill_15"/>
      <sheetName val="Bill_25"/>
      <sheetName val="Bill_35"/>
      <sheetName val="Bill_45"/>
      <sheetName val="Bill_55"/>
      <sheetName val="Bill_65"/>
      <sheetName val="Bill_75"/>
      <sheetName val="Site_Expenses5"/>
      <sheetName val="입찰내역_발주처_양식4"/>
      <sheetName val="Project_Brief4"/>
      <sheetName val="_Structural4"/>
      <sheetName val="Travel_Cranes4"/>
      <sheetName val="Recap_Architect4"/>
      <sheetName val="Recap_External4"/>
      <sheetName val="Recap_Struct4"/>
      <sheetName val="Recap_Travel_Crane4"/>
      <sheetName val="Package_14"/>
      <sheetName val="Recap_Lift4"/>
      <sheetName val="Customer_Databas4"/>
      <sheetName val="Tender_Summary4"/>
      <sheetName val="BOQ-Rev_34"/>
      <sheetName val="Cost_Summary4"/>
      <sheetName val="Tan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가표"/>
      <sheetName val="수암종건"/>
      <sheetName val="수암개발"/>
      <sheetName val="단성전력"/>
      <sheetName val="Sheet1"/>
      <sheetName val="Sheet2"/>
      <sheetName val="Sheet3"/>
      <sheetName val="unit 4"/>
      <sheetName val="사용방법"/>
      <sheetName val="최저투찰(입력)"/>
      <sheetName val="최저투찰(만점시)"/>
      <sheetName val="복수예가선정"/>
      <sheetName val="예가표(복수예가)"/>
      <sheetName val="오늘의예가"/>
      <sheetName val="용어정의"/>
      <sheetName val="조달031227"/>
      <sheetName val="지자체040206"/>
      <sheetName val="도로031229"/>
      <sheetName val="수자원040116"/>
      <sheetName val="적점"/>
      <sheetName val="제출내역 (2)"/>
      <sheetName val="가격조사서"/>
      <sheetName val="물가대비표"/>
      <sheetName val="내역표지"/>
      <sheetName val="공문"/>
      <sheetName val="Cash2"/>
      <sheetName val="Z"/>
      <sheetName val="#REF"/>
      <sheetName val="변경집계표"/>
      <sheetName val="부대내역"/>
      <sheetName val="단가표"/>
      <sheetName val="내역"/>
      <sheetName val="원가계산서(남측)"/>
      <sheetName val="B.O.M"/>
      <sheetName val="일위"/>
      <sheetName val="실행내역"/>
      <sheetName val="trf(36%)"/>
      <sheetName val="개소당수량"/>
      <sheetName val="Macro1"/>
      <sheetName val="자동제어"/>
      <sheetName val="일위대가(가설)"/>
      <sheetName val="단가"/>
      <sheetName val="토목주소"/>
      <sheetName val="프랜트면허"/>
      <sheetName val="SG"/>
      <sheetName val="건축-물가변동"/>
      <sheetName val="기계설비-물가변동"/>
      <sheetName val="공사개요"/>
      <sheetName val="부대tu"/>
      <sheetName val="공사비증감"/>
      <sheetName val="신표지1"/>
      <sheetName val="연결임시"/>
      <sheetName val="일위대가(계측기설치)"/>
      <sheetName val="현장경비"/>
      <sheetName val="웅진교-S2"/>
      <sheetName val="덕소내역"/>
      <sheetName val="입찰안"/>
      <sheetName val="제잡비"/>
      <sheetName val="재료비"/>
      <sheetName val="전기혼잡제경비(45)"/>
      <sheetName val="집계표"/>
      <sheetName val="코드표"/>
      <sheetName val="전계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DATA OPTIONS"/>
      <sheetName val="MAIN OFFER"/>
      <sheetName val="OPTIONAL OFFER"/>
      <sheetName val=" MAIN"/>
      <sheetName val=" OPTION"/>
      <sheetName val="ALTERNAIVE"/>
      <sheetName val="SPARE"/>
      <sheetName val="MAIN MATERIAL DATABASE"/>
      <sheetName val="Aux MATERIAL DATABASE"/>
      <sheetName val="RELAYS"/>
      <sheetName val="BBP"/>
      <sheetName val="CHPAU-RELAYS"/>
      <sheetName val="Aux Order"/>
      <sheetName val="Main Orders"/>
      <sheetName val="TOTAL CABLES"/>
      <sheetName val="CABLES NEW"/>
      <sheetName val="CABLES"/>
      <sheetName val="Commercial"/>
      <sheetName val="DPLC - FOX - PABX"/>
      <sheetName val="DPLC BREAK DOWN"/>
      <sheetName val="RTU "/>
      <sheetName val="RTU PL 2011 EUR"/>
    </sheetNames>
    <sheetDataSet>
      <sheetData sheetId="0"/>
      <sheetData sheetId="1">
        <row r="1">
          <cell r="B1">
            <v>0</v>
          </cell>
        </row>
        <row r="11">
          <cell r="R11">
            <v>0</v>
          </cell>
        </row>
        <row r="14">
          <cell r="R14">
            <v>0</v>
          </cell>
        </row>
        <row r="19">
          <cell r="R19">
            <v>0</v>
          </cell>
        </row>
        <row r="22">
          <cell r="R22">
            <v>0</v>
          </cell>
        </row>
        <row r="23">
          <cell r="R23">
            <v>0</v>
          </cell>
        </row>
        <row r="29">
          <cell r="R29">
            <v>3</v>
          </cell>
        </row>
        <row r="32">
          <cell r="R32">
            <v>1</v>
          </cell>
        </row>
        <row r="41">
          <cell r="R41">
            <v>0</v>
          </cell>
        </row>
        <row r="42">
          <cell r="R42">
            <v>0</v>
          </cell>
        </row>
        <row r="45">
          <cell r="R45">
            <v>0</v>
          </cell>
        </row>
        <row r="47">
          <cell r="R47">
            <v>0</v>
          </cell>
        </row>
        <row r="54">
          <cell r="R54">
            <v>0</v>
          </cell>
        </row>
      </sheetData>
      <sheetData sheetId="2">
        <row r="33">
          <cell r="R33">
            <v>0</v>
          </cell>
        </row>
      </sheetData>
      <sheetData sheetId="3">
        <row r="1">
          <cell r="C1" t="str">
            <v>SAMASTA 66KV</v>
          </cell>
        </row>
      </sheetData>
      <sheetData sheetId="4"/>
      <sheetData sheetId="5">
        <row r="159">
          <cell r="FJ159">
            <v>1</v>
          </cell>
        </row>
      </sheetData>
      <sheetData sheetId="6"/>
      <sheetData sheetId="7"/>
      <sheetData sheetId="8"/>
      <sheetData sheetId="9">
        <row r="1">
          <cell r="D1" t="str">
            <v>Suppliers List</v>
          </cell>
          <cell r="R1" t="str">
            <v>RTK</v>
          </cell>
          <cell r="V1" t="str">
            <v>EES</v>
          </cell>
        </row>
        <row r="5">
          <cell r="D5" t="str">
            <v>DEABB</v>
          </cell>
          <cell r="R5" t="str">
            <v>Panel Module Fault Annunciator 28/20, 
TYPE : UC 625, with PB, 
INPUT : 220vDC, 
No. of I/P : 28 I/P Case equiped for 20 I/P, 
Field contact voltage : 24 VDC, 
Aux. Sup : 220vDC and 48VDC</v>
          </cell>
          <cell r="V5" t="str">
            <v>Panel Module Fault Annunciator, 
TYPE : 58B32-55-XRX-B6, 
INPUT : Supplied from internal, 
CAux. Sup : 2220 VDC</v>
          </cell>
        </row>
        <row r="7">
          <cell r="D7" t="str">
            <v>ABB STOTZ</v>
          </cell>
          <cell r="R7" t="str">
            <v>Panel Module Fault Annunciator 28/28, 
TYPE : UC 625, with PB, 
INPUT : 220vDC, 
No. of I/P : 28 I/P Case equiped for 28 I/P, 
Field contact voltage : 24 VDC, 
Aux. Sup : 220vDC and 48VDC</v>
          </cell>
          <cell r="V7" t="str">
            <v>Panel Module Fault Annunciator, 
TYPE : 58B32-23-XRX-B6, 
INPUT : Supplied from internal, 
CAux. Sup : 248 VDC</v>
          </cell>
        </row>
        <row r="9">
          <cell r="D9" t="str">
            <v>ABB ENTERLEC</v>
          </cell>
          <cell r="R9" t="str">
            <v>Panel Module Fault Annunciator 40/40-IP, 
TYPE : UC 625, with PB, 
INPUT : 220vDC, 
No. of I/P : 40 I/P Case equiped for 40 I/P, 
Field contact voltage : 24 VDC, 
Aux. Sup : 220vDC and 220VAC</v>
          </cell>
        </row>
        <row r="11">
          <cell r="D11" t="str">
            <v>FISUP</v>
          </cell>
          <cell r="R11" t="str">
            <v>Panel Module Fault Annunciator 24/28-IP, 
TYPE : UC 625, with PB, 
INPUT : 220vDC, 
No. of I/P : 28 I/P Case equiped for 24 I/P, 
Field contact voltage : 24 VDC, 
Aux. Sup : 220vDC and 220VAC</v>
          </cell>
        </row>
        <row r="13">
          <cell r="D13" t="str">
            <v>ABB INSTRUMENTATION</v>
          </cell>
          <cell r="R13" t="str">
            <v>Panel Module Fault Annunciator 28/28-IP, 
TYPE : UC 625, with PB, 
INPUT : 220vDC, 
No. of I/P : 28 I/P Case equiped for 28 I/P, 
Field contact voltage : 24 VDC, 
Aux. Sup : 220vDC and 220VAC</v>
          </cell>
        </row>
        <row r="15">
          <cell r="D15" t="str">
            <v>BRAINCHILD</v>
          </cell>
        </row>
        <row r="17">
          <cell r="D17" t="str">
            <v>ELEKTRA</v>
          </cell>
        </row>
        <row r="19">
          <cell r="D19" t="str">
            <v>EAO</v>
          </cell>
        </row>
        <row r="21">
          <cell r="D21" t="str">
            <v>APS ELEKTRONIK AG</v>
          </cell>
        </row>
        <row r="23">
          <cell r="D23" t="str">
            <v>CEWE</v>
          </cell>
        </row>
        <row r="25">
          <cell r="D25" t="str">
            <v>FRER</v>
          </cell>
        </row>
        <row r="27">
          <cell r="D27" t="str">
            <v>ELESTER</v>
          </cell>
        </row>
        <row r="29">
          <cell r="D29" t="str">
            <v>RTK</v>
          </cell>
        </row>
        <row r="31">
          <cell r="D31" t="str">
            <v>EES</v>
          </cell>
        </row>
        <row r="33">
          <cell r="D33" t="str">
            <v>PHOENIX</v>
          </cell>
        </row>
        <row r="35">
          <cell r="D35" t="str">
            <v>RITTAL</v>
          </cell>
        </row>
        <row r="37">
          <cell r="D37" t="str">
            <v>FUNKE and HUSTER</v>
          </cell>
        </row>
        <row r="39">
          <cell r="D39" t="str">
            <v>SCHARER ELECTRONIC AG</v>
          </cell>
        </row>
        <row r="41">
          <cell r="D41" t="str">
            <v>AREVA</v>
          </cell>
        </row>
        <row r="43">
          <cell r="D43" t="str">
            <v>CEF</v>
          </cell>
        </row>
        <row r="45">
          <cell r="D45" t="str">
            <v>L Market</v>
          </cell>
        </row>
        <row r="47">
          <cell r="D47" t="str">
            <v>EGABB</v>
          </cell>
        </row>
        <row r="49">
          <cell r="D49" t="str">
            <v>SEABB</v>
          </cell>
        </row>
        <row r="51">
          <cell r="D51" t="str">
            <v>ABB CH</v>
          </cell>
        </row>
        <row r="53">
          <cell r="D53" t="str">
            <v>Seimes</v>
          </cell>
        </row>
        <row r="55">
          <cell r="D55" t="str">
            <v>AUX.</v>
          </cell>
        </row>
        <row r="57">
          <cell r="D57" t="str">
            <v>ARTECHE</v>
          </cell>
        </row>
        <row r="59">
          <cell r="D59" t="str">
            <v>KLAXON</v>
          </cell>
        </row>
        <row r="61">
          <cell r="D61" t="str">
            <v>SIEMENS or ALSTOM</v>
          </cell>
        </row>
        <row r="63">
          <cell r="D63" t="str">
            <v>ALSTOM</v>
          </cell>
        </row>
        <row r="65">
          <cell r="D65" t="str">
            <v>M.G</v>
          </cell>
        </row>
        <row r="67">
          <cell r="D67" t="str">
            <v>EGARC</v>
          </cell>
        </row>
        <row r="69">
          <cell r="D69" t="str">
            <v>SIEMENS</v>
          </cell>
        </row>
        <row r="71">
          <cell r="D71" t="str">
            <v>FINDER</v>
          </cell>
        </row>
        <row r="73">
          <cell r="D73" t="str">
            <v>ABB SW</v>
          </cell>
        </row>
        <row r="75">
          <cell r="D75" t="str">
            <v>ELESTER (KEEM ELECTRIC)</v>
          </cell>
        </row>
      </sheetData>
      <sheetData sheetId="10">
        <row r="6">
          <cell r="T6">
            <v>698.08921999999995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ATA-1"/>
      <sheetName val="TRAFO-1"/>
      <sheetName val="LF-1"/>
      <sheetName val="BC-1"/>
      <sheetName val="INCOM-1"/>
      <sheetName val="Common-1"/>
      <sheetName val="Control Cable"/>
      <sheetName val="Sheet1"/>
    </sheetNames>
    <sheetDataSet>
      <sheetData sheetId="0" refreshError="1"/>
      <sheetData sheetId="1">
        <row r="1">
          <cell r="AP1" t="str">
            <v>LIST1010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w current"/>
      <sheetName val="indirect"/>
      <sheetName val="power"/>
      <sheetName val="cables"/>
      <sheetName val="FACTOR "/>
      <sheetName val="guestrooms "/>
      <sheetName val="sub-sum guestrooms"/>
      <sheetName val="Z- GENERAL PRICE SUMMARY"/>
      <sheetName val="#REF"/>
      <sheetName val="Sheet1"/>
      <sheetName val="FitOutConfCentre"/>
      <sheetName val="입찰내역 발주처 양식"/>
      <sheetName val="2.2 STAFF Scedule"/>
      <sheetName val="1.2 Staff Schedule"/>
      <sheetName val="cement"/>
      <sheetName val="A CONDITIONS"/>
      <sheetName val="D-3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BOQ"/>
      <sheetName val="WITHOUT C&amp;I PROFIT (3)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s"/>
      <sheetName val="mechanical"/>
      <sheetName val="calculation"/>
      <sheetName val="factor"/>
      <sheetName val="FACTOR "/>
      <sheetName val="Indirect"/>
      <sheetName val="guestrooms "/>
      <sheetName val="sub-sum guestrooms"/>
      <sheetName val="Ducts"/>
      <sheetName val="PIPING Prices"/>
      <sheetName val="Electrical Works"/>
      <sheetName val="power"/>
      <sheetName val="Z- GENERAL PRICE SUMMARY"/>
      <sheetName val="2.2 STAFF Scedule"/>
      <sheetName val="FitOutConfCentre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RIO"/>
      <sheetName val="CASTELMASSA"/>
      <sheetName val="cespiti spinetta"/>
      <sheetName val="SPINETTA"/>
      <sheetName val="VILLA S.LUCIA"/>
      <sheetName val="PORCARI"/>
      <sheetName val="SERENE 2 TRENI"/>
      <sheetName val="SERENE 1 TRENO"/>
      <sheetName val="LILLE"/>
      <sheetName val="MARTOREL"/>
      <sheetName val="BURGO"/>
      <sheetName val="NERA MONTORO"/>
      <sheetName val="SETTIMO T."/>
      <sheetName val="cespiti sesto sg"/>
      <sheetName val="SESTO S.G."/>
      <sheetName val="BUSSI"/>
      <sheetName val="SAN QUIRICO"/>
      <sheetName val="CONTARINA"/>
      <sheetName val="SARMATO"/>
      <sheetName val="SARMATO(sup)"/>
      <sheetName val="MILAZZO"/>
      <sheetName val="JESI"/>
      <sheetName val="CELANO"/>
      <sheetName val="TERNI"/>
      <sheetName val="BOFFALORA"/>
      <sheetName val="SESTO 2"/>
      <sheetName val="PIOMBINO"/>
      <sheetName val="cespiti cet2 piombino"/>
      <sheetName val="CET 2 PIOMBINO"/>
      <sheetName val="cespiti cet2 piombino (2)"/>
      <sheetName val="CET 2 PIOMBINO (2)"/>
      <sheetName val="cespiti taranto"/>
      <sheetName val="CET 2 TARANTO"/>
      <sheetName val="CET 3 TARANTO"/>
      <sheetName val="cespiti marghera"/>
      <sheetName val="LEVANTE"/>
      <sheetName val="AZOTATI"/>
      <sheetName val="RIMA"/>
      <sheetName val="STAZIONI"/>
      <sheetName val="IBIRITERMO"/>
      <sheetName val="ALTOMONTE"/>
      <sheetName val="ALTOMONTE (2)"/>
      <sheetName val="CANDELA"/>
      <sheetName val="CANDELA (2)"/>
      <sheetName val="TORVISCOSA"/>
      <sheetName val="SIMERI CRI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川崎HRSG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European"/>
      <sheetName val="PIPING Prices"/>
      <sheetName val="BOQ"/>
      <sheetName val="cables"/>
      <sheetName val="mechanical"/>
      <sheetName val="SUMMARY"/>
      <sheetName val="Indirect"/>
      <sheetName val="pumps"/>
      <sheetName val="AHU"/>
      <sheetName val="FACTOR "/>
      <sheetName val="PLAGCoct03"/>
      <sheetName val="00 Theme bar &amp; Group lounge"/>
      <sheetName val="01 Lobby and Reception Lounges"/>
      <sheetName val="Original"/>
      <sheetName val="Payment Certificate"/>
      <sheetName val="A"/>
      <sheetName val="Cálculos hidráulicos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B"/>
      <sheetName val="Ratios"/>
      <sheetName val="C"/>
      <sheetName val="power"/>
      <sheetName val="QPL"/>
      <sheetName val="PHD Payment Certificate"/>
      <sheetName val="EWorks"/>
      <sheetName val="T#1 App. QTY"/>
      <sheetName val="T#1 T.QTY"/>
      <sheetName val="T#1 Per."/>
      <sheetName val="T#2 App. QTY "/>
      <sheetName val="T#2 T.QTY"/>
      <sheetName val="T#2 Per."/>
      <sheetName val="Sep. App. QTY"/>
      <sheetName val="Sep. T.QTY"/>
      <sheetName val="Sep. Per."/>
      <sheetName val="THouse App. QTY"/>
      <sheetName val="THouse T. QTY"/>
      <sheetName val="THouse Per."/>
      <sheetName val="Moblization"/>
      <sheetName val="Anis check"/>
      <sheetName val="Add#1"/>
      <sheetName val="Add#5 "/>
      <sheetName val="VO#1"/>
      <sheetName val="VO#2"/>
      <sheetName val="VO#3"/>
      <sheetName val="VOR 4"/>
      <sheetName val="VO#5"/>
      <sheetName val="Repar Escalation. "/>
      <sheetName val="RC ESCALATION"/>
      <sheetName val="Cement"/>
      <sheetName val="Shaker Check"/>
      <sheetName val="VAT"/>
      <sheetName val="Escalation"/>
      <sheetName val="FUEL IMPACT"/>
      <sheetName val="Current"/>
      <sheetName val="office"/>
      <sheetName val="Lab"/>
      <sheetName val="Marina"/>
      <sheetName val="consol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DATA OPTIONS"/>
      <sheetName val="SCOPE"/>
      <sheetName val="MAIN OFFER"/>
      <sheetName val="MAIN OFFER CURR"/>
      <sheetName val="OPTIONAL OFFER"/>
      <sheetName val=" MAIN"/>
      <sheetName val=" OPTION"/>
      <sheetName val="SPARE"/>
      <sheetName val="MAIN MATERIAL DATABASE"/>
      <sheetName val="Aux MATERIAL DATABASE"/>
      <sheetName val="Aux Order"/>
      <sheetName val="Main Orders"/>
      <sheetName val="TOTAL CABLES"/>
      <sheetName val="DPLC - FOX - PABX"/>
      <sheetName val="DPLC BREAK DOWN"/>
      <sheetName val="DPLC"/>
      <sheetName val="RTU "/>
    </sheetNames>
    <sheetDataSet>
      <sheetData sheetId="0">
        <row r="2">
          <cell r="B2" t="str">
            <v>Cairo Airport 66kV GIS</v>
          </cell>
        </row>
      </sheetData>
      <sheetData sheetId="1">
        <row r="2">
          <cell r="G2" t="str">
            <v>SEK</v>
          </cell>
        </row>
        <row r="19">
          <cell r="R19">
            <v>0</v>
          </cell>
        </row>
        <row r="22">
          <cell r="R22">
            <v>0</v>
          </cell>
        </row>
        <row r="23">
          <cell r="R23">
            <v>0</v>
          </cell>
        </row>
        <row r="29">
          <cell r="R29">
            <v>4</v>
          </cell>
        </row>
        <row r="42">
          <cell r="R42">
            <v>0</v>
          </cell>
        </row>
        <row r="47">
          <cell r="R47">
            <v>0</v>
          </cell>
        </row>
      </sheetData>
      <sheetData sheetId="2">
        <row r="33">
          <cell r="R33">
            <v>0</v>
          </cell>
        </row>
      </sheetData>
      <sheetData sheetId="3"/>
      <sheetData sheetId="4">
        <row r="4">
          <cell r="O4">
            <v>608796.69040000008</v>
          </cell>
        </row>
      </sheetData>
      <sheetData sheetId="5"/>
      <sheetData sheetId="6"/>
      <sheetData sheetId="7">
        <row r="1">
          <cell r="AB1" t="str">
            <v>OK</v>
          </cell>
        </row>
      </sheetData>
      <sheetData sheetId="8"/>
      <sheetData sheetId="9"/>
      <sheetData sheetId="10">
        <row r="1">
          <cell r="D1" t="str">
            <v>Suppliers List</v>
          </cell>
          <cell r="R1" t="str">
            <v>RTK</v>
          </cell>
        </row>
        <row r="4">
          <cell r="D4" t="str">
            <v>CONTROL</v>
          </cell>
          <cell r="R4" t="str">
            <v>RTKM1</v>
          </cell>
        </row>
        <row r="5">
          <cell r="D5" t="str">
            <v>ELEKTRA</v>
          </cell>
          <cell r="R5" t="str">
            <v>Panel Module Fault Annunciator 28/20, 
TYPE : UC 625, with PB, 
INPUT : 220vDC, 
No. of I/P : 28 I/P Case equiped for 20 I/P, 
Field contact voltage : 24 VDC, 
Aux. Sup : 220vDC and 48VDC</v>
          </cell>
        </row>
        <row r="6">
          <cell r="D6" t="str">
            <v>CEWE</v>
          </cell>
        </row>
        <row r="7">
          <cell r="D7" t="str">
            <v>RTK</v>
          </cell>
          <cell r="R7" t="str">
            <v>Panel Module Fault Annunciator 28/28, 
TYPE : UC 625, with PB, 
INPUT : 220vDC, 
No. of I/P : 28 I/P Case equiped for 28 I/P, 
Field contact voltage : 24 VDC, 
Aux. Sup : 220vDC and 48VDC</v>
          </cell>
        </row>
        <row r="8">
          <cell r="D8" t="str">
            <v>EES</v>
          </cell>
        </row>
        <row r="9">
          <cell r="R9" t="str">
            <v>Panel Module Fault Annunciator 40/40-IP, 
TYPE : UC 625, with PB, 
INPUT : 220vDC, 
No. of I/P : 40 I/P Case equiped for 40 I/P, 
Field contact voltage : 24 VDC, 
Aux. Sup : 220vDC and 220VAC</v>
          </cell>
        </row>
        <row r="11">
          <cell r="R11" t="str">
            <v>Panel Module Fault Annunciator 24/28-IP, 
TYPE : UC 625, with PB, 
INPUT : 220vDC, 
No. of I/P : 28 I/P Case equiped for 24 I/P, 
Field contact voltage : 24 VDC, 
Aux. Sup : 220vDC and 220VAC</v>
          </cell>
        </row>
        <row r="13">
          <cell r="R13" t="str">
            <v>Panel Module Fault Annunciator 28/28-IP, 
TYPE : UC 625, with PB, 
INPUT : 220vDC, 
No. of I/P : 28 I/P Case equiped for 28 I/P, 
Field contact voltage : 24 VDC, 
Aux. Sup : 220vDC and 220VAC</v>
          </cell>
        </row>
        <row r="15">
          <cell r="D15" t="str">
            <v>METERS</v>
          </cell>
          <cell r="R15" t="str">
            <v>FAULT RECORDER TYPE  IDM
5 IDM (T5) 32A/64D (6U high) Data Acquisition Unit (2 x IDM 16/32 DAU’s in one 6U chassis)
1 Local Hard Disk Unit (LSU) (3U high) with 56K Modem, LAN card and
20Gb HDD capacity
2 8 port Network Switch, Shelf (2U high) &amp; Cables (t</v>
          </cell>
        </row>
        <row r="16">
          <cell r="D16" t="str">
            <v>ELESTER</v>
          </cell>
        </row>
        <row r="17">
          <cell r="D17" t="str">
            <v>CEWE</v>
          </cell>
        </row>
        <row r="18">
          <cell r="D18" t="str">
            <v>SACI</v>
          </cell>
        </row>
        <row r="20">
          <cell r="D20" t="str">
            <v>PROTECTION</v>
          </cell>
        </row>
        <row r="21">
          <cell r="D21" t="str">
            <v>CHABB</v>
          </cell>
        </row>
        <row r="22">
          <cell r="D22" t="str">
            <v>SEABB</v>
          </cell>
        </row>
        <row r="23">
          <cell r="D23" t="str">
            <v>DEABB</v>
          </cell>
        </row>
        <row r="24">
          <cell r="D24" t="str">
            <v>FISUP</v>
          </cell>
        </row>
        <row r="25">
          <cell r="D25" t="str">
            <v>EGARC</v>
          </cell>
        </row>
        <row r="26">
          <cell r="D26" t="str">
            <v>ARTECHE</v>
          </cell>
        </row>
        <row r="27">
          <cell r="D27" t="str">
            <v>SCHARER ELECTRONIC AG</v>
          </cell>
        </row>
        <row r="28">
          <cell r="D28" t="str">
            <v>Siemes</v>
          </cell>
        </row>
        <row r="29">
          <cell r="D29" t="str">
            <v>ALSTOM</v>
          </cell>
        </row>
        <row r="30">
          <cell r="D30" t="str">
            <v>AREVA</v>
          </cell>
        </row>
        <row r="33">
          <cell r="D33" t="str">
            <v>AUX.</v>
          </cell>
        </row>
        <row r="34">
          <cell r="D34" t="str">
            <v>KLAXON</v>
          </cell>
        </row>
        <row r="35">
          <cell r="D35" t="str">
            <v>M.G</v>
          </cell>
        </row>
        <row r="36">
          <cell r="D36" t="str">
            <v>FINDER</v>
          </cell>
        </row>
        <row r="37">
          <cell r="D37" t="str">
            <v>PHOENIX</v>
          </cell>
        </row>
        <row r="38">
          <cell r="D38" t="str">
            <v>RITTAL</v>
          </cell>
        </row>
        <row r="39">
          <cell r="D39" t="str">
            <v>FUNKE and HUSTER</v>
          </cell>
        </row>
        <row r="40">
          <cell r="D40" t="str">
            <v>CEF</v>
          </cell>
        </row>
        <row r="41">
          <cell r="D41" t="str">
            <v>ABB STOTZ</v>
          </cell>
        </row>
        <row r="42">
          <cell r="D42" t="str">
            <v>ABB ENTERLEC</v>
          </cell>
        </row>
        <row r="43">
          <cell r="D43" t="str">
            <v>ABB INSTRUMENTATION</v>
          </cell>
        </row>
        <row r="44">
          <cell r="D44" t="str">
            <v>EAO</v>
          </cell>
        </row>
        <row r="45">
          <cell r="D45" t="str">
            <v>APS ELEKTRONIK AG</v>
          </cell>
        </row>
        <row r="46">
          <cell r="D46" t="str">
            <v>BRAINCHILD</v>
          </cell>
        </row>
        <row r="47">
          <cell r="D47" t="str">
            <v>FERER</v>
          </cell>
        </row>
      </sheetData>
      <sheetData sheetId="11">
        <row r="6">
          <cell r="T6">
            <v>574.64530000000002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RIO"/>
      <sheetName val="CASTELMASSA"/>
      <sheetName val="cespiti spinetta"/>
      <sheetName val="SPINETTA"/>
      <sheetName val="VILLA S.LUCIA"/>
      <sheetName val="PORCARI"/>
      <sheetName val="SERENE 2 TRENI"/>
      <sheetName val="SERENE 1 TRENO"/>
      <sheetName val="LILLE"/>
      <sheetName val="MARTOREL"/>
      <sheetName val="BURGO"/>
      <sheetName val="NERA MONTORO"/>
      <sheetName val="SETTIMO T."/>
      <sheetName val="cespiti sesto sg"/>
      <sheetName val="SESTO S.G."/>
      <sheetName val="BUSSI"/>
      <sheetName val="SAN QUIRICO"/>
      <sheetName val="CONTARINA"/>
      <sheetName val="SARMATO"/>
      <sheetName val="SARMATO(sup)"/>
      <sheetName val="MILAZZO"/>
      <sheetName val="JESI"/>
      <sheetName val="CELANO"/>
      <sheetName val="TERNI"/>
      <sheetName val="BOFFALORA"/>
      <sheetName val="SESTO 2"/>
      <sheetName val="PIOMBINO"/>
      <sheetName val="cespiti cet2 piombino"/>
      <sheetName val="CET 2 PIOMBINO"/>
      <sheetName val="cespiti cet2 piombino (2)"/>
      <sheetName val="CET 2 PIOMBINO (2)"/>
      <sheetName val="cespiti taranto"/>
      <sheetName val="CET 2 TARANTO"/>
      <sheetName val="CET 3 TARANTO"/>
      <sheetName val="cespiti marghera"/>
      <sheetName val="LEVANTE"/>
      <sheetName val="AZOTATI"/>
      <sheetName val="RIMA"/>
      <sheetName val="STAZIONI"/>
      <sheetName val="IBIRITERMO"/>
      <sheetName val="ALTOMONTE"/>
      <sheetName val="ALTOMONTE (2)"/>
      <sheetName val="CANDELA"/>
      <sheetName val="CANDELA (2)"/>
      <sheetName val="TORVISCOSA"/>
      <sheetName val="SIMERI CRI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UMM."/>
      <sheetName val="POWER"/>
      <sheetName val="WHRB"/>
      <sheetName val="DESAL."/>
      <sheetName val="BOP"/>
      <sheetName val="PIPING"/>
      <sheetName val="INSULATION"/>
      <sheetName val="PAINTING"/>
      <sheetName val="Sch 3"/>
      <sheetName val="Sch 4"/>
      <sheetName val="Sch 5"/>
      <sheetName val="BOP (OLD)"/>
      <sheetName val=" Est"/>
      <sheetName val="piles "/>
      <sheetName val="Post Tension"/>
      <sheetName val="price fluctuation table (new)"/>
      <sheetName val="B.O.Q"/>
      <sheetName val="Soil Test"/>
      <sheetName val="By SIAC"/>
      <sheetName val="Div.5"/>
      <sheetName val="Div.7"/>
      <sheetName val="Wood"/>
      <sheetName val="St.D"/>
      <sheetName val="Al."/>
      <sheetName val="M&amp;G"/>
      <sheetName val="S.C."/>
      <sheetName val="PT."/>
      <sheetName val="Div.10"/>
      <sheetName val="P&amp;G"/>
      <sheetName val="indirect-oh TOTAL"/>
      <sheetName val="Eng.Facility"/>
      <sheetName val="Sheet1"/>
      <sheetName val="D-3"/>
      <sheetName val="#REF"/>
      <sheetName val="A CONDITIONS"/>
      <sheetName val="CEMENT"/>
      <sheetName val="Z- GENERAL PRICE SUMMARY"/>
      <sheetName val="DUMMY"/>
      <sheetName val="indirect-oh"/>
      <sheetName val="ESCALATED RATIOS"/>
      <sheetName val=" Estimate  "/>
      <sheetName val="WITHOUT C&amp;I PROFIT (3)"/>
      <sheetName val="WITHOUT C&amp;I PROFIT"/>
      <sheetName val="BILL"/>
      <sheetName val="direct oh."/>
      <sheetName val="direct oh.m. "/>
      <sheetName val="direct oh. e."/>
      <sheetName val="c"/>
      <sheetName val="I. T. C."/>
      <sheetName val="boq"/>
      <sheetName val="Sheet2"/>
      <sheetName val="Sheet3"/>
      <sheetName val="Equip."/>
      <sheetName val="Book1"/>
      <sheetName val="Deviation"/>
      <sheetName val=" Est "/>
      <sheetName val="sum"/>
      <sheetName val="division 01"/>
      <sheetName val="division 02"/>
      <sheetName val="division 04"/>
      <sheetName val="D"/>
      <sheetName val="division 05"/>
      <sheetName val="division 07"/>
      <sheetName val="division 08"/>
      <sheetName val="division 09"/>
      <sheetName val="Division  10"/>
      <sheetName val="division 11 "/>
      <sheetName val="DIVISION 12 "/>
      <sheetName val="Division 13"/>
      <sheetName val="division"/>
      <sheetName val="Built in Benches"/>
      <sheetName val="Counters"/>
      <sheetName val="Baisch"/>
      <sheetName val="DOLLAR"/>
      <sheetName val="summary 20-11-03"/>
      <sheetName val="GRAND SUMMARY"/>
      <sheetName val="FINALIZATION - 20-11-03"/>
      <sheetName val="FINALIZATION - 30-11-03 "/>
      <sheetName val="dollar content30-11-03"/>
      <sheetName val="Table 3"/>
      <sheetName val="SIEMENS -additional"/>
      <sheetName val="Index"/>
      <sheetName val="Instr'n "/>
      <sheetName val="RFP002"/>
      <sheetName val="RFP003A"/>
      <sheetName val="RFP003A BRK-DWN"/>
      <sheetName val="RFP003B"/>
      <sheetName val="RFP003C"/>
      <sheetName val="RFP003C-1"/>
      <sheetName val="RFP003D"/>
      <sheetName val="RFP003E"/>
      <sheetName val="RFP003F"/>
      <sheetName val="RFP003G"/>
      <sheetName val="RFP003H"/>
      <sheetName val="RFP003F_BRK-DWN"/>
      <sheetName val="RFP004"/>
      <sheetName val="RFP004E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Equipment"/>
      <sheetName val="TOOLS"/>
      <sheetName val="cars"/>
      <sheetName val="slipform details"/>
      <sheetName val="post tens. details"/>
      <sheetName val="FORM WORK Detail  Cost"/>
      <sheetName val="FORM WORK DETAILS"/>
      <sheetName val="CONCRETE DETAILS"/>
      <sheetName val="STEEL REBAR DETAILS"/>
      <sheetName val="masonary&amp; tiles details"/>
      <sheetName val="Contract BOQ"/>
      <sheetName val="direct oh. CEMENT "/>
      <sheetName val="indirect-oh-civil"/>
      <sheetName val="PLAGCoct03"/>
      <sheetName val="総括表紙"/>
      <sheetName val="見積ベース"/>
      <sheetName val="総括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7">
          <cell r="D7">
            <v>6.4</v>
          </cell>
        </row>
        <row r="8">
          <cell r="D8">
            <v>8.4</v>
          </cell>
        </row>
        <row r="10">
          <cell r="D10">
            <v>6.7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0">
          <cell r="AA30" t="str">
            <v>SLIP</v>
          </cell>
          <cell r="AM30" t="str">
            <v>&lt;E</v>
          </cell>
          <cell r="AQ30" t="str">
            <v>&lt;</v>
          </cell>
        </row>
        <row r="45">
          <cell r="AE45" t="str">
            <v>&lt;</v>
          </cell>
        </row>
      </sheetData>
      <sheetData sheetId="126"/>
      <sheetData sheetId="127"/>
      <sheetData sheetId="1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ATA-1"/>
      <sheetName val="TRAFO-1"/>
      <sheetName val="LF-1"/>
      <sheetName val="BC-1"/>
      <sheetName val="INCOM-1"/>
      <sheetName val="Common-1"/>
      <sheetName val="Control Cable"/>
      <sheetName val="Sheet1"/>
    </sheetNames>
    <sheetDataSet>
      <sheetData sheetId="0" refreshError="1"/>
      <sheetData sheetId="1">
        <row r="1">
          <cell r="AP1" t="str">
            <v>LIST1010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川崎HRSG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-PARTIDAS"/>
      <sheetName val="MEMORIA"/>
      <sheetName val="PRESUPUESTO FINAL"/>
      <sheetName val="PRES-PTE CAILLIN"/>
      <sheetName val="PRES-PTE CONHUECO"/>
      <sheetName val="PARTIDAS"/>
      <sheetName val="GGYUTIL"/>
      <sheetName val="MAESTRA"/>
      <sheetName val="PRECIOS"/>
      <sheetName val="PU_TIPO"/>
      <sheetName val="Macros"/>
      <sheetName val="RESUMEN"/>
      <sheetName val="PRESUPUESTO_FINAL"/>
      <sheetName val="PRES-PTE_CAILLIN"/>
      <sheetName val="PRES-PTE_CONHUE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4">
          <cell r="D64">
            <v>4300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mp Sum Cover"/>
      <sheetName val="LS prelims"/>
      <sheetName val="3.1 Excavations"/>
      <sheetName val="3.2 Concrete Works"/>
      <sheetName val="3.3 Waterproofing"/>
      <sheetName val="3 Summary"/>
      <sheetName val="4.1 Concrete Works"/>
      <sheetName val="4.2 void"/>
      <sheetName val="4.2 Steelwork"/>
      <sheetName val="4.3 Masonry"/>
      <sheetName val="4 Summary"/>
      <sheetName val="5.1 Atrium Glazing"/>
      <sheetName val="5.3 Cladding to Elevations"/>
      <sheetName val="5.4 Roof Coverings"/>
      <sheetName val="5 Summary"/>
      <sheetName val="6.1.1 Floor Finishes"/>
      <sheetName val="6.1.2 Floor Finishes"/>
      <sheetName val="6.1.3 Floor Finishes"/>
      <sheetName val="6.1.4 Floor Finishes"/>
      <sheetName val="6.1.5 Floor Finishes"/>
      <sheetName val="6.1.6 Floor Finishes"/>
      <sheetName val="6.2 Floor Finishes"/>
      <sheetName val="6 Fit Out Summary"/>
      <sheetName val="7.1 Hotel Entry"/>
      <sheetName val="7.1 Ballroom Entry"/>
      <sheetName val="7.1 Swimming Pool Area"/>
      <sheetName val="7.1 Atrium"/>
      <sheetName val="7.1 Terraces (Service Yard)"/>
      <sheetName val="7.1 Summary"/>
      <sheetName val="7.3 Minor Building Works"/>
      <sheetName val="External Works Summary"/>
      <sheetName val="11 BWIC services"/>
      <sheetName val="Lump Sum Main Summary"/>
      <sheetName val="Remeasure BQ Cover"/>
      <sheetName val="Preliminaries"/>
      <sheetName val="5.2 Windows and Other Glazing"/>
      <sheetName val="5.5 Roof Glazing"/>
      <sheetName val="5 Summary (2)"/>
      <sheetName val="6.1.1 King Guest Room"/>
      <sheetName val="6.1.2 King Guest Room Small"/>
      <sheetName val="6.1.3 Twin Guest Room"/>
      <sheetName val="6.1.4 Typical Suite"/>
      <sheetName val="6.1.5 Junior Suite"/>
      <sheetName val="6.1.6 Disabled Suite"/>
      <sheetName val="6.1.7 Corridors"/>
      <sheetName val="6.2 Public Areas"/>
      <sheetName val="6.3 BOH Areas"/>
      <sheetName val="6 Fit Out Summary (2)"/>
      <sheetName val="7.1 Hotel Entry (2)"/>
      <sheetName val="7.1 Ballroom Entry (2)"/>
      <sheetName val="7.1 Swimming Pool Area (2)"/>
      <sheetName val="7.1 Atrium (2)"/>
      <sheetName val="7.1 Terraces (Service Yard) (2)"/>
      <sheetName val="7.1 Summary (2)"/>
      <sheetName val="7.2 Hotel Entry"/>
      <sheetName val="7.2 Ballroom Entry"/>
      <sheetName val="7.2 Swimming Pool Area"/>
      <sheetName val="7.2 Atrium"/>
      <sheetName val="7.2 Terraces (Service Yard)"/>
      <sheetName val="7.2 Summary"/>
      <sheetName val="7.3 Hotel Entry"/>
      <sheetName val="7.3 Swimming Pool Area"/>
      <sheetName val="7.3 Atrium"/>
      <sheetName val="7.3 Terraces (Service Yard)"/>
      <sheetName val="7.3 Summary"/>
      <sheetName val="External Works Summary (2)"/>
      <sheetName val="14 Provisional Sums"/>
      <sheetName val="Remeasure Main Summary"/>
      <sheetName val="Total Projec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UM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LABOUR HISTOGRAM"/>
      <sheetName val="BQ"/>
      <sheetName val="BQ External"/>
      <sheetName val="Penthouse Apartment"/>
      <sheetName val="icmal"/>
      <sheetName val="Notes"/>
      <sheetName val="Basis"/>
      <sheetName val="#REF"/>
      <sheetName val="StattCo yCharges"/>
      <sheetName val="GFA_HQ_Building"/>
      <sheetName val="GFA_Conference"/>
      <sheetName val="Su}}ary"/>
      <sheetName val="TAS"/>
      <sheetName val="SubmitCal"/>
      <sheetName val="Cash2"/>
      <sheetName val="Z"/>
      <sheetName val="Raw Data"/>
      <sheetName val="Graph Data (DO NOT PRINT)"/>
      <sheetName val="D-623D"/>
      <sheetName val="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budget summary (2)"/>
      <sheetName val="Budget Analysis Summary"/>
      <sheetName val="Option"/>
      <sheetName val="Chiet tinh dz22"/>
      <sheetName val="Chiet tinh dz35"/>
      <sheetName val="CT Thang Mo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"/>
      <sheetName val="改加胶玻璃、室外栏杆"/>
      <sheetName val="FOL - Bar"/>
      <sheetName val="LEVEL SHEET"/>
      <sheetName val="SPT vs PHI"/>
      <sheetName val="CASHFLOWS"/>
      <sheetName val="Sheet2"/>
      <sheetName val="CT  PL"/>
      <sheetName val="BOQ"/>
      <sheetName val="Bill No. 2"/>
      <sheetName val="ANNEXURE-A"/>
      <sheetName val="Customize Your Invoice"/>
      <sheetName val="B"/>
      <sheetName val="HVAC BoQ"/>
      <sheetName val="PriceSummary"/>
      <sheetName val="企业表一"/>
      <sheetName val="M-5C"/>
      <sheetName val="M-5A"/>
      <sheetName val="COC"/>
      <sheetName val="intr stool brkup"/>
      <sheetName val="Sheet1"/>
      <sheetName val="Data"/>
      <sheetName val="Tender Summary"/>
      <sheetName val="Insurance Ext"/>
      <sheetName val="Prelims"/>
      <sheetName val="GFA_HQ_Building1"/>
      <sheetName val="GFA_Conference1"/>
      <sheetName val="BQ_External1"/>
      <sheetName val="Penthouse_Apartment"/>
      <sheetName val="LABOUR_HISTOGRAM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Budget"/>
      <sheetName val="JAS"/>
      <sheetName val="Sheet3"/>
      <sheetName val="HQ-TO"/>
      <sheetName val="Body Sheet"/>
      <sheetName val="1.0 Executive Summary"/>
      <sheetName val="SHOPLIST.xls"/>
      <sheetName val="Ap A"/>
      <sheetName val="Bill 2"/>
      <sheetName val="ConferenceCentre_x0000_옰ʒ䄂ʒ鵠ʐ䄂ʒ閐̐䄂ʒ蕈̐"/>
      <sheetName val="Top sheet"/>
      <sheetName val="Rate analysis"/>
      <sheetName val="List"/>
      <sheetName val="POWER"/>
      <sheetName val="MTP"/>
      <sheetName val="Currencies"/>
      <sheetName val="LABOUR_HISTOGRAM1"/>
      <sheetName val="2 Div 14 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Geneí¬_x0008_i_x0000__x0000__x0014__x0000_0."/>
      <sheetName val="70_x0000_,/0_x0000_s«_x0008_i_x0000_Æø_x0003_í¬_x0008_i_x0000_"/>
      <sheetName val="기계내역서"/>
      <sheetName val="DATAS"/>
      <sheetName val="Inputs"/>
      <sheetName val="concrete"/>
      <sheetName val="beam-reinft-IIInd floor"/>
      <sheetName val="beam-reinft-machine rm"/>
      <sheetName val="girder"/>
      <sheetName val="Rocker"/>
      <sheetName val="98Price"/>
      <sheetName val="Rate_Analysis"/>
      <sheetName val="ACT_SPS"/>
      <sheetName val="SPSF"/>
      <sheetName val="Invoice Summary"/>
      <sheetName val="SAP"/>
      <sheetName val="PROJECT BRIEF"/>
      <sheetName val="Civil Boq"/>
      <sheetName val="Tender_Summary"/>
      <sheetName val="Insurance_Ext"/>
      <sheetName val="C (3)"/>
      <sheetName val="공종별_집계금액"/>
      <sheetName val="Customize_Your_Invoice"/>
      <sheetName val="HVAC_BoQ"/>
      <sheetName val="Dubai golf"/>
      <sheetName val="GFA_HQ_Building2"/>
      <sheetName val="GFA_Conference2"/>
      <sheetName val="BQ_External2"/>
      <sheetName val="Penthouse_Apartment1"/>
      <sheetName val="StattCo_yCharges1"/>
      <sheetName val="Raw_Data1"/>
      <sheetName val="Bill_No__21"/>
      <sheetName val="Graph_Data_(DO_NOT_PRINT)1"/>
      <sheetName val="Chiet_tinh_dz221"/>
      <sheetName val="Chiet_tinh_dz351"/>
      <sheetName val="CT_Thang_Mo1"/>
      <sheetName val="@risk_rents_and_incentives1"/>
      <sheetName val="Car_park_lease1"/>
      <sheetName val="Net_rent_analysis1"/>
      <sheetName val="Poz-1_1"/>
      <sheetName val="Lab_Cum_Hist1"/>
      <sheetName val="FOL_-_Bar1"/>
      <sheetName val="LEVEL_SHEET1"/>
      <sheetName val="SPT_vs_PHI1"/>
      <sheetName val="budget_summary_(2)1"/>
      <sheetName val="Budget_Analysis_Summary1"/>
      <sheetName val="Projet,_methodes_&amp;_couts1"/>
      <sheetName val="Risques_majeurs_&amp;_Frais_Ind_1"/>
      <sheetName val="CT__PL1"/>
      <sheetName val="intr_stool_brkup"/>
      <sheetName val="Top_sheet"/>
      <sheetName val="Body_Sheet"/>
      <sheetName val="1_0_Executive_Summary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ody_Sheet1"/>
      <sheetName val="1_0_Executive_Summary1"/>
      <sheetName val="Top_sheet1"/>
      <sheetName val="intr_stool_brkup1"/>
      <sheetName val="Rate_analysis1"/>
      <sheetName val="LABOUR_HISTOGRAM2"/>
      <sheetName val="Tender_Summary1"/>
      <sheetName val="Insurance_Ext1"/>
      <sheetName val="Customize_Your_Invoice1"/>
      <sheetName val="HVAC_BoQ1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Geneí¬_x0008_i"/>
      <sheetName val="70"/>
      <sheetName val="GFA_HQ_Building6"/>
      <sheetName val="Wall"/>
      <sheetName val="Day work"/>
      <sheetName val="Bill_21"/>
      <sheetName val="2_Div_14_"/>
      <sheetName val="Activity List"/>
      <sheetName val="sal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Ap_A1"/>
      <sheetName val="2_Div_14_1"/>
      <sheetName val="Bill_22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Geneí¬i0_"/>
      <sheetName val="70,/0s«iÆøí¬i"/>
      <sheetName val="Invoice_Summary1"/>
      <sheetName val="POWER_ASSUMPTIONS1"/>
      <sheetName val="beam-reinft-machine_rm1"/>
      <sheetName val="Geneí¬i"/>
      <sheetName val="PROJECT_BRIEF1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Dubai_golf"/>
      <sheetName val="Ap_A"/>
      <sheetName val="SHOPLIST_xls"/>
      <sheetName val="Bill_11"/>
      <sheetName val="Bill_31"/>
      <sheetName val="Bill_41"/>
      <sheetName val="Bill_51"/>
      <sheetName val="Bill_61"/>
      <sheetName val="Bill_71"/>
      <sheetName val="beam-reinft-IIInd_floor"/>
      <sheetName val="Invoice_Summary"/>
      <sheetName val="POWER_ASSUMPTIONS"/>
      <sheetName val="beam-reinft-machine_rm"/>
      <sheetName val="PROJECT_BRIEF"/>
      <sheetName val="BILL COV"/>
      <sheetName val="PA- Consutant "/>
      <sheetName val="upa"/>
      <sheetName val="Ra  stair"/>
      <sheetName val="마산월령동골조물량변경"/>
      <sheetName val="Softscape Buildup"/>
      <sheetName val="Mat'l Rate"/>
      <sheetName val="WITHOUT C&amp;I PROFIT (3)"/>
      <sheetName val="ABSTRACT"/>
      <sheetName val="DETAILED  BOQ"/>
      <sheetName val="M-Book for Conc"/>
      <sheetName val="M-Book for FW"/>
      <sheetName val="Vehicles"/>
      <sheetName val="MOS"/>
      <sheetName val="CODE"/>
      <sheetName val="HIRED LABOUR CODE"/>
      <sheetName val="Design"/>
      <sheetName val="foot-slab 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Data_Summary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갑지"/>
      <sheetName val="15-MECH"/>
      <sheetName val="C_(3)1"/>
      <sheetName val="C_(3)"/>
      <sheetName val="2_Div_14_2"/>
      <sheetName val="Bill_23"/>
      <sheetName val="Ap_A2"/>
      <sheetName val="PROJECT_BRIEF2"/>
      <sheetName val="C_(3)2"/>
      <sheetName val="WITHOUT_C&amp;I_PROFIT_(3)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bill nb2-Plumbing &amp; Drainag"/>
      <sheetName val="Pl &amp; Dr B"/>
      <sheetName val="Pl &amp; Dr G"/>
      <sheetName val="Pl &amp; Dr M"/>
      <sheetName val="Pl &amp; Dr 1"/>
      <sheetName val="XV10017"/>
      <sheetName val="GPL Revenu Update"/>
      <sheetName val="DO NOT TOUCH"/>
      <sheetName val="Work Type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VALVE_CHAMBERS2"/>
      <sheetName val="Fire_Hydrants2"/>
      <sheetName val="B_GATE_VALVE2"/>
      <sheetName val="Sub_G1_Fire2"/>
      <sheetName val="Sub_G12_Fire2"/>
      <sheetName val="VALVE_CHAMBERS3"/>
      <sheetName val="Fire_Hydrants3"/>
      <sheetName val="B_GATE_VALVE3"/>
      <sheetName val="Sub_G1_Fire3"/>
      <sheetName val="Sub_G12_Fire3"/>
      <sheetName val="Contract Division"/>
      <sheetName val="SubContract Type"/>
      <sheetName val="Service Type"/>
      <sheetName val="UOM"/>
      <sheetName val="CERTIFICATE"/>
      <sheetName val="ConferenceCentre?옰ʒ䄂ʒ鵠ʐ䄂ʒ閐̐䄂ʒ蕈̐"/>
      <sheetName val="CHART OF ACCOUNTS"/>
      <sheetName val="Toolbox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INSTR"/>
      <sheetName val="GFA_HQ_Building9"/>
      <sheetName val="GFA_Conference8"/>
      <sheetName val="BQ_External8"/>
      <sheetName val="Graph_Data_(DO_NOT_PRINT)7"/>
      <sheetName val="Penthouse_Apartment7"/>
      <sheetName val="Chiet_tinh_dz227"/>
      <sheetName val="Chiet_tinh_dz357"/>
      <sheetName val="StattCo_yCharges7"/>
      <sheetName val="Raw_Data7"/>
      <sheetName val="LABOUR_HISTOGRAM8"/>
      <sheetName val="@risk_rents_and_incentives7"/>
      <sheetName val="Car_park_lease7"/>
      <sheetName val="Net_rent_analysis7"/>
      <sheetName val="Poz-1_7"/>
      <sheetName val="CT_Thang_Mo7"/>
      <sheetName val="Lab_Cum_Hist7"/>
      <sheetName val="LEVEL_SHEET7"/>
      <sheetName val="Bill_No__27"/>
      <sheetName val="Tender_Summary7"/>
      <sheetName val="Insurance_Ext7"/>
      <sheetName val="FOL_-_Bar7"/>
      <sheetName val="SPT_vs_PHI7"/>
      <sheetName val="Customize_Your_Invoice7"/>
      <sheetName val="HVAC_BoQ7"/>
      <sheetName val="budget_summary_(2)6"/>
      <sheetName val="Budget_Analysis_Summary6"/>
      <sheetName val="Body_Sheet6"/>
      <sheetName val="1_0_Executive_Summary6"/>
      <sheetName val="Projet,_methodes_&amp;_couts6"/>
      <sheetName val="Risques_majeurs_&amp;_Frais_Ind_6"/>
      <sheetName val="Top_sheet6"/>
      <sheetName val="CT__PL6"/>
      <sheetName val="intr_stool_brkup6"/>
      <sheetName val="Rate_analysis6"/>
      <sheetName val="Day_work"/>
      <sheetName val="BILL_COV"/>
      <sheetName val="RA-markate"/>
      <sheetName val="BOQ_Direct_selling cost"/>
      <sheetName val="E-Bill No.6 A-O"/>
      <sheetName val="B03"/>
      <sheetName val="B09.1"/>
      <sheetName val="Ra__stair"/>
      <sheetName val="PMWeb_data"/>
      <sheetName val="SS_MH"/>
      <sheetName val="PMWeb data"/>
      <sheetName val="SS MH"/>
      <sheetName val="Eq. Mobilization"/>
      <sheetName val="w't table"/>
      <sheetName val="cp-e1"/>
      <sheetName val="COLUMN"/>
      <sheetName val="Working for RCC"/>
      <sheetName val="Gra¦_x0004_)_x0000__x0000__x0000_VW_x0000__x0000__x0000__x0000__x0000__x0000__x0000__x0000__x0000_ U"/>
      <sheetName val="/VW_x0000_VU_x0000_)_x0000__x0000__x0000_)_x0000__x0000__x0000__x0001__x0000__x0000__x0000_tÏØ0 _x0008__x0000__x0000_ _x0008_"/>
      <sheetName val="/VW_x0000_VU_x0000_)_x0000__x0000__x0000_)_x0000__x0000__x0000__x0001__x0000__x0000__x0000_tÏØ0_x0009__x0008__x0000__x0000__x0009__x0008_"/>
      <sheetName val="MEP"/>
      <sheetName val="IR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DETAILED__BOQ1"/>
      <sheetName val="M-Book_for_Conc1"/>
      <sheetName val="M-Book_for_FW1"/>
      <sheetName val="HIRED_LABOUR_CODE1"/>
      <sheetName val="PA-_Consutant_1"/>
      <sheetName val="foot-slab_reinft1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iv.07 Thermal &amp; Moisture"/>
      <sheetName val="BS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col-reinft1"/>
      <sheetName val="Softscape_Buildup2"/>
      <sheetName val="Mat'l_Rate2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Material List "/>
      <sheetName val="2.2)Revised Cash Flow"/>
      <sheetName val="Gra¦_x0004_)"/>
      <sheetName val="/VW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Chiet t"/>
      <sheetName val="Staffing and Rates IA"/>
      <sheetName val="References"/>
      <sheetName val="escalation"/>
      <sheetName val="ANAL"/>
      <sheetName val="Lists"/>
      <sheetName val="입찰내역 발주처 양식"/>
      <sheetName val="LIST DO NOT REMOVE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Day_work2"/>
      <sheetName val="Gra¦)VW_U"/>
      <sheetName val="/VWVU))tÏØ0  "/>
      <sheetName val="/VWVU))tÏØ0__"/>
      <sheetName val="Prices"/>
      <sheetName val="Rate summary"/>
      <sheetName val="#REF!"/>
      <sheetName val="SW-TEO"/>
      <sheetName val="科目余额表正式"/>
      <sheetName val="Quantity"/>
      <sheetName val="??-BLDG"/>
      <sheetName val="PNT-QUOT-#3"/>
      <sheetName val="COAT&amp;WRAP-QIOT-#3"/>
      <sheetName val="ml"/>
      <sheetName val="Employee List"/>
      <sheetName val="2_2)Revised_Cash_Flow"/>
      <sheetName val="B6.2 "/>
      <sheetName val="PointNo_5"/>
      <sheetName val="w't_table"/>
      <sheetName val="Elemental_Buildup"/>
      <sheetName val="Earthwork"/>
      <sheetName val="GIAVLIEU"/>
      <sheetName val="Project Cost Breakdown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_x005f_x0000__x005f_x0000__x005f_x0000__x005f_x0000__x0"/>
      <sheetName val="Staff Acco."/>
      <sheetName val="TBAL9697 -group wise  sdpl"/>
      <sheetName val="SITE WORK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[SHOPLIST.xls][SHOPLIST.xls]70_x0000_"/>
      <sheetName val="[SHOPLIST.xls][SHOPLIST.xls]70,"/>
      <sheetName val="dv_info"/>
      <sheetName val="[SHOPLIST.xls]70_x0000_,/0_x0000_s«_x0008_i_x0000_Æø_x0003_í¬"/>
      <sheetName val="Demand"/>
      <sheetName val="Occ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Рабочий лист"/>
      <sheetName val="ФМ"/>
      <sheetName val="Сравнение"/>
      <sheetName val="PRJDATA"/>
      <sheetName val="Master"/>
      <sheetName val="合成単価作成表-BLDG"/>
      <sheetName val="BASE_APR17_HISTOGRAMS"/>
      <sheetName val="Labour &amp; Plant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-safe DELUXE"/>
      <sheetName val="Old"/>
      <sheetName val="Elemental_Buildup1"/>
      <sheetName val="PointNo_51"/>
      <sheetName val="B6_2_"/>
      <sheetName val="LIST_DO_NOT_REMOVE"/>
      <sheetName val="Table"/>
      <sheetName val="70_x005f_x0000_,/0_x005f_x0000_s«_x005f_x0008_i_x"/>
      <sheetName val="Back up"/>
      <sheetName val="%"/>
      <sheetName val="Sub_G1_Five"/>
      <sheetName val="BG"/>
      <sheetName val="RAB AR&amp;STR"/>
      <sheetName val="Annex 1 Sect 3a"/>
      <sheetName val="Annex 1 Sect 3a.1"/>
      <sheetName val="Annex 1 Sect 3b"/>
      <sheetName val="Annex 1 Sect 3c"/>
      <sheetName val="HOURLY RATES"/>
      <sheetName val="[SHOPLIST.xls]70,/0s«iÆøí¬i"/>
      <sheetName val="[SHOPLIST.xls]/VW"/>
      <sheetName val="Geneí¬ i_x0000__x0000_ _x0000_0."/>
      <sheetName val="70_x0000_,/0_x0000_s« i_x0000_Æø í¬ i_x0000_"/>
      <sheetName val="Risk Breakdown Structure"/>
      <sheetName val="Lookup"/>
      <sheetName val="Header"/>
      <sheetName val="Map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Mall waterproofing"/>
      <sheetName val="MSCP waterproofing"/>
      <sheetName val="-----------------"/>
      <sheetName val="PT 141- Site A Landscape"/>
      <sheetName val="Materials_Cost(PCC)3"/>
      <sheetName val="India_F&amp;S_Template3"/>
      <sheetName val="IO_LIST3"/>
      <sheetName val="Material_3"/>
      <sheetName val="Quote_Sheet3"/>
      <sheetName val="Day_work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70,_0s«iÆøí¬i"/>
      <sheetName val="Duct Accesories"/>
      <sheetName val="ConferenceCentre_옰ʒ䄂ʒ鵠ʐ䄂ʒ閐̐䄂ʒ蕈̐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CHART_OF_ACCOUNTS2"/>
      <sheetName val="E-Bill_No_6_A-O2"/>
      <sheetName val="B185-B-9_12"/>
      <sheetName val="B185-B-9_22"/>
      <sheetName val="B09_12"/>
      <sheetName val="BOQ_Direct_selling_cost2"/>
      <sheetName val="PMWeb_data2"/>
      <sheetName val="SS_MH2"/>
      <sheetName val="Eq__Mobilization2"/>
      <sheetName val="w't_table2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2_2)Revised_Cash_Flow1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Summary_of_Work"/>
      <sheetName val="Employee_List"/>
      <sheetName val="PRECAST_lightconc-II"/>
      <sheetName val="final_abstract"/>
      <sheetName val="/VWVU))tÏØ0__1"/>
      <sheetName val="Staff_Acco_"/>
      <sheetName val="TBAL9697_-group_wise__sdpl"/>
      <sheetName val="ConferenceCentre?옰ʒ䄂ʒ鵠ʐ䄂ʒ閐̐脭め_x0005__x0000_"/>
      <sheetName val="MA"/>
      <sheetName val="Rebars"/>
      <sheetName val="???? ??? ??"/>
      <sheetName val="200205C"/>
      <sheetName val="Headings"/>
      <sheetName val="Selections"/>
      <sheetName val="Common Variables"/>
      <sheetName val="PTS-1"/>
      <sheetName val="Geneí¬ i"/>
      <sheetName val="COSTING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E_&amp;_R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TESİSAT"/>
      <sheetName val="Definitions"/>
      <sheetName val="PROJECT BRIEF(EX.NEW)"/>
      <sheetName val="Sheet7"/>
      <sheetName val="AREA OF APPLICATION"/>
      <sheetName val="Steel"/>
      <sheetName val="[SHOPLIST.xls]70_x0000_,/0_x0000_s« i_x0000_Æø í¬"/>
      <sheetName val="Resumo Empreitadas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Base_Data"/>
      <sheetName val="P-100.MRF.DB.R1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Source"/>
      <sheetName val="RMOPS"/>
      <sheetName val="Finansal tamamlanma Eğrisi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Рабочий_лист"/>
      <sheetName val="1.2 Staff Schedule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instructions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E_&amp;_R1"/>
      <sheetName val="Labour_&amp;_Plant"/>
      <sheetName val="TRIAL_BALANCE"/>
      <sheetName val="Ave_wtd_rates"/>
      <sheetName val="Debits_as_on_12_04_08"/>
      <sheetName val="STAFFSCHED_"/>
      <sheetName val="[SHOPLIST_xls][SHOPLIST_xls]70"/>
      <sheetName val="[SHOPLIST_xls][SHOPLIST_xls]70,"/>
      <sheetName val="[SHOPLIST.xls][SHOPLIST.xls][SH"/>
      <sheetName val="[SHOPLIST.xls]/VW_x0000_VU_x0000_)_x0000__x0000__x0000_)_x0000__x0000__x0000_"/>
      <sheetName val="[SHOPLIST.xls][SHOPLIST.xls]/VW"/>
      <sheetName val="steel total"/>
      <sheetName val="ELE BOQ"/>
      <sheetName val="INDEX"/>
      <sheetName val="Home"/>
      <sheetName val="Food"/>
      <sheetName val="SRC-B3U2"/>
      <sheetName val="1-G1"/>
      <sheetName val="Coding"/>
      <sheetName val="Floor Box 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Vendors"/>
      <sheetName val="Cashflow projection"/>
      <sheetName val="FORM5"/>
      <sheetName val="Equip"/>
      <sheetName val="mw"/>
      <sheetName val="Geneí¬i___0_"/>
      <sheetName val="70_,_0_s«i_Æøí¬i_"/>
      <sheetName val="Common_Variables"/>
      <sheetName val="[SHOPLIST_xls]70,/0s«iÆøí¬"/>
      <sheetName val="[SHOPLIST_xls]70,/0s«iÆøí¬i"/>
      <sheetName val="GPL_Revenu_Update"/>
      <sheetName val="DO_NOT_TOUCH"/>
      <sheetName val="Work_Type"/>
      <sheetName val="ConferenceCentre?옰ʒ䄂ʒ鵠ʐ䄂ʒ閐̐脭め"/>
      <sheetName val="PROJECT_BRIEF(EX_NEW)"/>
      <sheetName val="analysis"/>
      <sheetName val="GFA_HQ_Building16"/>
      <sheetName val="GFA_Conference15"/>
      <sheetName val="StattCo_yCharges14"/>
      <sheetName val="BQ_External15"/>
      <sheetName val="Penthouse_Apartment14"/>
      <sheetName val="LABOUR_HISTOGRAM15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Graph_Data_(DO_NOT_PRINT)14"/>
      <sheetName val="Raw_Data14"/>
      <sheetName val="CT_Thang_Mo14"/>
      <sheetName val="LEVEL_SHEET14"/>
      <sheetName val="SPT_vs_PHI14"/>
      <sheetName val="Projet,_methodes_&amp;_couts13"/>
      <sheetName val="Risques_majeurs_&amp;_Frais_Ind_13"/>
      <sheetName val="Bill_No__214"/>
      <sheetName val="FOL_-_Bar14"/>
      <sheetName val="CT__PL13"/>
      <sheetName val="budget_summary_(2)13"/>
      <sheetName val="Budget_Analysis_Summary13"/>
      <sheetName val="Customize_Your_Invoice14"/>
      <sheetName val="HVAC_BoQ14"/>
      <sheetName val="intr_stool_brkup13"/>
      <sheetName val="Tender_Summary14"/>
      <sheetName val="Insurance_Ext14"/>
      <sheetName val="Body_Sheet13"/>
      <sheetName val="1_0_Executive_Summary13"/>
      <sheetName val="Top_sheet13"/>
      <sheetName val="Bill_212"/>
      <sheetName val="2_Div_14_11"/>
      <sheetName val="SHOPLIST_xls10"/>
      <sheetName val="PROJECT_BRIEF11"/>
      <sheetName val="Ap_A11"/>
      <sheetName val="Bill_111"/>
      <sheetName val="Bill_311"/>
      <sheetName val="Bill_411"/>
      <sheetName val="Bill_511"/>
      <sheetName val="Bill_611"/>
      <sheetName val="Bill_711"/>
      <sheetName val="beam-reinft-IIInd_floor10"/>
      <sheetName val="Dubai_golf10"/>
      <sheetName val="Invoice_Summary10"/>
      <sheetName val="beam-reinft-machine_rm10"/>
      <sheetName val="POWER_ASSUMPTIONS10"/>
      <sheetName val="C_(3)11"/>
      <sheetName val="Civil_Boq9"/>
      <sheetName val="PA-_Consutant_7"/>
      <sheetName val="DETAILED__BOQ7"/>
      <sheetName val="M-Book_for_Conc7"/>
      <sheetName val="M-Book_for_FW7"/>
      <sheetName val="WITHOUT_C&amp;I_PROFIT_(3)9"/>
      <sheetName val="Activity_List9"/>
      <sheetName val="Softscape_Buildup9"/>
      <sheetName val="Mat'l_Rate9"/>
      <sheetName val="Day_work6"/>
      <sheetName val="BILL_COV7"/>
      <sheetName val="HIRED_LABOUR_CODE7"/>
      <sheetName val="foot-slab_reinft7"/>
      <sheetName val="Ra__stair7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q__Mobilization5"/>
      <sheetName val="Elemental_Buildup4"/>
      <sheetName val="w't_table4"/>
      <sheetName val="PointNo_5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B09_15"/>
      <sheetName val="CHART_OF_ACCOUNTS5"/>
      <sheetName val="B185-B-9_15"/>
      <sheetName val="B185-B-9_25"/>
      <sheetName val="E-Bill_No_6_A-O5"/>
      <sheetName val="Working_for_RCC5"/>
      <sheetName val="PMWeb_data5"/>
      <sheetName val="Material_List_4"/>
      <sheetName val="Project_Cost_Breakdown2"/>
      <sheetName val="Index_List4"/>
      <sheetName val="Type_List4"/>
      <sheetName val="File_Types4"/>
      <sheetName val="SS_MH5"/>
      <sheetName val="2_2)Revised_Cash_Flow4"/>
      <sheetName val="입찰내역_발주처_양식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LIST_DO_NOT_REMOVE3"/>
      <sheetName val="Rate_summary1"/>
      <sheetName val="/VWVU))tÏØ0__4"/>
      <sheetName val="Summary_of_Work2"/>
      <sheetName val="Staffing_and_Rates_IA4"/>
      <sheetName val="Chiet_t4"/>
      <sheetName val="B6_2_3"/>
      <sheetName val="Employee_List2"/>
      <sheetName val="Item-_Compact2"/>
      <sheetName val="E_&amp;_R2"/>
      <sheetName val="Staff_Acco_2"/>
      <sheetName val="TBAL9697_-group_wise__sdpl2"/>
      <sheetName val="RAB_AR&amp;STR1"/>
      <sheetName val="Рабочий_лист1"/>
      <sheetName val="SITE_WORK1"/>
      <sheetName val="Annex_1_Sect_3a2"/>
      <sheetName val="Annex_1_Sect_3a_12"/>
      <sheetName val="Annex_1_Sect_3b2"/>
      <sheetName val="Annex_1_Sect_3c2"/>
      <sheetName val="HOURLY_RATES2"/>
      <sheetName val="INDIGINEOUS_ITEMS_1"/>
      <sheetName val="train_cash1"/>
      <sheetName val="accom_cash1"/>
      <sheetName val="PT_141-_Site_A_Landscape1"/>
      <sheetName val="d-safe_DELUXE1"/>
      <sheetName val="Back_up1"/>
      <sheetName val="Mall_waterproofing1"/>
      <sheetName val="MSCP_waterproofing1"/>
      <sheetName val="Duct_Accesories1"/>
      <sheetName val="????_???_??1"/>
      <sheetName val="Geneí¬_i"/>
      <sheetName val="AREA_OF_APPLICATION"/>
      <sheetName val="[SHOPLIST_xls]70,/0s«_iÆø_í¬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Materials_Cost(PCC)6"/>
      <sheetName val="India_F&amp;S_Template6"/>
      <sheetName val="IO_LIST6"/>
      <sheetName val="Material_6"/>
      <sheetName val="Quote_Sheet6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BOQ_Direct_selling_cost6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6"/>
      <sheetName val="final_abstract6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GPL_Revenu_Update1"/>
      <sheetName val="DO_NOT_TOUCH1"/>
      <sheetName val="Work_Type1"/>
      <sheetName val="Common_Variables1"/>
      <sheetName val="[SHOPLIST_xls]70,/0s«iÆøí¬i1"/>
      <sheetName val="????_???_??2"/>
      <sheetName val="[SHOPLIST_xls][SHOPLIST_xls]701"/>
      <sheetName val="Labour_&amp;_Plant1"/>
      <sheetName val="Ave_wtd_rates1"/>
      <sheetName val="Debits_as_on_12_04_081"/>
      <sheetName val="STAFFSCHED_1"/>
      <sheetName val="TRIAL_BALANCE1"/>
      <sheetName val="Geneí¬_i1"/>
      <sheetName val="PROJECT_BRIEF(EX_NEW)1"/>
      <sheetName val="AREA_OF_APPLICATION1"/>
      <sheetName val="Floor_Box_1"/>
      <sheetName val="PPA Summary"/>
      <sheetName val="Interior"/>
      <sheetName val="Mix Design"/>
      <sheetName val="std-rates"/>
      <sheetName val="Input"/>
      <sheetName val="PNTEXT"/>
      <sheetName val="Equipment Rates"/>
      <sheetName val="E H - H. W.P."/>
      <sheetName val="E. H. Treatment for pile cap"/>
      <sheetName val="ￒlￒmￒnￒaￒSￒmￒaￒy"/>
      <sheetName val="CostPlan"/>
      <sheetName val="Database"/>
      <sheetName val="Z- GENERAL PRICE SUMMARY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Payment"/>
      <sheetName val="superseded"/>
      <sheetName val="calculation_LC"/>
      <sheetName val="Internet"/>
      <sheetName val="Z-_GENERAL_PRICE_SUMMARY"/>
      <sheetName val="Confidential"/>
      <sheetName val="[SHOPLIST.xls]/VWVU))tÏØ0  "/>
      <sheetName val="[SHOPLIST.xls]/VWVU))tÏØ0__"/>
      <sheetName val="[SHOPLIST.xls][SHOPLIST.xls]70_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AC"/>
      <sheetName val="PRJ_DATA"/>
      <sheetName val="금융비용"/>
      <sheetName val="70,"/>
      <sheetName val="ConferenceCentre?옰ʒ䄂ʒ鵠ʐ䄂ʒ閐̐脭め_x0005_"/>
      <sheetName val="[SHOPLIST.xls]70"/>
      <sheetName val="[SHOPLIST.xls]70,"/>
      <sheetName val="Summ"/>
      <sheetName val="Rate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1_2_Staff_Schedule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chitect"/>
      <sheetName val="K"/>
      <sheetName val="opstat"/>
      <sheetName val="costs"/>
      <sheetName val="Final"/>
      <sheetName val="C1ㅇ"/>
      <sheetName val="Attach 4-18"/>
      <sheetName val="TTL"/>
      <sheetName val="做法表"/>
      <sheetName val="_SHOPLIST.xls_70"/>
      <sheetName val="_SHOPLIST.xls_70,_0s«iÆøí¬i"/>
      <sheetName val="Projects"/>
      <sheetName val="[SHOPLIST.xls]/VWVU))tÏØ0__1"/>
      <sheetName val="[SHOPLIST.xls]/VWVU))tÏØ0__2"/>
      <sheetName val="Project"/>
      <sheetName val="PRICE INFO"/>
      <sheetName val="RC SUMMARY"/>
      <sheetName val="LABOUR PRODUCTIVITY-TAV"/>
      <sheetName val="MATERIAL PRICES"/>
      <sheetName val="Base BM-rebar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Materials "/>
      <sheetName val="Labour"/>
      <sheetName val="MAchinery(R1)"/>
      <sheetName val="Rate_analysis11"/>
      <sheetName val="ACC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Areas_with_SF"/>
      <sheetName val="Lagerhalle"/>
      <sheetName val="Area Breakdown PER LEVEL_LINK"/>
      <sheetName val="Auswahl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1-Continuous"/>
      <sheetName val="Hic_150EOffice"/>
      <sheetName val="Results"/>
      <sheetName val="door"/>
      <sheetName val="window"/>
      <sheetName val="Appendix B"/>
      <sheetName val="BLOCK-A (MEA.SHEET)"/>
      <sheetName val="BOQp4"/>
      <sheetName val="Data Sheet"/>
      <sheetName val="Site Dev BOQ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Material&amp;equipment"/>
      <sheetName val="SO"/>
      <sheetName val="[SHOPLIST.xls]/VWVU))tÏØ0__3"/>
      <sheetName val="[SHOPLIST.xls]70,/0s«_iÆø_í¬_i"/>
      <sheetName val="[SHOPLIST.xls]70?,/0?s«i?Æøí¬i?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N T.B."/>
      <sheetName val="COMPLEXALL"/>
      <sheetName val="Flight-1"/>
      <sheetName val="Estimation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Gra¦)_x0"/>
      <sheetName val="_VWVU)_x"/>
      <sheetName val="Equipment_Rates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Dash board"/>
      <sheetName val="Config-C"/>
      <sheetName val="Service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AREAS"/>
      <sheetName val="Labour Rate "/>
      <sheetName val="(M+L)"/>
      <sheetName val="Names&amp;Cases"/>
      <sheetName val="Detbal"/>
      <sheetName val="Harewood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[SHOPLIST_xls]/VWVU))"/>
      <sheetName val="[SHOPLIST_xls][SHOPLIST_xls][SH"/>
      <sheetName val="Site_Dev_BOQ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Balance Shee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precast RC element"/>
      <sheetName val="pile Fabrication"/>
      <sheetName val="New Bld"/>
      <sheetName val="BHANDUP"/>
      <sheetName val="Bill-1"/>
      <sheetName val="PRL"/>
      <sheetName val="工程量"/>
      <sheetName val="Data Validation"/>
      <sheetName val="TOSHIBA-Structure"/>
      <sheetName val="NKC6"/>
      <sheetName val="Div26 - Elect"/>
      <sheetName val="CHUNG CU CARRILON"/>
      <sheetName val="6.2 Floor Finishes"/>
      <sheetName val=" Estimate  "/>
      <sheetName val="Equip."/>
      <sheetName val="Book1"/>
      <sheetName val="Lagoons Breakdown Prices"/>
      <sheetName val="Cover HW Z2 "/>
      <sheetName val="TOTAL WORK"/>
      <sheetName val="part 3"/>
      <sheetName val="pile Length for Easter fence"/>
      <sheetName val="BUAs and Sales Forecast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[SHOPLIST.xls][SHOPLIST.xls]70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Sheet Index"/>
      <sheetName val="공문"/>
      <sheetName val="11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PB"/>
      <sheetName val="Tables"/>
      <sheetName val="Asset Allocation (CR)"/>
      <sheetName val="Project Benchmarking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[SHOPLIST.xls]/VWVU))tÏØ0__4"/>
      <sheetName val="02"/>
      <sheetName val="03"/>
      <sheetName val="04"/>
      <sheetName val="01"/>
      <sheetName val="钢筋"/>
      <sheetName val="PLT-SUM"/>
      <sheetName val="Model"/>
      <sheetName val="CONSTRUCTION COMPONENT"/>
      <sheetName val="Summary "/>
      <sheetName val="B04-A - DIA SUDEER"/>
      <sheetName val="04D - Tanmyat"/>
      <sheetName val="13- B04-B &amp; C"/>
      <sheetName val=" SITE 09 B04-B&amp;C-AFAQ"/>
      <sheetName val="70_x0000_,/0_x0000_s«_x0008_i_x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Trade Summary"/>
      <sheetName val="Report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Rate_analysis12"/>
      <sheetName val="Rate_analysis13"/>
      <sheetName val="[SHOPLIST.xls]/VWVU))tÏØ0__5"/>
      <sheetName val="[SHOPLIST.xls]/VWVU))tÏØ0__6"/>
      <sheetName val="[SHOPLIST.xls]/VWVU))tÏØ0__7"/>
      <sheetName val="AOP Summary-2"/>
      <sheetName val="ce"/>
      <sheetName val="CIF COST ITEM"/>
      <sheetName val="Rates for public areas"/>
      <sheetName val="Qty-UG"/>
      <sheetName val="70,/0s«iÆøí¬"/>
      <sheetName val="DDL"/>
      <sheetName val="T&amp;M"/>
      <sheetName val="Det_Des"/>
      <sheetName val="_Estimate__"/>
      <sheetName val="Equip_"/>
      <sheetName val="6_2_Floor_Finishes"/>
      <sheetName val="Div_07_Thermal_&amp;_Moisture"/>
      <sheetName val="Data_Validation"/>
      <sheetName val="Div26_-_Elect"/>
      <sheetName val="CHUNG_CU_CARRILON"/>
      <sheetName val="[SHOPLIST_xls][SHOPLIST_xls]/VW"/>
      <sheetName val="_SHOPLIST_xls_70"/>
      <sheetName val="_SHOPLIST_xls_70,_0s«iÆøí¬i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Data_I_(2)"/>
      <sheetName val="rEFERENCES_"/>
      <sheetName val="2F_회의실견적(5_14_일대)"/>
      <sheetName val="_HIT-&gt;HMC_견적(3900)"/>
      <sheetName val="Ewaan_Show_Kitchen_(2)"/>
      <sheetName val="Cash_Flow_Working"/>
      <sheetName val="Appendix_B"/>
      <sheetName val="Cost_Heading"/>
      <sheetName val="MN_T_B_"/>
      <sheetName val="Attach_4-18"/>
      <sheetName val="PRICE_INFO"/>
      <sheetName val="RC_SUMMARY"/>
      <sheetName val="LABOUR_PRODUCTIVITY-TAV"/>
      <sheetName val="MATERIAL_PRICES"/>
      <sheetName val="P-100_MRF_DB_R1"/>
      <sheetName val="D_&amp;_W_sizes"/>
      <sheetName val="SOPMA_DD"/>
      <sheetName val="Finansal_tamamlanma_Eğrisi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70,/0s«i_x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Trade_Summary"/>
      <sheetName val="Sheet_Index"/>
      <sheetName val="BOQ_(2)"/>
      <sheetName val="LABOUR_RATE"/>
      <sheetName val="Material_Rate"/>
      <sheetName val="Labor_abs-PW"/>
      <sheetName val="Labor_abs-NMR"/>
      <sheetName val="Combined_Results_"/>
      <sheetName val="kppl_pl"/>
      <sheetName val="Basic_Rates"/>
      <sheetName val="2_Plex"/>
      <sheetName val="Sheet1_(2)"/>
      <sheetName val="4_Plex"/>
      <sheetName val="6_Plex_"/>
      <sheetName val="Detailed_Summary"/>
      <sheetName val="Sheet1_(3)"/>
      <sheetName val="Sheet1_(4)"/>
      <sheetName val="Labour_Rate_"/>
      <sheetName val="1_-_Main_Building"/>
      <sheetName val="1_-_Summary"/>
      <sheetName val="2_-_Landscaping_Works"/>
      <sheetName val="2_-_Summary"/>
      <sheetName val="4_-_Bldg_Infra"/>
      <sheetName val="4_-_Summary"/>
      <sheetName val="Asset_Allocation_(CR)"/>
      <sheetName val="Project_Benchmarking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precast_RC_element"/>
      <sheetName val="pile_Fabrication"/>
      <sheetName val="New_Bld"/>
      <sheetName val="Summary_"/>
      <sheetName val="B04-A_-_DIA_SUDEER"/>
      <sheetName val="04D_-_Tanmyat"/>
      <sheetName val="13-_B04-B_&amp;_C"/>
      <sheetName val="_SITE_09_B04-B&amp;C-AFAQ"/>
      <sheetName val="Status_Summary"/>
      <sheetName val="Lagoons_Breakdown_Prices"/>
      <sheetName val="Cover_HW_Z2_"/>
      <sheetName val="TOTAL_WORK"/>
      <sheetName val="part_3"/>
      <sheetName val="pile_Length_for_Easter_fence"/>
      <sheetName val="BUAs_and_Sales_Forecast"/>
      <sheetName val="4"/>
      <sheetName val="Core Data"/>
      <sheetName val="HWDG"/>
      <sheetName val="slipsumpR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B09_112"/>
      <sheetName val="BOQ_Direct_selling_cost13"/>
      <sheetName val="Working_for_RCC12"/>
      <sheetName val="B185-B-9_112"/>
      <sheetName val="B185-B-9_212"/>
      <sheetName val="CHART_OF_ACCOUNTS12"/>
      <sheetName val="E-Bill_No_6_A-O12"/>
      <sheetName val="Elemental_Buildup11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PointNo_511"/>
      <sheetName val="2_2)Revised_Cash_Flow11"/>
      <sheetName val="Employee_List9"/>
      <sheetName val="SS_MH12"/>
      <sheetName val="Index_List11"/>
      <sheetName val="Type_List11"/>
      <sheetName val="File_Types11"/>
      <sheetName val="Chiet_t11"/>
      <sheetName val="Staffing_and_Rates_IA11"/>
      <sheetName val="입찰내역_발주처_양식11"/>
      <sheetName val="Summary_of_Work9"/>
      <sheetName val="/VWVU))tÏØ0__12"/>
      <sheetName val="LIST_DO_NOT_REMOVE10"/>
      <sheetName val="Material_List_11"/>
      <sheetName val="PRECAST_lightconc-II13"/>
      <sheetName val="final_abstract13"/>
      <sheetName val="B6_2_10"/>
      <sheetName val="Staff_Acco_9"/>
      <sheetName val="TBAL9697_-group_wise__sdpl9"/>
      <sheetName val="Project_Cost_Breakdown9"/>
      <sheetName val="Item-_Compact9"/>
      <sheetName val="E_&amp;_R9"/>
      <sheetName val="Рабочий_лист8"/>
      <sheetName val="Annex_1_Sect_3a9"/>
      <sheetName val="Annex_1_Sect_3a_19"/>
      <sheetName val="Annex_1_Sect_3b9"/>
      <sheetName val="Annex_1_Sect_3c9"/>
      <sheetName val="HOURLY_RATES9"/>
      <sheetName val="PT_141-_Site_A_Landscape8"/>
      <sheetName val="SITE_WORK8"/>
      <sheetName val="Rate_summary8"/>
      <sheetName val="d-safe_DELUXE8"/>
      <sheetName val="Back_up8"/>
      <sheetName val="RAB_AR&amp;STR8"/>
      <sheetName val="Duct_Accesories8"/>
      <sheetName val="train_cash8"/>
      <sheetName val="accom_cash8"/>
      <sheetName val="INDIGINEOUS_ITEMS_8"/>
      <sheetName val="Common_Variables8"/>
      <sheetName val="Mall_waterproofing8"/>
      <sheetName val="MSCP_waterproofing8"/>
      <sheetName val="[SHOPLIST_xls]70,/0s«iÆøí¬i8"/>
      <sheetName val="GPL_Revenu_Update8"/>
      <sheetName val="DO_NOT_TOUCH8"/>
      <sheetName val="Work_Type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PROJECT_BRIEF(EX_NEW)8"/>
      <sheetName val="PPA_Summary4"/>
      <sheetName val="Mix_Design4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%_prog_figs_-u5_and_total4"/>
      <sheetName val="_VWVU))tÏØ0__5"/>
      <sheetName val="Floor_Box_5"/>
      <sheetName val="[SHOPLIST_xls]/VW3"/>
      <sheetName val="[SHOPLIST_xls]/VWVU))tÏØ0__8"/>
      <sheetName val="[SHOPLIST_xls]/VWVU))tÏØ0__9"/>
      <sheetName val="Equipment_Rates3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Materials_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Site_Dev_BOQ3"/>
      <sheetName val="1_2_Staff_Schedule4"/>
      <sheetName val="[SHOPLIST_xls]/VWVU))tÏØ0__14"/>
      <sheetName val="[SHOPLIST_xls]/VWVU))tÏØ0__23"/>
      <sheetName val="Base_BM-rebar3"/>
      <sheetName val="Contract_Division1"/>
      <sheetName val="SubContract_Type1"/>
      <sheetName val="Service_Type1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Data_Sheet3"/>
      <sheetName val="tender_allowances3"/>
      <sheetName val="_Summary_BKG_0343"/>
      <sheetName val="BILL_3R3"/>
      <sheetName val="BLOCK-A_(MEA_SHEET)3"/>
      <sheetName val="Bill_103"/>
      <sheetName val="Labour_Costs3"/>
      <sheetName val="[SHOPLIST_xls]/VWVU))tÏØ0__33"/>
      <sheetName val="[SHOPLIST_xls]70,/0s«_iÆø_í¬_i3"/>
      <sheetName val="[SHOPLIST_xls]70?,/0?s«i?Æøí¬i3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Estimate for approval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AOP_Summary-2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DT(L)1"/>
      <sheetName val="Abs PMRL"/>
      <sheetName val="P1926-H2B Pkg 2A&amp;2B"/>
      <sheetName val="P1940-H2B Pkg 1 Guestrooms"/>
      <sheetName val="P1929-DHCT"/>
      <sheetName val="ARBQ"/>
      <sheetName val="Cost_any"/>
      <sheetName val="Set"/>
      <sheetName val="P-Sum-Cab"/>
      <sheetName val="Estimate_for_approval"/>
      <sheetName val="Laundry"/>
      <sheetName val="KP1590_E"/>
      <sheetName val="Build-up"/>
      <sheetName val="[SHOPLIST.xls][SH"/>
      <sheetName val="[SHOPLIST.xls]/VWVU))tÏØ0__8"/>
      <sheetName val="[SHOPLIST.xls]/VWVU))tÏØ0__9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___ ___ __"/>
      <sheetName val="___________"/>
      <sheetName val="Sec__A-PQ"/>
      <sheetName val="Preamble_B"/>
      <sheetName val="Sec__C-Dayworks"/>
      <sheetName val="d5_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2gii"/>
      <sheetName val="BOQ.1.92"/>
      <sheetName val="[SHOPLIST.xls]70_x0000_,/0_x0000_s«_x0008_i_x"/>
      <sheetName val="Section_by_layers_old"/>
      <sheetName val="Steel-Circular"/>
      <sheetName val="Backup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DRUM"/>
      <sheetName val="[SHOPLIST.xls]70_"/>
      <sheetName val="70,/0s«iÆøí¬i1"/>
      <sheetName val="70,/0s«_iÆø_í¬"/>
      <sheetName val="70,/0s«iÆøí¬i2"/>
      <sheetName val="70,/0s«iÆøí¬i3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B2-DV No.02"/>
      <sheetName val="Comp equip"/>
      <sheetName val="[SHOPLIST_xls][SH"/>
      <sheetName val="piedathot"/>
      <sheetName val="projcasflo"/>
      <sheetName val="supdata"/>
      <sheetName val="devbud"/>
      <sheetName val="Specialist"/>
      <sheetName val="Manpower"/>
      <sheetName val="Deliverables"/>
      <sheetName val="税费"/>
      <sheetName val="Other Cost Norms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IO"/>
      <sheetName val="FAL intern"/>
      <sheetName val="CPA33-34"/>
      <sheetName val="Indices"/>
      <sheetName val="BQLIST"/>
      <sheetName val="conc-foot-gradeslab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IS"/>
      <sheetName val="Configurations"/>
      <sheetName val="[SHOPLIST.xls]/VWVU))tÏØ0__10"/>
      <sheetName val="[SHOPLIST.xls]/VWVU))tÏØ0__11"/>
      <sheetName val="S"/>
      <sheetName val="TBEAM"/>
      <sheetName val="electrica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집계표"/>
      <sheetName val="개시대사 (2)"/>
      <sheetName val="[SHOPLIST.xls]70___0_s__i_____2"/>
      <sheetName val="[SHOPLIST.xls]_VW__VU_________2"/>
      <sheetName val="[SHOPLIST.xls]_VW__VU_________3"/>
      <sheetName val="[SHOPLIST.xls]70_x005f_x0000___0_x0_2"/>
      <sheetName val="[SHOPLIST.xls]70___0_s__i_____3"/>
      <sheetName val="[SHOPLIST.xls][SHOPLIST.xls]7_2"/>
      <sheetName val="[SHOPLIST.xls][SHOPLIST.xls]7_3"/>
      <sheetName val="[SHOPLIST.xls][SHOPLIST.xls]__2"/>
      <sheetName val="[SHOPLIST.xls][SHOPLIST.xls]__3"/>
      <sheetName val="[SHOPLIST.xls][SHOPLIST.xls]7_4"/>
      <sheetName val="[SHOPLIST.xls]70___0_s__i_____4"/>
      <sheetName val="[SHOPLIST.xls][SHOPLIST.xls]__4"/>
      <sheetName val="[SHOPLIST.xls][SHOPLIST.xls]__5"/>
      <sheetName val="[SHOPLIST.xls][SHOPLIST.xls]__6"/>
      <sheetName val="[SHOPLIST.xls][SHOPLIST.xls]__7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.xls]__8"/>
      <sheetName val="[SHOPLIST.xls][SHOPLIST_xls]7_7"/>
      <sheetName val="[SHOPLIST.xls][SHOPLIST.xls]__9"/>
      <sheetName val="[SHOPLIST.xls][SHOPLIST.xls]7_5"/>
      <sheetName val="[SHOPLIST.xls][SHOPLIST.xls]7_6"/>
      <sheetName val="[SHOPLIST.xls][SHOPLIST.xls]_10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7_9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70,/0s«i_x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.xls]_11"/>
      <sheetName val="[SHOPLIST.xls][SHOPLIST.xls]_12"/>
      <sheetName val="[SHOPLIST.xls][SHOPLIST.xls]_13"/>
      <sheetName val="Rate_analysis15"/>
      <sheetName val="Balance_Sheet"/>
      <sheetName val="EE-PROP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Ref Arch"/>
      <sheetName val="Ledger"/>
      <sheetName val="Data "/>
      <sheetName val="L (4)"/>
      <sheetName val="ICM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CONSTRUCTION_COMPONENT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B-3_2_EB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re_Data"/>
      <sheetName val="BOQ_1_92"/>
      <sheetName val="CIF_COST_ITEM"/>
      <sheetName val="Rates_for_public_areas"/>
      <sheetName val="[SHOPLIST_xls]/VWVU))tÏØ0__62"/>
      <sheetName val="[SHOPLIST_xls]/VWVU))tÏØ0__63"/>
      <sheetName val="[SHOPLIST_xls]/VWVU))tÏØ0__71"/>
      <sheetName val="Abs_PMRL"/>
      <sheetName val="Recon_Template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_SHOPLIST_xls__SHOPLIST_xls_706"/>
      <sheetName val="___________2"/>
      <sheetName val="[SHOPLIST_xls]70_1"/>
      <sheetName val="P1926-H2B_Pkg_2A&amp;2B"/>
      <sheetName val="P1940-H2B_Pkg_1_Guestrooms"/>
      <sheetName val="B2-DV_No_02"/>
      <sheetName val="[SHOPLIST_xls]70,/0s«i_x"/>
      <sheetName val="Ref_Arch"/>
      <sheetName val="Data_"/>
      <sheetName val="GENERAL_SUMMARY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Pivots"/>
      <sheetName val="Basic Rate"/>
      <sheetName val="MASTER_RATE ANALYSIS"/>
      <sheetName val="MAIN SUMMARY"/>
      <sheetName val="Process"/>
      <sheetName val="Refinery"/>
      <sheetName val="Fructose"/>
      <sheetName val="Utilities"/>
      <sheetName val="Pipesizes"/>
      <sheetName val="WIP"/>
      <sheetName val="WATER DUCT - IC 21"/>
      <sheetName val="Initial Data"/>
      <sheetName val="Package Status"/>
      <sheetName val="3"/>
      <sheetName val="Appendix-A -GRAND SUMMARY"/>
      <sheetName val="D9 (New Rate)"/>
      <sheetName val="Validation"/>
      <sheetName val="Portfolio List"/>
      <sheetName val="[SHOPLIST_xls]/VWVU))tÏØ0  "/>
      <sheetName val="Staff"/>
      <sheetName val="Staff OLD "/>
      <sheetName val="Gene��_x0008_i_x0000__x0000__x0014__x0000_0."/>
      <sheetName val="70_x0000_,/0_x0000_s�_x0008_i_x0000_��_x0003_��_x0008_i_x0000_"/>
      <sheetName val="Top_sh_x0000__x0000__x0001_Ԁ"/>
      <sheetName val="المعادلات"/>
      <sheetName val="BoQ-22-8-2019"/>
      <sheetName val="Tech"/>
      <sheetName val="Asset Desc"/>
      <sheetName val="Cumulative Rail 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/VWVU))"/>
      <sheetName val="701"/>
      <sheetName val="70,1"/>
      <sheetName val="[SHOPLIST_xls][S1"/>
      <sheetName val="702"/>
      <sheetName val="70,2"/>
      <sheetName val="[SHOPLIST_xls][S2"/>
      <sheetName val="BORDGC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_board7"/>
      <sheetName val="_boaboard (1)"/>
      <sheetName val="Joseph Record"/>
      <sheetName val="Drop down"/>
      <sheetName val="SLHW"/>
      <sheetName val="Wordsdata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MATERIALS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4"/>
      <sheetName val="[SHOPLIST.xls][SHOPLIST.xls]_15"/>
      <sheetName val="[SHOPLIST.xls][SHOPLIST.xls]7_7"/>
      <sheetName val="[SHOPLIST.xls][SHOPLIST.xls]_16"/>
      <sheetName val="[SHOPLIST.xls][SHOPLIST.xls]_17"/>
      <sheetName val="[SHOPLIST.xls]70,/0s«iÆøí¬i1"/>
      <sheetName val="[SHOPLIST.xls]70,/0s«_iÆø_í¬"/>
      <sheetName val="[SHOPLIST.xls]70,/0s«iÆøí¬i2"/>
      <sheetName val="[SHOPLIST.xls]70,/0s«iÆøí¬i3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Technical"/>
      <sheetName val="contents "/>
      <sheetName val="Div.8 - Opening"/>
      <sheetName val="Div .9- Finishes"/>
      <sheetName val="Total "/>
      <sheetName val="Currency Rate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7_9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_SHOPLIST_xls_104"/>
      <sheetName val="[SHOPLIST.xls]_SHOPLIST_xls_105"/>
      <sheetName val="[SHOPLIST.xls]_SHOPLIST_xls_106"/>
      <sheetName val="[SHOPLIST.xls]_SHOPLIST_xls_107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[SHOPLIST.xls]_25"/>
      <sheetName val="[SHOPLIST.xls][SHOPLIST.xls]_26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SI 22"/>
      <sheetName val="TO List"/>
      <sheetName val="Qualifications"/>
      <sheetName val="CCTV DATA"/>
      <sheetName val="Weekly"/>
      <sheetName val="S-Curve Update"/>
      <sheetName val="Spacing of Delineators"/>
      <sheetName val="P-Ins &amp; Bonds"/>
      <sheetName val="Surbhi"/>
      <sheetName val="Electrical_database"/>
      <sheetName val="TABLO-3"/>
      <sheetName val="Transport"/>
      <sheetName val="Indirect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[SHOPLIST.xls][SHOPLIST.xls]_42"/>
      <sheetName val="[SHOPLIST.xls][SHOPLIST.xls]_43"/>
      <sheetName val="[SHOPLIST.xls][SHOPLIST.xls]_44"/>
      <sheetName val="[SHOPLIST.xls][SHOPLIST.xls]_45"/>
      <sheetName val="[SHOPLIST.xls][SHOPLIST.xls]_46"/>
      <sheetName val="[SHOPLIST.xls][SHOPLIST.xls]_47"/>
      <sheetName val="Account Codes"/>
      <sheetName val="[SHOPLIST.xls]70_x005f_x0000_,/0_x000"/>
      <sheetName val="Comp_equip"/>
      <sheetName val="Contractor_Application"/>
      <sheetName val="08_MEP_Summary"/>
      <sheetName val="Addnl_works"/>
      <sheetName val="B3__Material_on_Site-Detail"/>
      <sheetName val="ConferenceCentre_옰ʒ䄂ʒ鵠ʐ䄂ʒ閐̐脭め_x0005_"/>
      <sheetName val="Detail Page"/>
      <sheetName val="[SH"/>
      <sheetName val="70_"/>
      <sheetName val="703"/>
      <sheetName val="70,/0s«iÆøí¬i4"/>
      <sheetName val="[SHOPLIST.xls]/VW"/>
      <sheetName val="70,/0s«iÆøí¬i5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22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2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FLOOR AND CEILING"/>
      <sheetName val="area comp 2011 01 18 (2)"/>
      <sheetName val="Bill3-Basement"/>
      <sheetName val="drop down lists"/>
      <sheetName val="PH 5"/>
      <sheetName val="BM"/>
      <sheetName val="Micro"/>
      <sheetName val="intr_stool_brkup_x0000_"/>
      <sheetName val="National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Gene��_x0008_i"/>
      <sheetName val="Top_sh"/>
      <sheetName val="Rate_analysis16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/VWVU))tÏØ0__72"/>
      <sheetName val="CONSTRUCTION_COMPONENT1"/>
      <sheetName val="CIF_COST_ITEM1"/>
      <sheetName val="Rates_for_public_areas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omp_equip1"/>
      <sheetName val="Basic_Rate"/>
      <sheetName val="MASTER_RATE_ANALYSIS"/>
      <sheetName val="MAIN_SUMMARY"/>
      <sheetName val="[SHOPLIST_xls]/VWVU))tÏØ0__64"/>
      <sheetName val="[SHOPLIST_xls]/VWVU))tÏØ0__65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Cumulative_Rail_"/>
      <sheetName val="[SHOPLIST_xls]/VWVU))tÏØ0__66"/>
      <sheetName val="Staff_OLD_"/>
      <sheetName val="Contractor_Application1"/>
      <sheetName val="08_MEP_Summary1"/>
      <sheetName val="Addnl_works1"/>
      <sheetName val="B3__Material_on_Site-Detail1"/>
      <sheetName val="[SHOPLIST_xls]70_x005f_x0000_,/0_x000"/>
      <sheetName val="Grand_Summary_"/>
      <sheetName val="Bill_No_01_-_GI_"/>
      <sheetName val="combined_"/>
      <sheetName val="summary-Optional_"/>
      <sheetName val="B14_02_"/>
      <sheetName val="Prov_Sum_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SI_22"/>
      <sheetName val="TO_List"/>
      <sheetName val="CCTV_DATA"/>
      <sheetName val="Initial_Data"/>
      <sheetName val="Package_Status"/>
      <sheetName val="Appendix-A_-GRAND_SUMMARY"/>
      <sheetName val="D9_(New_Rate)"/>
      <sheetName val="Other_Cost_Norms"/>
      <sheetName val="Bill_No_1"/>
      <sheetName val="[SHOPLIST_xls]70,/0s«iÆøí¬1"/>
      <sheetName val="_boaboard_(1)"/>
      <sheetName val="Gene��i0_"/>
      <sheetName val="70,/0s�i����i"/>
      <sheetName val="Top_shԀ"/>
      <sheetName val="Portfolio_List"/>
      <sheetName val="Div_Summary"/>
      <sheetName val="Detail_Page"/>
      <sheetName val="BULD.3"/>
      <sheetName val="BLOCK K"/>
      <sheetName val="예가표"/>
      <sheetName val="[SHOPLIST.xls][SHOPLIST.xls]_48"/>
      <sheetName val="[SHOPLIST.xls][SHOPLIST.xls]_49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제출내역 (2)"/>
      <sheetName val="Démol."/>
      <sheetName val="Ravalement"/>
      <sheetName val="GAE8'97"/>
      <sheetName val="Overall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Landscape No.1"/>
      <sheetName val="MEP No.3"/>
      <sheetName val="[SHOPLIST_xls][SHOPLIST_xls]/V1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BQMPALOC"/>
      <sheetName val="COLUMNS"/>
      <sheetName val="VESSELS "/>
      <sheetName val="8.0 Programme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precast_RC_element3"/>
      <sheetName val="pile_Fabrication3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Abs_PMRL1"/>
      <sheetName val="Recon_Template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Finansal_tamamlanma_Eğrisi3"/>
      <sheetName val="[SHOPLIST_xls]/VWVU))tÏØ0__73"/>
      <sheetName val="B-3_2_EB2"/>
      <sheetName val="Dropdown_List3"/>
      <sheetName val="1_-_Main_Building3"/>
      <sheetName val="1_-_Summary3"/>
      <sheetName val="2_-_Landscaping_Works3"/>
      <sheetName val="2_-_Summary3"/>
      <sheetName val="4_-_Bldg_Infra3"/>
      <sheetName val="4_-_Summary3"/>
      <sheetName val="Trade_Summary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New_Bld3"/>
      <sheetName val="Sheet_Index2"/>
      <sheetName val="[SHOPLIST_xls]/VWVU))tÏØ0__74"/>
      <sheetName val="Status_Summary3"/>
      <sheetName val="Balance_Sheet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[SHOPLIST_xls]/VWVU))tÏØ0__75"/>
      <sheetName val="[SHOPLIST_xls]/VWVU))tÏØ0__76"/>
      <sheetName val="[SHOPLIST_xls]/VWVU))tÏØ0__77"/>
      <sheetName val="Sec__A-PQ3"/>
      <sheetName val="Preamble_B3"/>
      <sheetName val="Sec__C-Dayworks3"/>
      <sheetName val="d5_3"/>
      <sheetName val="AOP_Summary-24"/>
      <sheetName val="CONSTRUCTION_COMPONENT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Asset_Allocation_(CR)3"/>
      <sheetName val="Project_Benchmarking3"/>
      <sheetName val="Estimate_for_approval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_SHOPLIST_xls__SHOPLIST_xls_707"/>
      <sheetName val="_SHOPLIST_xls__SHOPLIST_xls_708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P1926-H2B_Pkg_2A&amp;2B1"/>
      <sheetName val="P1940-H2B_Pkg_1_Guestrooms1"/>
      <sheetName val="[SHOPLIST_xls]/VWVU))tÏØ0__82"/>
      <sheetName val="[SHOPLIST_xls]/VWVU))tÏØ0__92"/>
      <sheetName val="[SHOPLIST_xls][SH2"/>
      <sheetName val="[SHOPLIST_xls]70_2"/>
      <sheetName val="Master_data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Basic_Rate1"/>
      <sheetName val="MASTER_RATE_ANALYSIS1"/>
      <sheetName val="_SHOPLIST_xls__SHOPLIST_xls_709"/>
      <sheetName val="___________3"/>
      <sheetName val="MAIN_SUMMARY1"/>
      <sheetName val="[SHOPLIST_xls]/VWVU))tÏØ0__78"/>
      <sheetName val="[SHOPLIST_xls]/VWVU))tÏØ0__79"/>
      <sheetName val="B2-DV_No_021"/>
      <sheetName val="BOQ_1_921"/>
      <sheetName val="Other_Cost_Norms1"/>
      <sheetName val="개시대사_(2)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Bill_No_1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L_(4)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Ref_Arch1"/>
      <sheetName val="6_2_Floor_Finishes1"/>
      <sheetName val="Data_1"/>
      <sheetName val="Cumulative_Rail_1"/>
      <sheetName val="[SHOPLIST_xls]/VWVU))tÏØ0__80"/>
      <sheetName val="Staff_OLD_1"/>
      <sheetName val="Account_Codes"/>
      <sheetName val="[SHOPLIST_xls]/VW"/>
      <sheetName val="Joseph_Record"/>
      <sheetName val="Top_s灨ὔ밀ὔ턀"/>
      <sheetName val="Top_s๨ꫝ_x0000__x0000_퀀"/>
      <sheetName val="[SHOPLIST.xls][SHOPLIST.xls]70?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MFG"/>
      <sheetName val="XL4Test5"/>
      <sheetName val="P-Ins_&amp;_Bonds"/>
      <sheetName val="BFS"/>
      <sheetName val="5"/>
      <sheetName val="Top_s๨ꫝ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oncrete Breakdown"/>
      <sheetName val="Masonry Breakdown"/>
      <sheetName val="6"/>
      <sheetName val="MI"/>
      <sheetName val="Bill 3 Boutique"/>
      <sheetName val="_SHOPLIST.xls__VWVU))tÏØ0__5"/>
      <sheetName val="_SHOPLIST.xls__VWVU))tÏØ0__6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SHOPLIST_xls__VW2"/>
      <sheetName val="_SHOPLIST_xls__SHOPLIST_xls__S2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BREAKDOWN"/>
      <sheetName val="Rectangular Duct"/>
      <sheetName val="Calendar"/>
      <sheetName val="Sheet9"/>
      <sheetName val="Materials Cost"/>
      <sheetName val="djfx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D_&amp;_W_sizes10"/>
      <sheetName val="SOPMA_DD10"/>
      <sheetName val="Finansal_tamamlanma_Eğrisi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70,/0s«_iÆø_í¬_13"/>
      <sheetName val="[SHOPLIST_xls]70?,/0?s«i?Æøí¬13"/>
      <sheetName val="Data_I_(2)10"/>
      <sheetName val="rEFERENCES_10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P1926-H2B_Pkg_2A&amp;2B2"/>
      <sheetName val="P1940-H2B_Pkg_1_Guestrooms2"/>
      <sheetName val="BOQ_1_922"/>
      <sheetName val="Abs_PMRL2"/>
      <sheetName val="[SHOPLIST_xls]/VWVU))tÏØ0__88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[SHOPLIST_xls]70,/0s«iÆøí¬2"/>
      <sheetName val="Portfolio_List1"/>
      <sheetName val="Initial_Data1"/>
      <sheetName val="Package_Status1"/>
      <sheetName val="WATER_DUCT_-_IC_21"/>
      <sheetName val="Asset_Desc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_Estimate__1"/>
      <sheetName val="Equip_1"/>
      <sheetName val="Account_Codes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Milestone"/>
      <sheetName val="[SHOPLIST.xls]70,/0s«iÆøí¬i4"/>
      <sheetName val="[SHOPLIST.xls]70,/0s«iÆøí¬i5"/>
      <sheetName val="SUBS SUM"/>
      <sheetName val="Reference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BoQ(2)"/>
      <sheetName val="tower and monopoles "/>
      <sheetName val="ASD Sum of Parts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S-Curve_Update"/>
      <sheetName val="VESSELS_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beam-reinft"/>
      <sheetName val="[SHOPLIST.xls]/VWVU))tÏØ0__20"/>
      <sheetName val="[SHOPLIST.xls]_VW__VU________16"/>
      <sheetName val="[SHOPLIST.xls]70_x005f_x0000___0_x0_9"/>
      <sheetName val="[SHOPLIST.xls]70___0_s__i____25"/>
      <sheetName val="[SHOPLIST.xls]_VW__VU________17"/>
      <sheetName val="Income Statement"/>
      <sheetName val="Unit cost- Drain-Protection-1 "/>
      <sheetName val="Unit cost- Drain-Protection-2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_SHOPLIST.xls_70_x005f_x0000_,_0_x000"/>
      <sheetName val="FEVA"/>
      <sheetName val="HO Costs"/>
      <sheetName val="[SHOPLIST.xls]/VWVU))tÏØ0__21"/>
      <sheetName val="[SHOPLIST.xls]70,/0s�i����i"/>
      <sheetName val="[SHOPLIST.xls]/VWVU))tÏØ0__23"/>
      <sheetName val="[SHOPLIST.xls]/VWVU))tÏØ0__22"/>
      <sheetName val="プロジェクト概要"/>
      <sheetName val="B.Room W.Done Progress"/>
      <sheetName val="SUMMARY (ROOM)"/>
      <sheetName val="W.D Prgress Public area"/>
      <sheetName val="SUMMARY Public"/>
      <sheetName val="Comparision"/>
      <sheetName val="Sheet"/>
      <sheetName val="Tender Stage"/>
      <sheetName val="Delay Clasifications"/>
      <sheetName val="JAN"/>
      <sheetName val="PA Milestones"/>
      <sheetName val="Data Works"/>
      <sheetName val="Works"/>
      <sheetName val="UC-Testing"/>
      <sheetName val="Control Panel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Fiyatlar"/>
      <sheetName val="50"/>
      <sheetName val="MSH51C"/>
      <sheetName val="inter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[SHOPLIST.xls]70_x0000_,/0_x000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Kur"/>
      <sheetName val="HAKEDİŞ "/>
      <sheetName val="keşif özeti"/>
      <sheetName val="Katsayılar"/>
      <sheetName val="Total PrC-Goldi"/>
      <sheetName val="วัดใต้"/>
      <sheetName val="B-2"/>
      <sheetName val="total"/>
      <sheetName val="Price List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1-Summary"/>
      <sheetName val="基本ﾃﾞｰﾀ"/>
      <sheetName val="Schedules"/>
      <sheetName val="1A"/>
      <sheetName val="Room Type"/>
      <sheetName val="Basement2 DB"/>
      <sheetName val="4.1 G Ammount"/>
      <sheetName val="Costcal"/>
      <sheetName val="Cost Factor Sheet"/>
      <sheetName val="Factor Sheet"/>
      <sheetName val="1-Excavation"/>
      <sheetName val="2-Substructure"/>
      <sheetName val="3-Concrete"/>
      <sheetName val="4-Masonry"/>
      <sheetName val="5-Thermal &amp; Moisture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HVAC QS"/>
      <sheetName val="Excel Format"/>
      <sheetName val="C.F"/>
      <sheetName val="[SHOPLIST.xls]70___0_s__i____28"/>
      <sheetName val="[SHOPLIST.xls]_VW__VU________18"/>
      <sheetName val="[SHOPLIST.xls]_VW__VU________19"/>
      <sheetName val="[SHOPLIST.xls]70_x005f_x0000___0_x_10"/>
      <sheetName val="[SHOPLIST.xls]70___0_s__i____29"/>
      <sheetName val="[SHOPLIST.xls]70___0_s__i____30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70_x005f_x005f_x005f_x0000__9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SHOPLIST_xl_1223"/>
      <sheetName val="[SHOPLIST.xls]_SHOPLIST_xl_1224"/>
      <sheetName val="[SHOPLIST.xls]_SHOPLIST_xl_1225"/>
      <sheetName val="[SHOPLIST.xls]_SHOPLIST_xl_1226"/>
      <sheetName val="[SHOPLIST.xls]70___0_s__i____31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[SHOPLIST.xls]_SHOPLIST_xl_1303"/>
      <sheetName val="[SHOPLIST.xls]_SHOPLIST_xl_1304"/>
      <sheetName val="[SHOPLIST.xls]_SHOPLIST_xl_1305"/>
      <sheetName val="[SHOPLIST.xls][SHOPLIST_xls]/VW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_SHOPLIST_xl_1314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Non-Positioin Summary"/>
      <sheetName val="Mnhr Book Updated 11.10.2018"/>
      <sheetName val="DVM Sizing Calculator- 10 ips "/>
      <sheetName val="Schedules PL"/>
      <sheetName val="Schedules BS"/>
      <sheetName val="STOCKWTG"/>
      <sheetName val="POLY"/>
      <sheetName val="Advance Recovery"/>
      <sheetName val="SC Cost FEB 03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AN"/>
      <sheetName val="Beach Villas"/>
      <sheetName val="Overwater Villas"/>
      <sheetName val="Presidential Villa"/>
      <sheetName val="GRAPH_DATA"/>
      <sheetName val=" N Finansal Eğri"/>
      <sheetName val="/VWVU))tÏØ0__55"/>
      <sheetName val="Drop_down2"/>
      <sheetName val="_boaboard_(1)1"/>
      <sheetName val="Joseph_Record3"/>
      <sheetName val="[SHOPLIST_xls]70___0_s__i_____4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Landscape_No_1"/>
      <sheetName val="MEP_No_3"/>
      <sheetName val="footing for SP"/>
      <sheetName val="DIRLBR"/>
      <sheetName val="2.0 Cover Sum"/>
      <sheetName val="1 Summary"/>
      <sheetName val="Mp-team 1"/>
      <sheetName val="co-no.2"/>
      <sheetName val="Lstsub"/>
      <sheetName val="Arch"/>
      <sheetName val="DB"/>
      <sheetName val="Rate_analysis21"/>
      <sheetName val="[SHOPLIST_xls][SHOPLIST_xls]750"/>
      <sheetName val="[SHOPLIST_xls][SHOPLIST_xls]75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758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BT3-Package 05"/>
      <sheetName val="BOQ-Civil"/>
      <sheetName val="14267"/>
      <sheetName val="REQ_REMARKS"/>
      <sheetName val="satış planı (2)"/>
      <sheetName val="Tahsilat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hiddenSheet"/>
      <sheetName val="[SHOPLIST_xls]726"/>
      <sheetName val="[SHOPLIST_xls][11"/>
      <sheetName val="[SHOPLIST_xls]727"/>
      <sheetName val="[SHOPLIST_xls]728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URA-C1"/>
      <sheetName val="foot-slab_rein"/>
      <sheetName val="PRO_DCI"/>
      <sheetName val="Total_PrC-Goldi"/>
      <sheetName val="Load Sch, Cable Sel &amp; Qty"/>
      <sheetName val="Price Sheet"/>
      <sheetName val="Macro custom function"/>
      <sheetName val="Structured Cabling"/>
      <sheetName val="Index sheet"/>
      <sheetName val="Inventory "/>
      <sheetName val="Note"/>
      <sheetName val="Fee Rate Summary"/>
      <sheetName val="NPV"/>
      <sheetName val="P Staff fac"/>
      <sheetName val="ROY"/>
      <sheetName val="12"/>
      <sheetName val="BS "/>
      <sheetName val="RateAnalysis"/>
      <sheetName val="Summary year Plan"/>
      <sheetName val="foot-slab_reinø"/>
      <sheetName val="Internal"/>
      <sheetName val="maingirder"/>
      <sheetName val="basic-data"/>
      <sheetName val="Enquire"/>
      <sheetName val="Accounts"/>
      <sheetName val="shuttering"/>
      <sheetName val="CFS3"/>
      <sheetName val="Fdata"/>
      <sheetName val="G29A"/>
      <sheetName val="Structure Bills Qty"/>
      <sheetName val="Matl"/>
      <sheetName val="PASARELA"/>
      <sheetName val="F4-F7"/>
      <sheetName val="Doi so"/>
      <sheetName val="토공"/>
      <sheetName val="CỘT + VÁCH B2-B4"/>
      <sheetName val="information"/>
      <sheetName val="Services_InitialEst_UtilityServ"/>
      <sheetName val="h-013211-2"/>
      <sheetName val="BUR"/>
      <sheetName val="Msw-study"/>
      <sheetName val="BF2001"/>
      <sheetName val="شهادة الدفع"/>
      <sheetName val="All BGL List"/>
      <sheetName val="Budget Config"/>
      <sheetName val="All Department List"/>
      <sheetName val="FSA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B_Room_W_Done_Progress"/>
      <sheetName val="SUMMARY_(ROOM)"/>
      <sheetName val="W_D_Prgress_Public_area"/>
      <sheetName val="SUMMARY_Public"/>
      <sheetName val="Dropdown Lists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70_x005f_x0000_,/0_x005f_x0000_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Mnhr_Book_Updated_11_10_2018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Spacing_of_Delineators2"/>
      <sheetName val="Unit_cost-_Drain-Protection-1_"/>
      <sheetName val="Unit_cost-_Drain-Protection-2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pile_Fabrication8"/>
      <sheetName val="Doha_Farm8"/>
      <sheetName val="precast_RC_element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Projects Na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 refreshError="1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/>
      <sheetData sheetId="1139"/>
      <sheetData sheetId="1140" refreshError="1"/>
      <sheetData sheetId="1141" refreshError="1"/>
      <sheetData sheetId="1142"/>
      <sheetData sheetId="1143"/>
      <sheetData sheetId="1144" refreshError="1"/>
      <sheetData sheetId="1145" refreshError="1"/>
      <sheetData sheetId="1146" refreshError="1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/>
      <sheetData sheetId="1395" refreshError="1"/>
      <sheetData sheetId="1396"/>
      <sheetData sheetId="1397"/>
      <sheetData sheetId="1398"/>
      <sheetData sheetId="1399"/>
      <sheetData sheetId="1400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 refreshError="1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/>
      <sheetData sheetId="1742"/>
      <sheetData sheetId="1743"/>
      <sheetData sheetId="1744"/>
      <sheetData sheetId="1745"/>
      <sheetData sheetId="1746"/>
      <sheetData sheetId="1747"/>
      <sheetData sheetId="1748" refreshError="1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 refreshError="1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 refreshError="1"/>
      <sheetData sheetId="2666" refreshError="1"/>
      <sheetData sheetId="2667" refreshError="1"/>
      <sheetData sheetId="2668" refreshError="1"/>
      <sheetData sheetId="2669"/>
      <sheetData sheetId="2670" refreshError="1"/>
      <sheetData sheetId="2671"/>
      <sheetData sheetId="2672"/>
      <sheetData sheetId="2673" refreshError="1"/>
      <sheetData sheetId="2674" refreshError="1"/>
      <sheetData sheetId="2675"/>
      <sheetData sheetId="2676"/>
      <sheetData sheetId="2677"/>
      <sheetData sheetId="2678" refreshError="1"/>
      <sheetData sheetId="2679" refreshError="1"/>
      <sheetData sheetId="2680"/>
      <sheetData sheetId="2681"/>
      <sheetData sheetId="2682"/>
      <sheetData sheetId="2683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/>
      <sheetData sheetId="2720"/>
      <sheetData sheetId="2721"/>
      <sheetData sheetId="2722"/>
      <sheetData sheetId="2723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/>
      <sheetData sheetId="2739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/>
      <sheetData sheetId="3416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/>
      <sheetData sheetId="3794"/>
      <sheetData sheetId="3795"/>
      <sheetData sheetId="3796"/>
      <sheetData sheetId="3797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/>
      <sheetData sheetId="3864"/>
      <sheetData sheetId="3865"/>
      <sheetData sheetId="3866"/>
      <sheetData sheetId="3867"/>
      <sheetData sheetId="3868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/>
      <sheetData sheetId="3880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/>
      <sheetData sheetId="4639" refreshError="1"/>
      <sheetData sheetId="4640" refreshError="1"/>
      <sheetData sheetId="4641" refreshError="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 refreshError="1"/>
      <sheetData sheetId="4741" refreshError="1"/>
      <sheetData sheetId="4742" refreshError="1"/>
      <sheetData sheetId="4743" refreshError="1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 refreshError="1"/>
      <sheetData sheetId="5790" refreshError="1"/>
      <sheetData sheetId="5791" refreshError="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 refreshError="1"/>
      <sheetData sheetId="6147" refreshError="1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 refreshError="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 refreshError="1"/>
      <sheetData sheetId="7646"/>
      <sheetData sheetId="7647"/>
      <sheetData sheetId="7648"/>
      <sheetData sheetId="7649" refreshError="1"/>
      <sheetData sheetId="7650" refreshError="1"/>
      <sheetData sheetId="7651" refreshError="1"/>
      <sheetData sheetId="7652" refreshError="1"/>
      <sheetData sheetId="7653"/>
      <sheetData sheetId="7654" refreshError="1"/>
      <sheetData sheetId="7655" refreshError="1"/>
      <sheetData sheetId="7656" refreshError="1"/>
      <sheetData sheetId="7657" refreshError="1"/>
      <sheetData sheetId="7658"/>
      <sheetData sheetId="7659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 refreshError="1"/>
      <sheetData sheetId="7731"/>
      <sheetData sheetId="7732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 refreshError="1"/>
      <sheetData sheetId="7781" refreshError="1"/>
      <sheetData sheetId="7782" refreshError="1"/>
      <sheetData sheetId="7783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/>
      <sheetData sheetId="7790"/>
      <sheetData sheetId="7791"/>
      <sheetData sheetId="7792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 refreshError="1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 refreshError="1"/>
      <sheetData sheetId="7831"/>
      <sheetData sheetId="7832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/>
      <sheetData sheetId="7844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/>
      <sheetData sheetId="7896" refreshError="1"/>
      <sheetData sheetId="7897" refreshError="1"/>
      <sheetData sheetId="7898" refreshError="1"/>
      <sheetData sheetId="7899" refreshError="1"/>
      <sheetData sheetId="7900"/>
      <sheetData sheetId="7901" refreshError="1"/>
      <sheetData sheetId="7902"/>
      <sheetData sheetId="7903"/>
      <sheetData sheetId="7904"/>
      <sheetData sheetId="7905" refreshError="1"/>
      <sheetData sheetId="7906" refreshError="1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 refreshError="1"/>
      <sheetData sheetId="7948" refreshError="1"/>
      <sheetData sheetId="7949" refreshError="1"/>
      <sheetData sheetId="7950"/>
      <sheetData sheetId="7951"/>
      <sheetData sheetId="7952" refreshError="1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 refreshError="1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 refreshError="1"/>
      <sheetData sheetId="8419" refreshError="1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 refreshError="1"/>
      <sheetData sheetId="8450"/>
      <sheetData sheetId="8451"/>
      <sheetData sheetId="8452"/>
      <sheetData sheetId="8453"/>
      <sheetData sheetId="8454"/>
      <sheetData sheetId="8455"/>
      <sheetData sheetId="8456"/>
      <sheetData sheetId="8457" refreshError="1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/>
      <sheetData sheetId="8508"/>
      <sheetData sheetId="8509"/>
      <sheetData sheetId="8510"/>
      <sheetData sheetId="8511"/>
      <sheetData sheetId="8512"/>
      <sheetData sheetId="8513" refreshError="1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 refreshError="1"/>
      <sheetData sheetId="8595" refreshError="1"/>
      <sheetData sheetId="8596" refreshError="1"/>
      <sheetData sheetId="8597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/>
      <sheetData sheetId="8611" refreshError="1"/>
      <sheetData sheetId="8612"/>
      <sheetData sheetId="8613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/>
      <sheetData sheetId="8620"/>
      <sheetData sheetId="8621" refreshError="1"/>
      <sheetData sheetId="8622" refreshError="1"/>
      <sheetData sheetId="8623"/>
      <sheetData sheetId="8624"/>
      <sheetData sheetId="8625"/>
      <sheetData sheetId="8626"/>
      <sheetData sheetId="8627"/>
      <sheetData sheetId="8628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/>
      <sheetData sheetId="8660"/>
      <sheetData sheetId="8661" refreshError="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 refreshError="1"/>
      <sheetData sheetId="8736"/>
      <sheetData sheetId="8737"/>
      <sheetData sheetId="8738" refreshError="1"/>
      <sheetData sheetId="8739" refreshError="1"/>
      <sheetData sheetId="8740" refreshError="1"/>
      <sheetData sheetId="8741" refreshError="1"/>
      <sheetData sheetId="8742"/>
      <sheetData sheetId="8743" refreshError="1"/>
      <sheetData sheetId="8744" refreshError="1"/>
      <sheetData sheetId="8745"/>
      <sheetData sheetId="8746" refreshError="1"/>
      <sheetData sheetId="8747"/>
      <sheetData sheetId="8748" refreshError="1"/>
      <sheetData sheetId="8749"/>
      <sheetData sheetId="8750"/>
      <sheetData sheetId="8751"/>
      <sheetData sheetId="8752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 refreshError="1"/>
      <sheetData sheetId="8783" refreshError="1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 refreshError="1"/>
      <sheetData sheetId="8801" refreshError="1"/>
      <sheetData sheetId="8802" refreshError="1"/>
      <sheetData sheetId="8803"/>
      <sheetData sheetId="8804" refreshError="1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 refreshError="1"/>
      <sheetData sheetId="9108" refreshError="1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 refreshError="1"/>
      <sheetData sheetId="9241" refreshError="1"/>
      <sheetData sheetId="9242"/>
      <sheetData sheetId="9243"/>
      <sheetData sheetId="9244"/>
      <sheetData sheetId="9245"/>
      <sheetData sheetId="9246" refreshError="1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 refreshError="1"/>
      <sheetData sheetId="9256" refreshError="1"/>
      <sheetData sheetId="9257" refreshError="1"/>
      <sheetData sheetId="9258" refreshError="1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/>
      <sheetData sheetId="9286"/>
      <sheetData sheetId="9287" refreshError="1"/>
      <sheetData sheetId="9288" refreshError="1"/>
      <sheetData sheetId="9289"/>
      <sheetData sheetId="9290"/>
      <sheetData sheetId="9291"/>
      <sheetData sheetId="9292"/>
      <sheetData sheetId="9293" refreshError="1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 refreshError="1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 refreshError="1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 refreshError="1"/>
      <sheetData sheetId="9397" refreshError="1"/>
      <sheetData sheetId="9398"/>
      <sheetData sheetId="9399"/>
      <sheetData sheetId="9400"/>
      <sheetData sheetId="9401"/>
      <sheetData sheetId="9402"/>
      <sheetData sheetId="9403" refreshError="1"/>
      <sheetData sheetId="9404"/>
      <sheetData sheetId="9405"/>
      <sheetData sheetId="9406"/>
      <sheetData sheetId="9407"/>
      <sheetData sheetId="9408" refreshError="1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/>
      <sheetData sheetId="9434" refreshError="1"/>
      <sheetData sheetId="9435"/>
      <sheetData sheetId="9436"/>
      <sheetData sheetId="9437" refreshError="1"/>
      <sheetData sheetId="9438" refreshError="1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 refreshError="1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 refreshError="1"/>
      <sheetData sheetId="9547" refreshError="1"/>
      <sheetData sheetId="9548"/>
      <sheetData sheetId="9549" refreshError="1"/>
      <sheetData sheetId="9550" refreshError="1"/>
      <sheetData sheetId="955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 refreshError="1"/>
      <sheetData sheetId="9599" refreshError="1"/>
      <sheetData sheetId="9600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/>
      <sheetData sheetId="9612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/>
      <sheetData sheetId="9619"/>
      <sheetData sheetId="9620"/>
      <sheetData sheetId="962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 refreshError="1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 refreshError="1"/>
      <sheetData sheetId="9746" refreshError="1"/>
      <sheetData sheetId="9747" refreshError="1"/>
      <sheetData sheetId="9748"/>
      <sheetData sheetId="9749"/>
      <sheetData sheetId="9750"/>
      <sheetData sheetId="9751"/>
      <sheetData sheetId="9752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/>
      <sheetData sheetId="9759" refreshError="1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 refreshError="1"/>
      <sheetData sheetId="9776"/>
      <sheetData sheetId="9777"/>
      <sheetData sheetId="9778"/>
      <sheetData sheetId="9779"/>
      <sheetData sheetId="9780"/>
      <sheetData sheetId="9781"/>
      <sheetData sheetId="9782" refreshError="1"/>
      <sheetData sheetId="9783" refreshError="1"/>
      <sheetData sheetId="9784" refreshError="1"/>
      <sheetData sheetId="9785"/>
      <sheetData sheetId="9786"/>
      <sheetData sheetId="9787"/>
      <sheetData sheetId="9788"/>
      <sheetData sheetId="9789"/>
      <sheetData sheetId="9790"/>
      <sheetData sheetId="9791" refreshError="1"/>
      <sheetData sheetId="9792"/>
      <sheetData sheetId="9793"/>
      <sheetData sheetId="9794" refreshError="1"/>
      <sheetData sheetId="9795" refreshError="1"/>
      <sheetData sheetId="9796" refreshError="1"/>
      <sheetData sheetId="9797" refreshError="1"/>
      <sheetData sheetId="9798"/>
      <sheetData sheetId="9799" refreshError="1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 refreshError="1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 refreshError="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 refreshError="1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 refreshError="1"/>
      <sheetData sheetId="9937" refreshError="1"/>
      <sheetData sheetId="9938"/>
      <sheetData sheetId="9939"/>
      <sheetData sheetId="9940"/>
      <sheetData sheetId="994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 refreshError="1"/>
      <sheetData sheetId="9982" refreshError="1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 refreshError="1"/>
      <sheetData sheetId="10063" refreshError="1"/>
      <sheetData sheetId="10064"/>
      <sheetData sheetId="10065" refreshError="1"/>
      <sheetData sheetId="10066" refreshError="1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 refreshError="1"/>
      <sheetData sheetId="10685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 refreshError="1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 refreshError="1"/>
      <sheetData sheetId="12905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/>
      <sheetData sheetId="12915"/>
      <sheetData sheetId="12916"/>
      <sheetData sheetId="12917"/>
      <sheetData sheetId="12918"/>
      <sheetData sheetId="12919" refreshError="1"/>
      <sheetData sheetId="12920" refreshError="1"/>
      <sheetData sheetId="12921" refreshError="1"/>
      <sheetData sheetId="12922"/>
      <sheetData sheetId="12923"/>
      <sheetData sheetId="12924"/>
      <sheetData sheetId="12925"/>
      <sheetData sheetId="12926" refreshError="1"/>
      <sheetData sheetId="12927"/>
      <sheetData sheetId="12928"/>
      <sheetData sheetId="12929"/>
      <sheetData sheetId="12930"/>
      <sheetData sheetId="1293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 refreshError="1"/>
      <sheetData sheetId="13114"/>
      <sheetData sheetId="13115"/>
      <sheetData sheetId="13116"/>
      <sheetData sheetId="13117" refreshError="1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/>
      <sheetData sheetId="13136"/>
      <sheetData sheetId="13137"/>
      <sheetData sheetId="13138"/>
      <sheetData sheetId="13139" refreshError="1"/>
      <sheetData sheetId="13140" refreshError="1"/>
      <sheetData sheetId="13141"/>
      <sheetData sheetId="13142"/>
      <sheetData sheetId="13143"/>
      <sheetData sheetId="13144" refreshError="1"/>
      <sheetData sheetId="13145" refreshError="1"/>
      <sheetData sheetId="13146" refreshError="1"/>
      <sheetData sheetId="13147" refreshError="1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 refreshError="1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 refreshError="1"/>
      <sheetData sheetId="13171" refreshError="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 refreshError="1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 refreshError="1"/>
      <sheetData sheetId="13279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 refreshError="1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 refreshError="1"/>
      <sheetData sheetId="13945" refreshError="1"/>
      <sheetData sheetId="13946" refreshError="1"/>
      <sheetData sheetId="13947" refreshError="1"/>
      <sheetData sheetId="13948"/>
      <sheetData sheetId="13949" refreshError="1"/>
      <sheetData sheetId="13950" refreshError="1"/>
      <sheetData sheetId="13951" refreshError="1"/>
      <sheetData sheetId="13952" refreshError="1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/>
      <sheetData sheetId="14025"/>
      <sheetData sheetId="14026"/>
      <sheetData sheetId="14027"/>
      <sheetData sheetId="14028"/>
      <sheetData sheetId="14029" refreshError="1"/>
      <sheetData sheetId="14030" refreshError="1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 refreshError="1"/>
      <sheetData sheetId="14042" refreshError="1"/>
      <sheetData sheetId="14043" refreshError="1"/>
      <sheetData sheetId="14044"/>
      <sheetData sheetId="14045"/>
      <sheetData sheetId="14046"/>
      <sheetData sheetId="14047"/>
      <sheetData sheetId="14048"/>
      <sheetData sheetId="14049" refreshError="1"/>
      <sheetData sheetId="14050" refreshError="1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 refreshError="1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 refreshError="1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 refreshError="1"/>
      <sheetData sheetId="14146"/>
      <sheetData sheetId="14147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 refreshError="1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 refreshError="1"/>
      <sheetData sheetId="14318" refreshError="1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/>
      <sheetData sheetId="14431"/>
      <sheetData sheetId="14432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/>
      <sheetData sheetId="14475"/>
      <sheetData sheetId="14476"/>
      <sheetData sheetId="14477"/>
      <sheetData sheetId="14478" refreshError="1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 refreshError="1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 refreshError="1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 refreshError="1"/>
      <sheetData sheetId="15754" refreshError="1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 refreshError="1"/>
      <sheetData sheetId="15770" refreshError="1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1"/>
      <sheetName val="sh3"/>
      <sheetName val="sh2"/>
      <sheetName val="sh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DATA"/>
      <sheetName val="SheetB1"/>
      <sheetName val="FitOutConfCentre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Earthing study"/>
      <sheetName val="Budget"/>
      <sheetName val="Summary"/>
      <sheetName val="Salaries &amp; Allowances"/>
      <sheetName val="Staffing Plan"/>
      <sheetName val="Accomodation"/>
      <sheetName val="Cars"/>
      <sheetName val="Air Flight Fees"/>
      <sheetName val="Tools"/>
      <sheetName val="Internet"/>
      <sheetName val="Medical Care"/>
      <sheetName val="Mobile Fees"/>
      <sheetName val="Cost Database Sheet"/>
    </sheetNames>
    <sheetDataSet>
      <sheetData sheetId="0">
        <row r="3">
          <cell r="Z3">
            <v>-0.15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Lista"/>
    </sheetNames>
    <sheetDataSet>
      <sheetData sheetId="0"/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 Estimate  "/>
      <sheetName val="Z- GENERAL PRICE SUMMARY"/>
      <sheetName val="WITHOUT C&amp;I PROFIT (3)"/>
      <sheetName val="Equip."/>
      <sheetName val="Book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DATA OPTIONS"/>
      <sheetName val="MAIN OFFER"/>
      <sheetName val="OPTIONAL OFFER"/>
      <sheetName val=" MAIN"/>
      <sheetName val=" OPTION"/>
      <sheetName val="ALTERNAIVE"/>
      <sheetName val="SPARE"/>
      <sheetName val="MAIN MATERIAL DATABASE"/>
      <sheetName val="Aux MATERIAL DATABASE"/>
      <sheetName val="RELAYS"/>
      <sheetName val="BBP"/>
      <sheetName val="CHPAU-RELAYS"/>
      <sheetName val="Aux Order"/>
      <sheetName val="Main Orders"/>
      <sheetName val="TOTAL CABLES"/>
      <sheetName val="CABLES NEW"/>
      <sheetName val="CABLES"/>
      <sheetName val="Commercial"/>
      <sheetName val="DPLC - FOX - PABX"/>
      <sheetName val="DPLC BREAK DOWN"/>
      <sheetName val="RTU "/>
      <sheetName val="RTU PL 2011 EUR"/>
    </sheetNames>
    <sheetDataSet>
      <sheetData sheetId="0"/>
      <sheetData sheetId="1">
        <row r="1">
          <cell r="B1">
            <v>0</v>
          </cell>
        </row>
        <row r="2">
          <cell r="B2">
            <v>1</v>
          </cell>
          <cell r="Q2" t="str">
            <v>TOTSS</v>
          </cell>
          <cell r="R2">
            <v>16</v>
          </cell>
          <cell r="U2">
            <v>46</v>
          </cell>
        </row>
        <row r="3">
          <cell r="B3">
            <v>2</v>
          </cell>
          <cell r="Q3" t="str">
            <v>TOTL</v>
          </cell>
        </row>
        <row r="4">
          <cell r="B4">
            <v>3</v>
          </cell>
          <cell r="Q4" t="str">
            <v>TOTTR</v>
          </cell>
        </row>
        <row r="5">
          <cell r="B5">
            <v>4</v>
          </cell>
          <cell r="Q5" t="str">
            <v>TOTBS</v>
          </cell>
        </row>
        <row r="6">
          <cell r="B6">
            <v>5</v>
          </cell>
          <cell r="Q6" t="str">
            <v>TOT INC</v>
          </cell>
        </row>
        <row r="7">
          <cell r="B7">
            <v>6</v>
          </cell>
          <cell r="Q7" t="str">
            <v>BBQTY</v>
          </cell>
        </row>
        <row r="8">
          <cell r="B8">
            <v>7</v>
          </cell>
          <cell r="Q8" t="str">
            <v>LS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  <cell r="Q11" t="str">
            <v>TOT5</v>
          </cell>
          <cell r="R11">
            <v>0</v>
          </cell>
        </row>
        <row r="12">
          <cell r="B12">
            <v>11</v>
          </cell>
          <cell r="Q12" t="str">
            <v>LINE5</v>
          </cell>
          <cell r="R12">
            <v>0</v>
          </cell>
        </row>
        <row r="13">
          <cell r="B13">
            <v>12</v>
          </cell>
          <cell r="Q13" t="str">
            <v>TRAFO5</v>
          </cell>
          <cell r="R13">
            <v>0</v>
          </cell>
        </row>
        <row r="14">
          <cell r="B14">
            <v>13</v>
          </cell>
          <cell r="Q14" t="str">
            <v>BUS5</v>
          </cell>
          <cell r="R14">
            <v>0</v>
          </cell>
        </row>
        <row r="15">
          <cell r="B15">
            <v>14</v>
          </cell>
          <cell r="Q15" t="str">
            <v>COMM</v>
          </cell>
        </row>
        <row r="16">
          <cell r="B16">
            <v>15</v>
          </cell>
        </row>
        <row r="17">
          <cell r="B17">
            <v>16</v>
          </cell>
        </row>
        <row r="18">
          <cell r="B18">
            <v>17</v>
          </cell>
        </row>
        <row r="19">
          <cell r="B19">
            <v>18</v>
          </cell>
          <cell r="Q19" t="str">
            <v>TOT2</v>
          </cell>
          <cell r="R19">
            <v>0</v>
          </cell>
        </row>
        <row r="20">
          <cell r="B20">
            <v>19</v>
          </cell>
          <cell r="Q20" t="str">
            <v>LINE2</v>
          </cell>
          <cell r="R20">
            <v>0</v>
          </cell>
          <cell r="U20">
            <v>0</v>
          </cell>
          <cell r="W20">
            <v>0</v>
          </cell>
          <cell r="Y20">
            <v>0</v>
          </cell>
        </row>
        <row r="21">
          <cell r="B21">
            <v>20</v>
          </cell>
          <cell r="Q21" t="str">
            <v>TRAFO2</v>
          </cell>
          <cell r="R21">
            <v>0</v>
          </cell>
          <cell r="U21">
            <v>0</v>
          </cell>
          <cell r="W21">
            <v>0</v>
          </cell>
          <cell r="Y21">
            <v>0</v>
          </cell>
        </row>
        <row r="22">
          <cell r="B22">
            <v>21</v>
          </cell>
          <cell r="Q22" t="str">
            <v>Bus2</v>
          </cell>
          <cell r="R22">
            <v>0</v>
          </cell>
          <cell r="U22">
            <v>0</v>
          </cell>
          <cell r="W22">
            <v>0</v>
          </cell>
          <cell r="Y22">
            <v>0</v>
          </cell>
        </row>
        <row r="23">
          <cell r="B23">
            <v>22</v>
          </cell>
        </row>
        <row r="24">
          <cell r="B24">
            <v>23</v>
          </cell>
        </row>
        <row r="25">
          <cell r="B25">
            <v>24</v>
          </cell>
        </row>
        <row r="26">
          <cell r="B26">
            <v>25</v>
          </cell>
        </row>
        <row r="27">
          <cell r="B27">
            <v>26</v>
          </cell>
          <cell r="Q27" t="str">
            <v>TOT6</v>
          </cell>
        </row>
        <row r="28">
          <cell r="B28">
            <v>27</v>
          </cell>
          <cell r="Q28" t="str">
            <v>LINE6</v>
          </cell>
        </row>
        <row r="29">
          <cell r="B29">
            <v>28</v>
          </cell>
          <cell r="Q29" t="str">
            <v>TRAFO6</v>
          </cell>
          <cell r="R29">
            <v>2</v>
          </cell>
        </row>
        <row r="30">
          <cell r="B30">
            <v>29</v>
          </cell>
          <cell r="Q30" t="str">
            <v>BUS6</v>
          </cell>
          <cell r="R30">
            <v>1</v>
          </cell>
          <cell r="U30">
            <v>1</v>
          </cell>
          <cell r="W30">
            <v>1</v>
          </cell>
          <cell r="Y30">
            <v>1</v>
          </cell>
        </row>
        <row r="31">
          <cell r="B31">
            <v>30</v>
          </cell>
          <cell r="Q31" t="str">
            <v>INCOM6</v>
          </cell>
          <cell r="R31">
            <v>3</v>
          </cell>
          <cell r="U31">
            <v>3</v>
          </cell>
          <cell r="W31">
            <v>3</v>
          </cell>
          <cell r="Y31">
            <v>3</v>
          </cell>
        </row>
        <row r="32">
          <cell r="B32">
            <v>31</v>
          </cell>
        </row>
        <row r="33">
          <cell r="B33">
            <v>32</v>
          </cell>
        </row>
        <row r="34">
          <cell r="B34">
            <v>33</v>
          </cell>
          <cell r="U34">
            <v>4</v>
          </cell>
        </row>
        <row r="35">
          <cell r="B35">
            <v>34</v>
          </cell>
          <cell r="Q35" t="str">
            <v>TRAFO FAREND</v>
          </cell>
          <cell r="U35">
            <v>0</v>
          </cell>
        </row>
        <row r="36">
          <cell r="B36">
            <v>35</v>
          </cell>
          <cell r="Q36" t="str">
            <v>LINE FAR END</v>
          </cell>
        </row>
        <row r="37">
          <cell r="B37">
            <v>36</v>
          </cell>
        </row>
        <row r="39">
          <cell r="B39">
            <v>37</v>
          </cell>
        </row>
        <row r="41">
          <cell r="B41">
            <v>38</v>
          </cell>
        </row>
        <row r="42">
          <cell r="B42">
            <v>39</v>
          </cell>
          <cell r="R42">
            <v>0</v>
          </cell>
          <cell r="U42">
            <v>0</v>
          </cell>
        </row>
        <row r="43">
          <cell r="B43">
            <v>40</v>
          </cell>
        </row>
        <row r="44">
          <cell r="B44">
            <v>41</v>
          </cell>
        </row>
        <row r="45">
          <cell r="B45">
            <v>42</v>
          </cell>
        </row>
        <row r="46">
          <cell r="B46">
            <v>43</v>
          </cell>
        </row>
        <row r="47">
          <cell r="B47">
            <v>44</v>
          </cell>
          <cell r="R47">
            <v>0</v>
          </cell>
          <cell r="U47">
            <v>0</v>
          </cell>
        </row>
        <row r="48">
          <cell r="B48">
            <v>45</v>
          </cell>
        </row>
        <row r="50">
          <cell r="R50">
            <v>0</v>
          </cell>
          <cell r="U50">
            <v>0</v>
          </cell>
        </row>
        <row r="51">
          <cell r="R51">
            <v>0</v>
          </cell>
          <cell r="U51">
            <v>0</v>
          </cell>
        </row>
        <row r="57">
          <cell r="B57">
            <v>46</v>
          </cell>
        </row>
        <row r="72">
          <cell r="R72">
            <v>0</v>
          </cell>
          <cell r="U72">
            <v>0</v>
          </cell>
        </row>
        <row r="73">
          <cell r="R73">
            <v>0</v>
          </cell>
        </row>
        <row r="74">
          <cell r="R74">
            <v>0</v>
          </cell>
          <cell r="U74">
            <v>0</v>
          </cell>
        </row>
      </sheetData>
      <sheetData sheetId="2">
        <row r="33">
          <cell r="R33">
            <v>0</v>
          </cell>
          <cell r="W33">
            <v>0</v>
          </cell>
        </row>
      </sheetData>
      <sheetData sheetId="3"/>
      <sheetData sheetId="4"/>
      <sheetData sheetId="5">
        <row r="285">
          <cell r="G285">
            <v>43</v>
          </cell>
        </row>
      </sheetData>
      <sheetData sheetId="6"/>
      <sheetData sheetId="7"/>
      <sheetData sheetId="8"/>
      <sheetData sheetId="9">
        <row r="1">
          <cell r="D1" t="str">
            <v>Suppliers List</v>
          </cell>
          <cell r="G1" t="str">
            <v>ELECTRA</v>
          </cell>
          <cell r="M1" t="str">
            <v>CEWE</v>
          </cell>
          <cell r="R1" t="str">
            <v>RTK</v>
          </cell>
          <cell r="V1" t="str">
            <v>EES</v>
          </cell>
          <cell r="AC1" t="str">
            <v>FISUP</v>
          </cell>
          <cell r="AJ1" t="str">
            <v>FUNKE &amp; HUSTER</v>
          </cell>
          <cell r="AL1" t="str">
            <v>Scharer Eletronic AG</v>
          </cell>
          <cell r="AO1" t="str">
            <v>SEABB</v>
          </cell>
          <cell r="AR1" t="str">
            <v>BRAINCHILED</v>
          </cell>
          <cell r="AU1" t="str">
            <v>ARTECHE</v>
          </cell>
          <cell r="AX1" t="str">
            <v>ELESTER</v>
          </cell>
        </row>
        <row r="5">
          <cell r="D5" t="str">
            <v>DEABB</v>
          </cell>
          <cell r="G5" t="str">
            <v>Control And Discrepancy Switch,  
Type : V2N QS48 - L-RS, V2 94-4,  
Ref : 143 406,  
WITH LAMP 220VDC - 7W, 
LAMP OR NO. 60 006 359</v>
          </cell>
          <cell r="M5" t="str">
            <v xml:space="preserve">Digital Voltmeter,  
TYPE : DPM96 V100,   
VT RATIO : (220/root3)/(0.1/root3) KV,  
SCALE : 0…240KV </v>
          </cell>
          <cell r="R5" t="str">
            <v>Panel Module Fault Annunciator 28/20, 
TYPE : UC 625, with PB, 
INPUT : 220vDC, 
No. of I/P : 28 I/P Case equiped for 20 I/P, 
Field contact voltage : 24 VDC, 
Aux. Sup : 220vDC and 48VDC</v>
          </cell>
          <cell r="V5" t="str">
            <v>Panel Module Fault Annunciator, 
TYPE : 58B32-55-XRX-B6, 
INPUT : Supplied from internal, 
CAux. Sup : 2220 VDC</v>
          </cell>
          <cell r="AC5" t="str">
            <v xml:space="preserve">SPAU 140C-AA RS 488 001-AA </v>
          </cell>
          <cell r="AJ5" t="str">
            <v>HORN, 
TYPE : HPW12, 
INPUT : 220 V DC, 
Ord No : 21226117</v>
          </cell>
          <cell r="AL5" t="str">
            <v>Trip Cricuit Supervsion, 
TYPE :TSG 910 X22 A22, 
INPUT : 220Vdc, 
with 2 External resistor 8.9 kohm</v>
          </cell>
          <cell r="AO5" t="str">
            <v>REL670*1.1-A31X00-X00-B1X0-A-A-KB-A-A6-X0-EA-XXX-XX</v>
          </cell>
          <cell r="AR5" t="str">
            <v>Paperless WATT/VAR Indicator and Recorder, 
TYPE : VR06, 
 Ord No : VR06-4200-010-540, 
INPUT : 1-0-1mA</v>
          </cell>
          <cell r="AU5" t="str">
            <v xml:space="preserve">Trip Circuit Supervision, 
TYPE :VDF10, 
INPUT : 220Vdc, Aux. supp. 220VDC, 
Base : FN-TR OP,  
Socket : FN-TR2C OP </v>
          </cell>
          <cell r="AX5" t="str">
            <v xml:space="preserve">Energy Meter, 
TYPE :A1830, 
Model : A1380RAL, 
Style Nr : ZE3KL4R04LM </v>
          </cell>
        </row>
        <row r="6">
          <cell r="M6" t="str">
            <v xml:space="preserve">Digital Voltmeter,  
TYPE : DPM96 V100,  
VT RATIO : (66/root3)/(0.1/root3) KV,  
SCALE : 0…72KV </v>
          </cell>
          <cell r="AO6" t="str">
            <v>RET670*1,1-A40X00-A02C05D04-B1X0-C-E-KB-A-A3-A4-EAP--XD</v>
          </cell>
        </row>
        <row r="7">
          <cell r="D7" t="str">
            <v>ABB STOTZ</v>
          </cell>
          <cell r="G7" t="str">
            <v xml:space="preserve">Control And Discrepancy Switch,  
Type : V2N QS36 - L-R/SN 196B,  
Ref : 143 416, 
WITH LAMP 220VDC - 7W, 
LAMP OR NO. 60 006 359 </v>
          </cell>
          <cell r="M7" t="str">
            <v xml:space="preserve">Digital Voltmeter 
TYPE : DPM96 V100,  
VT RATIO : (22/root3)/(0.1/root3) KV 
SCALE : 0…24KV </v>
          </cell>
          <cell r="R7" t="str">
            <v>Panel Module Fault Annunciator 28/28, 
TYPE : UC 625, with PB, 
INPUT : 220vDC, 
No. of I/P : 28 I/P Case equiped for 28 I/P, 
Field contact voltage : 24 VDC, 
Aux. Sup : 220vDC and 48VDC</v>
          </cell>
          <cell r="V7" t="str">
            <v>Panel Module Fault Annunciator, 
TYPE : 58B32-23-XRX-B6, 
INPUT : Supplied from internal, 
CAux. Sup : 248 VDC</v>
          </cell>
          <cell r="AC7" t="str">
            <v>REX521 GMHPLM01G</v>
          </cell>
          <cell r="AJ7" t="str">
            <v>Bell 80dB, 
TYPE : HPW12, 
INPUT : 220 V ac, 
Ord No : 21162107</v>
          </cell>
          <cell r="AL7" t="str">
            <v>Trip Cricuit Supervsion, 
TYPE :TSG 930 X22 A22, 
INPUT : 220Vdc, 
with 6 External resistor 8.9 kohm</v>
          </cell>
          <cell r="AO7" t="str">
            <v>Test Switch (Line)
TYPE :RTXP 24
Ord No : RK 926 315 AH</v>
          </cell>
        </row>
        <row r="8">
          <cell r="AC8" t="str">
            <v>REX521 GMHPLM01EFR</v>
          </cell>
        </row>
        <row r="9">
          <cell r="D9" t="str">
            <v>ABB ENTERLEC</v>
          </cell>
          <cell r="G9" t="str">
            <v xml:space="preserve">Lamps,  
Rated Vol : 220V DC / 7W,  
Ref : 60 006 359,  </v>
          </cell>
          <cell r="M9" t="str">
            <v>Digital Voltmeter 
TYPE : DPM96 V100,  
INPUT : 100 V AC, 
Programmable</v>
          </cell>
          <cell r="R9" t="str">
            <v>Panel Module Fault Annunciator 40/40-IP, 
TYPE : UC 625, with PB, 
INPUT : 220vDC, 
No. of I/P : 40 I/P Case equiped for 40 I/P, 
Field contact voltage : 24 VDC, 
Aux. Sup : 220vDC and 220VAC</v>
          </cell>
          <cell r="AC9" t="str">
            <v>REX521 GHHPLH04EFR</v>
          </cell>
          <cell r="AJ9" t="str">
            <v xml:space="preserve">HORN, 
TYPE : HPW12, 
INPUT : 48 V DC, 
Ord No : </v>
          </cell>
          <cell r="AO9" t="str">
            <v>Test Switch (Trafo), 
TYPE :RTXP 24, 
Ord No :RK 926 315 AE</v>
          </cell>
        </row>
        <row r="10">
          <cell r="AC10" t="str">
            <v>REX521 GHHPLH04G</v>
          </cell>
        </row>
        <row r="11">
          <cell r="D11" t="str">
            <v>FISUP</v>
          </cell>
          <cell r="G11" t="str">
            <v xml:space="preserve">Voltmeter Selector Switch,  
Type :D1V3 -F15-B-SI,  
Ref : 31 990 118,  </v>
          </cell>
          <cell r="M11" t="str">
            <v xml:space="preserve">Digital Ammeter,  
TYPE : DPM96 A100,  
CT RATIO : 800 -1600/1 A, 
SCALE : 800 - 1600 A </v>
          </cell>
          <cell r="R11" t="str">
            <v>Panel Module Fault Annunciator 24/28-IP, 
TYPE : UC 625, with PB, 
INPUT : 220vDC, 
No. of I/P : 28 I/P Case equiped for 24 I/P, 
Field contact voltage : 24 VDC, 
Aux. Sup : 220vDC and 220VAC</v>
          </cell>
          <cell r="AC11" t="str">
            <v>REX521 GBHPLB01EFR</v>
          </cell>
          <cell r="AO11" t="str">
            <v>Test Plug Handle,  
TYPE :RTXH 24, 
Ord No :RK 926 016-AA</v>
          </cell>
        </row>
        <row r="12">
          <cell r="M12" t="str">
            <v xml:space="preserve">Digital Ammeter,  
TYPE : DPM96 A100, 
CT RATIO : 200 -400/1 A, 
SCALE : 200 - 400 A </v>
          </cell>
        </row>
        <row r="13">
          <cell r="D13" t="str">
            <v>ABB INSTRUMENTATION</v>
          </cell>
          <cell r="G13" t="str">
            <v xml:space="preserve">Control switch 12pole 3 pos.  
Label : Main. - Local - Remote,   
Type :V1D S123-F1-B2ZE-SI9,  
Ref : 138 444
</v>
          </cell>
          <cell r="M13" t="str">
            <v xml:space="preserve">Digital Ammeter,  
TYPE : DPM96 A100, 
CT RATIO : 1000 -2000/1 A, 
SCALE : 1000 - 2000 A </v>
          </cell>
          <cell r="R13" t="str">
            <v>Panel Module Fault Annunciator 28/28-IP, 
TYPE : UC 625, with PB, 
INPUT : 220vDC, 
No. of I/P : 28 I/P Case equiped for 28 I/P, 
Field contact voltage : 24 VDC, 
Aux. Sup : 220vDC and 220VAC</v>
          </cell>
          <cell r="AC13" t="str">
            <v>SPAJ115C RS421012AA</v>
          </cell>
          <cell r="AO13" t="str">
            <v>Test Switch (Bkup), 
TYPE :RTXP 18, 
Ord No : RK 926 115-AD</v>
          </cell>
        </row>
        <row r="14">
          <cell r="M14" t="str">
            <v xml:space="preserve">Digital Ammeter,  
TYPE : DPM96 A100, 
CT RATIO : 1000 -2000/5 A, 
SCALE : 1000 - 2000 A </v>
          </cell>
        </row>
        <row r="15">
          <cell r="D15" t="str">
            <v>BRAINCHILD</v>
          </cell>
          <cell r="G15" t="str">
            <v xml:space="preserve">Control switch 12pole 3 pos.,  
Label : TP Indep. - Follow. - Master,  
Type :V1D S123-F1-B2ZE-SI9,  
Ref : 138 444 </v>
          </cell>
          <cell r="M15" t="str">
            <v xml:space="preserve">Digital Ammeter,  
TYPE : DPM96 A100,  
CT RATIO : 600 -1200/1 A, 
SCALE : 600 - 1200 A </v>
          </cell>
          <cell r="AC15" t="str">
            <v xml:space="preserve">REF610 C11HCNN01          </v>
          </cell>
          <cell r="AO15" t="str">
            <v xml:space="preserve">Test Plug (Bkup), 
TYPE RTXH 18, 
Ord No : RK 926 011-AC </v>
          </cell>
        </row>
        <row r="16">
          <cell r="M16" t="str">
            <v xml:space="preserve">Digital Ammeter,  
TYPE : DPM96 A100, 
CT RATIO : 150 - 300/1 A, 
SCALE : 150 - 300 A </v>
          </cell>
          <cell r="AC16" t="str">
            <v>REF610 CABLE 1MRS050698</v>
          </cell>
        </row>
        <row r="17">
          <cell r="D17" t="str">
            <v>ELEKTRA</v>
          </cell>
          <cell r="G17" t="str">
            <v xml:space="preserve">Control switch 12pole 3 pos.,  
Label :  REMOTE. - SAS - SUPERVISORY,  
Type :V1D S123-F1-B2ZE-SI9,  
Ref : 138 444 </v>
          </cell>
          <cell r="M17" t="str">
            <v xml:space="preserve">Digital Ammeter,  
TYPE : DPM96 A100, 
CT RATIO : 1250 - 2500/1 A, 
SCALE : 1250 - 2500 A </v>
          </cell>
          <cell r="AC17" t="str">
            <v>REF543 BCU</v>
          </cell>
          <cell r="AO17" t="str">
            <v>Test Switch (oc), 
TYPE :RTXP 8, 
Ord No : RK 926 002-AE</v>
          </cell>
        </row>
        <row r="19">
          <cell r="D19" t="str">
            <v>EAO</v>
          </cell>
          <cell r="G19" t="str">
            <v xml:space="preserve">Control Switch 8 Pole 2 pos.,  
Label : Remote - Supervisory,  
Type :V2N UD8-F1-B2ZE-SI9,  
Ref : 142 726 
</v>
          </cell>
          <cell r="M19" t="str">
            <v>Digital Ammeter,  
TYPE : DPM96 A100, 
INPUT : 1 A, 
Programmable</v>
          </cell>
          <cell r="AC19" t="str">
            <v>High impedance plate 1ph with resistor 
and voltage dependant resistor 100-400V, 
Order No. RK795101 - CB</v>
          </cell>
          <cell r="AO19" t="str">
            <v xml:space="preserve">Test Plug (oc), 
TYPE RTXH 8, 
Ord No : RK 926 011-BE </v>
          </cell>
        </row>
        <row r="21">
          <cell r="D21" t="str">
            <v>APS ELEKTRONIK AG</v>
          </cell>
          <cell r="G21" t="str">
            <v xml:space="preserve">Control Switch 8 Pole 2 pos.,  
Label : BB1 - BB2,  
Type :V2N UD8-F1-B2ZE-SI9,  
Ref : 142 726,  </v>
          </cell>
          <cell r="AC21" t="str">
            <v>OC&amp;DEF REF615 HBF A AA AA A N B 1 A N N 1 X B</v>
          </cell>
          <cell r="AO21" t="str">
            <v>TRIP RELAY (HS), 
TYPE : RXMS1, 
Ord No: RK 261 263 -AS, 
INPUT : 220Vdc</v>
          </cell>
        </row>
        <row r="23">
          <cell r="D23" t="str">
            <v>CEWE</v>
          </cell>
          <cell r="G23" t="str">
            <v xml:space="preserve">Control Switch 8 Pole 2 pos.,  
Label : TP AUTO - MANUAL,  
Type :V2N UD8-F1-B2ZE-SI9,  
Ref : 142 726,  </v>
          </cell>
          <cell r="M23" t="str">
            <v>Multi Instrument
TYPE : MI-1-34
INPUT : 1A -100VAC
SCALE : 4 digits</v>
          </cell>
          <cell r="AC23" t="str">
            <v>0C&amp;EF REF615 HBF C AC AB N A A 1 A N N 1 X B</v>
          </cell>
          <cell r="AO23" t="str">
            <v>TRIP RELAY, 
TYPE :RXMB1, 
Ord No :1MRK 000 863 -AS, 
INPUT : 220Vdc</v>
          </cell>
        </row>
        <row r="24">
          <cell r="M24" t="str">
            <v>Multi Instrument
TYPE : MI-2-34
INPUT : 1A -110VAC
SCALE : 4 digits</v>
          </cell>
        </row>
        <row r="25">
          <cell r="D25" t="str">
            <v>FRER</v>
          </cell>
          <cell r="G25" t="str">
            <v xml:space="preserve">Control Switch 4 Pole CHANGE-OVER SWITCH , 
Label : Trip - 0 - Close  
Type :V2N U4R2-F1-B-SI9,  
Ref : 142 534,  
</v>
          </cell>
          <cell r="M25" t="str">
            <v>Multi Instrument, 
TYPE : ELITE, 
INPUT : 1A -110VAC, 
SCALE : 4 digits</v>
          </cell>
          <cell r="AC25" t="str">
            <v>REF630 SFB AABAB BBA ZAN NBXB</v>
          </cell>
          <cell r="AO25" t="str">
            <v xml:space="preserve">Terminal Base,  
TYPE :RX4, 
Ord No:5619 499-A </v>
          </cell>
        </row>
        <row r="26">
          <cell r="M26" t="str">
            <v>Multi Instrument, 
TYPE : ELITE, 
INPUT : 5A -110VAC, 
SCALE : 4 digits</v>
          </cell>
        </row>
        <row r="27">
          <cell r="D27" t="str">
            <v>ELESTER</v>
          </cell>
          <cell r="G27" t="str">
            <v>Control  Switch 4 pole 2 pos., 
Label : TP Auto -Manual, 
Type :V2N UD4-F1-B2ZE-SI9, 
Ref : 142 725</v>
          </cell>
          <cell r="AO27" t="str">
            <v xml:space="preserve">Terminal Base,  
TYPE :RX2H, 
Ord No:: 5619 625-A </v>
          </cell>
        </row>
        <row r="29">
          <cell r="D29" t="str">
            <v>RTK</v>
          </cell>
          <cell r="G29" t="str">
            <v>Control  Switch 4 pole 2 pos., 
Label : SYNC Auto - Manual, 
Type :V2N UD4-F1-B2ZE-SI9, 
Ref : 142725</v>
          </cell>
          <cell r="M29" t="str">
            <v>Double Voltmeter 220KV, 
TYPE : WQ 96/2S , 
INPUT : (220/root3)/(0.1/root3) KV
SCALE : 0…..240kV</v>
          </cell>
          <cell r="AO29" t="str">
            <v>Backage of contact,  sockets 10Amp, 
TYPE :10Amps, 
Ord No:: 1MRK002136-B</v>
          </cell>
        </row>
        <row r="30">
          <cell r="M30" t="str">
            <v>Double Voltmeter 66KV, 
TYPE : WQ 96/2S
INPUT : (66/root3)/(0.1/root3) KV
SCALE : 0…..72kV</v>
          </cell>
        </row>
        <row r="31">
          <cell r="D31" t="str">
            <v>EES</v>
          </cell>
          <cell r="G31" t="str">
            <v xml:space="preserve">Control  Switch 1 pole 2 pos.,  
Type : B2N A1-F15-B-SI,  
Ref : 137281,  
Label : Auto R. Off - Auto R. On </v>
          </cell>
          <cell r="M31" t="str">
            <v>Double Voltmeter 500KV, 
TYPE : WQ 96/2S
INPUT : (500/root3)/(0.1/root3) KV
SCALE : 0…..600kV</v>
          </cell>
          <cell r="AO31" t="str">
            <v>Backage of contact,  sockets 20Amp, 
TYPE :20 Amp, 
Ord No:: 1MRK002136-E</v>
          </cell>
        </row>
        <row r="33">
          <cell r="D33" t="str">
            <v>PHOENIX</v>
          </cell>
          <cell r="G33" t="str">
            <v xml:space="preserve">Control switch 8pole 3 pos. with key,  
Label :Manual - 0 - Auto,  
Type : V2N U8-F1-B2ZE-SI9,  
Ref : 142 037 </v>
          </cell>
          <cell r="M33" t="str">
            <v>Double Frequincy meter , 
TYPE :FQ 96/2 , 
INPUT : 2 X 100 V
SCALE : 45…..55Hz</v>
          </cell>
          <cell r="AO33" t="str">
            <v>Lock out Relay,  
TYPE :RXMVB2, 
Ord No:: RK 251 206-AS</v>
          </cell>
        </row>
        <row r="35">
          <cell r="D35" t="str">
            <v>RITTAL</v>
          </cell>
          <cell r="G35" t="str">
            <v xml:space="preserve">Control Switch 8 Pole 4 pos. 
Label :BB1-BB2-BB3- BB4 
Type :V2N S44-F1-B-SI9 
Ref : 143 335 </v>
          </cell>
          <cell r="M35" t="str">
            <v xml:space="preserve">Synchroscope , 
TYPE :SY 96 S , 
INPUT : 100V, 50Hz
</v>
          </cell>
          <cell r="AO35" t="str">
            <v>Lock out Relay,  
TYPE :RXMVB4, 
Ord No:: RK 251 403-AS</v>
          </cell>
        </row>
        <row r="37">
          <cell r="D37" t="str">
            <v>FUNKE and HUSTER</v>
          </cell>
          <cell r="G37" t="str">
            <v xml:space="preserve">Control Switch 24 Pole 3 pos. 
Label :MAIN - LOCAL - REMOTE 
Type :N6S S243-F4-BZD-SI9 
Ref :  </v>
          </cell>
          <cell r="AO37" t="str">
            <v>Lock out Relay,  
TYPE :RXSF1, 
Ord No:: RK 271 006-AS</v>
          </cell>
        </row>
        <row r="39">
          <cell r="D39" t="str">
            <v>SCHARER ELECTRONIC AG</v>
          </cell>
        </row>
        <row r="41">
          <cell r="D41" t="str">
            <v>AREVA</v>
          </cell>
        </row>
        <row r="42">
          <cell r="AO42" t="str">
            <v>RET670*1.1-A40X00-A01C05D04- B1X0-C-E-KB-B-A3A3-EAAE-XXXX-XD</v>
          </cell>
        </row>
        <row r="43">
          <cell r="D43" t="str">
            <v>CEF</v>
          </cell>
          <cell r="AO43" t="str">
            <v>.</v>
          </cell>
        </row>
        <row r="44">
          <cell r="AO44" t="str">
            <v>RET670*1.1-A30X00-A02C05-B1X0-A- E-KB-B-B3-EAA-XXX-XD.</v>
          </cell>
        </row>
        <row r="45">
          <cell r="D45" t="str">
            <v>L Market</v>
          </cell>
          <cell r="AO45" t="str">
            <v>66kV TRAFO Diff RET670*1.1-A30X00-A02C05-B1X0-A-E-KB-B-B3-EA-XXX-XD</v>
          </cell>
        </row>
        <row r="46">
          <cell r="AO46" t="str">
            <v>REL670*1.2-A31X00-B03-B1-A-E-KB-B-A6-EA-XXX-XX</v>
          </cell>
        </row>
        <row r="47">
          <cell r="D47" t="str">
            <v>EGABB</v>
          </cell>
          <cell r="AO47" t="str">
            <v xml:space="preserve">REB670*1.2-A31X03-C07C1 1-B1-E-E-KB-B-A1A1-EAEAEAA-XXXXX-XX 
</v>
          </cell>
        </row>
        <row r="48">
          <cell r="AO48" t="str">
            <v>RET670*1.2-A30X00-D03-B1-A-E-KB-B-B3-EA-XXX-XX</v>
          </cell>
        </row>
        <row r="49">
          <cell r="D49" t="str">
            <v>SEABB</v>
          </cell>
          <cell r="M49" t="str">
            <v>Temp Indicator
TYPE : CL96 
INPUT : 4…..20mA
SCALE : 0..150 DEGREE</v>
          </cell>
        </row>
        <row r="50">
          <cell r="M50" t="str">
            <v>Temp Transducer (PT100)
TYPE : DR64, , 220vDC
OUTPUT : 4…..20mA
SCALE : 0..150 DEGREE</v>
          </cell>
        </row>
        <row r="51">
          <cell r="D51" t="str">
            <v>ABB CH</v>
          </cell>
          <cell r="M51" t="str">
            <v>Tap position indicator
TYPE : CL96 
INPUT : 4…..20mA
SCALE : 1..17 tap</v>
          </cell>
          <cell r="AO51" t="str">
            <v>66kv Line Diff RED670*1.1-A31X00-X00-B1X0-A-E-KB-B-A6-EA-AXX-BD</v>
          </cell>
        </row>
        <row r="52">
          <cell r="M52" t="str">
            <v xml:space="preserve">Tap position transducer,  
TYPE : DR343, 170 ohm input,  
Aux. Sup : 220vDC,  
OUTPUT : 4…..20mA,  
SCALE : 0..17 </v>
          </cell>
        </row>
        <row r="53">
          <cell r="D53" t="str">
            <v>Seimes</v>
          </cell>
          <cell r="M53" t="str">
            <v xml:space="preserve">Tap position transducer (SCADA),  
TYPE : DR343, 170 ohm input,  
Aux. Sup : 48vDC,  
OUTPUT : 4…..20mA,  
SCALE : 0..17 </v>
          </cell>
        </row>
        <row r="55">
          <cell r="D55" t="str">
            <v>AUX.</v>
          </cell>
        </row>
        <row r="56">
          <cell r="AO56" t="str">
            <v>REB500-CU03-V75-S10-P0-B0-CA0-CB0</v>
          </cell>
        </row>
        <row r="57">
          <cell r="D57" t="str">
            <v>ARTECHE</v>
          </cell>
          <cell r="M57" t="str">
            <v>Position Indication
TYPE : PI29
AUX VOL : 220VDC</v>
          </cell>
          <cell r="AO57" t="str">
            <v xml:space="preserve">SHORT QUESTIONARIE  
  System Voltage [kV] 66 
  Frequency [Hz] 50  
  Neutral Grounding  Solidly grounded  
  Busbar Configuration  Quadruple  
  Switchgear  AIS  
  Circuit Breaker type  Three pole  
  Trip circuits / Tripping method  Two trip coils  
</v>
          </cell>
        </row>
        <row r="58">
          <cell r="M58" t="str">
            <v>Position Indication
TYPE : PI36
AUX VOL : 220VDC</v>
          </cell>
        </row>
        <row r="59">
          <cell r="D59" t="str">
            <v>KLAXON</v>
          </cell>
          <cell r="AO59" t="str">
            <v>REB670*1.2-A31X03-C07C11-B1-E-F-KB-B-A1A1-E1AE1E1E1AA-XXXXX-XX</v>
          </cell>
        </row>
        <row r="60">
          <cell r="AO60" t="str">
            <v>BASIC FUNCTIONS  
 for configuration alternative A31 
 Apparatus control (QCBAY),1pcs 
 Busbar differential protection, 2 zones, three phase/8 bays (,87B),1pcs 
 Configurable logic blocks,1pcs 
 Disturbance report,1pcs 
 Event function,20pcs 
 Function bl</v>
          </cell>
        </row>
        <row r="61">
          <cell r="D61" t="str">
            <v>SIEMENS or ALSTOM</v>
          </cell>
        </row>
        <row r="62">
          <cell r="AO62" t="str">
            <v>1MRB150082M0002, REB500-CU03_REB500-CU03-V75-S10-P0-B0-CA3-CB0</v>
          </cell>
        </row>
        <row r="63">
          <cell r="D63" t="str">
            <v>ALSTOM</v>
          </cell>
          <cell r="M63" t="str">
            <v>ENERGY METER,  220kV LINE, 
TYPE : PREMIRE, 
CT INPUT : 800-1600 /1 AMP, 
VT INPUT : (220000/ROOT3) / (100 / ROOT3) V</v>
          </cell>
          <cell r="AO63" t="str">
            <v>1MRB150071M0001, REB500-BU03_REB500-BU03-V7-C1-A40-P0-F1-BB1-IO1-R0-OC0-BFP1-EFP0-PD0-DR0-L0-T0</v>
          </cell>
        </row>
        <row r="64">
          <cell r="M64" t="str">
            <v>ENERGY METER, 220kV TRAFO, 
TYPE : PREMIRE, 
CT INPUT : 200-400 /1 AMP, 
VT INPUT : (220000/ROOT3) / (100 / ROOT3) V</v>
          </cell>
        </row>
        <row r="65">
          <cell r="D65" t="str">
            <v>M.G</v>
          </cell>
          <cell r="M65" t="str">
            <v>ENERGY METER,  66kV LINE, 
TYPE : PREMIRE, 
CT INPUT : 600-1200 /1 AMP, 
VT INPUT : (66000/ROOT3) / (100 / ROOT3) V, 
with flush mounting kit</v>
          </cell>
          <cell r="AO65" t="str">
            <v>REL670*1.2-A32X00-B03-B21-C17-F01-H04-B1-A-E-KB-C-A6-EAP-XXX-XX</v>
          </cell>
        </row>
        <row r="66">
          <cell r="M66" t="str">
            <v>ENERGY METER,  66kV LINE, 
TYPE : PREMIRE, 
CT INPUT : 1000-2000 /5 AMP, 
VT INPUT : (66000/ROOT3) / (100 / ROOT3) V, 
with flush mounting kit</v>
          </cell>
        </row>
        <row r="67">
          <cell r="D67" t="str">
            <v>EGARC</v>
          </cell>
          <cell r="M67" t="str">
            <v>ENERGY METER,  66kV TRAFO, 
TYPE : PREMIRE, 
CT INPUT : 150-300 /1 AMP, 
VT INPUT : (66000/ROOT3) / (100 / ROOT3) V, 
with flush mounting kit</v>
          </cell>
          <cell r="AO67" t="str">
            <v>RET670*1.2-A30X00-C05-D03-B1-C-X-KB-B-A3-X0-EAP-XXX-XX</v>
          </cell>
        </row>
        <row r="68">
          <cell r="M68" t="str">
            <v>ENERGY METER,  66kV INCOMING, 
TYPE : PREMIRE, 
CT INPUT : 600-1200 /1 AMP, 
VT INPUT : (66000/ROOT3) / (100 / ROOT3) V</v>
          </cell>
        </row>
        <row r="69">
          <cell r="D69" t="str">
            <v>SIEMENS</v>
          </cell>
          <cell r="AO69" t="str">
            <v>REB500-BU03-V7-C1-A45-P0-F1-BB1-IO0-R1-OC0-BFP1EFP1-PD0-DR0-L0-T0</v>
          </cell>
        </row>
        <row r="71">
          <cell r="D71" t="str">
            <v>FINDER</v>
          </cell>
          <cell r="AO71" t="str">
            <v>REB500-CU03V75-S10-P1-B1-CA3-CB0</v>
          </cell>
        </row>
        <row r="72">
          <cell r="AO72" t="str">
            <v>REB670*1.2-B21X03-C08C12-B1-E-E-KB-B-A1-EAEAAAPPPPP-XXXXX-XX</v>
          </cell>
        </row>
        <row r="73">
          <cell r="D73" t="str">
            <v>ABB SW</v>
          </cell>
        </row>
        <row r="74">
          <cell r="AO74" t="str">
            <v>REL670*1.2-A31X00-B03-B1-A-E-KB-B-A6-EA-XXX-XX.</v>
          </cell>
        </row>
        <row r="75">
          <cell r="D75" t="str">
            <v>ELESTER (KEEM ELECTRIC)</v>
          </cell>
          <cell r="M75" t="str">
            <v>WATT/VAR Transducer, 66kV LINE (SCADA) , 
TYPE : DPQ343,  
CT Input : 600-1200/1 A,  
VT Input : 66000/ (100 root3) V
OUTPUT : 1…0..1mA,
SCALE : 100 ..0…100MW and 50…0…50MVAR,  
U aux : 48v DC</v>
          </cell>
          <cell r="AO75" t="str">
            <v>RET670*1.2-A30X00-D03-B1-A-E-KB-B-B3-EA-XXX-XX.</v>
          </cell>
        </row>
        <row r="76">
          <cell r="M76" t="str">
            <v>WATT/VAR Transducer, 66kV TRAFO (SCADA) , 
TYPE : DPQ343,  
CT Input : 400-800/1 A,  
VT Input : 66000/ (100 root3) V
OUTPUT : 1…0..1mA,
SCALE : 50 ..0…50MW and 25…0…25MVAR,  
U aux : 48v DC</v>
          </cell>
          <cell r="AO76" t="str">
            <v>REB670*1.1-B21X03-C08C12-B1X0-E-E-KB-B-A1X0-EAEAAAPPPPP--XX.</v>
          </cell>
        </row>
        <row r="77">
          <cell r="M77" t="str">
            <v>WATT/VAR Transducer, 66kV TRAFO (SCADA) , 
TYPE : DPQ343,  
CT Input : 200-400/1 A,  
VT Input : 66000/ (100 root3) V
OUTPUT : 1…0..1mA,
SCALE : 50 ..0…50MW and 25…0…25MVAR,  
U aux : 48v DC</v>
          </cell>
          <cell r="AO77" t="str">
            <v xml:space="preserve">RK251206-AS
Throw-over relay, RXMVB 2 DC 220V, 5 make and 3 break contacts
</v>
          </cell>
        </row>
        <row r="78">
          <cell r="M78" t="str">
            <v>WATT/VAR Transducer, 22kV INCOM TR (SCADA), 
TYPE : DPQ343,  
CT Input : 600-1200/1 A,  
VT Input : 22000/ (100 root3) V
OUTPUT : 1…0..1mA,
SCALE : 50 ..0…50MW and 25…0…25MVAR,  
U aux : 48v DC</v>
          </cell>
          <cell r="AO78" t="str">
            <v xml:space="preserve">1MRK000863-AS
Auxiliary relay, RXMB 1 DC 220-250V, 6 make contacts
Delivery time: 4 working weeks
</v>
          </cell>
        </row>
        <row r="79">
          <cell r="M79" t="str">
            <v>WATT/VAR Transducer, 11kV INCOMING (SCADA), 
TYPE : DPQ343,  
CT Input : 800-1600/1 A,  
VT Input : 11000/ (100 root3) V
OUTPUT : 1…0..1mA,
SCALE : 30 ..0…30MW and 15…0…15MVAR,  
U aux : 48v DC</v>
          </cell>
          <cell r="AO79" t="str">
            <v xml:space="preserve">RK926315-AH
Test switch, RTXP 24
Delivery time: 3 working weeks
</v>
          </cell>
        </row>
        <row r="80">
          <cell r="AO80" t="str">
            <v xml:space="preserve">RK926315-AE
Test switch, RTXP 24
Delivery time: 3 working weeks
</v>
          </cell>
        </row>
        <row r="81">
          <cell r="M81" t="str">
            <v>WATT/VAR Transducer, 220kV LINE (SCADA) , 
TYPE : DPQ343,  
CT Input : 800-1600/1 A,  
VT Input : 220000/ (100 root3) V
OUTPUT : 1…0..1mA,
SCALE : 200 ..0…200MW and 100…0…100MVAR,  
U aux : 48v DC</v>
          </cell>
          <cell r="AO81" t="str">
            <v xml:space="preserve">RK926115-AD
Test switch, RTXP 18
Delivery time: 3 working weeks
</v>
          </cell>
        </row>
        <row r="82">
          <cell r="M82" t="str">
            <v>WATT/VAR Transducer, 220kV TRINCOM 125MVA(SCADA) , 
TYPE : DPQ343,  
CT Input : 600-1200/1 A,  
VT Input : 66000/ (100 root3) V
OUTPUT : 1…0..1mA,
SCALE : 150 ..0…150MW and 75…0…75MVAR,  
U aux : 48v DC</v>
          </cell>
          <cell r="AO82" t="str">
            <v xml:space="preserve">1MRK002136-E
Package of contact sockets 20A, 1000 pcs,
Delivery time: 2 working weeks
</v>
          </cell>
        </row>
        <row r="83">
          <cell r="AO83" t="str">
            <v xml:space="preserve">1MRK002136-B
Package of contact sockets 10A, 1000 pcs,
Delivery time: 2 working weeks
</v>
          </cell>
        </row>
        <row r="85">
          <cell r="M85" t="str">
            <v>Current Transducer, 66kV LINE , 
TYPE : DI124,  
CT Input : 600-1200/1 A,  
OUTPUT : 1…0..1mA, 
U aux : 48v DC</v>
          </cell>
          <cell r="AO85" t="str">
            <v>REB500-CU03-V75-S20-P0-B0-CA3-CB0</v>
          </cell>
        </row>
        <row r="86">
          <cell r="M86" t="str">
            <v>Current Transducer, 66kV TRAFO , 
TYPE : DI124,  
CT Input : 400-800/1 A, 
OUTPUT : 1…0..1mA, 
U aux :48VDC</v>
          </cell>
          <cell r="AO86" t="str">
            <v>REB500-BU03-V7-C1-A40-P0-F1-BB1-IO1-R0-OC0-BFP1-EFP0-PD0-DR0-L0-T0</v>
          </cell>
        </row>
        <row r="87">
          <cell r="M87" t="str">
            <v>Current Transducer, 66kV TRAFO , 
TYPE : DI124,  
CT Input : 200-400/1 A, 
OUTPUT : 1…0..1mA, 
U aux :48VDC</v>
          </cell>
        </row>
        <row r="88">
          <cell r="M88" t="str">
            <v>Current Transducer, 66kV Bus Coupler , 
TYPE : DI124,  
CT Input : 1250-2500/1 A,  
OUTPUT : 1…0..1mA, 
U aux : 48v dc</v>
          </cell>
        </row>
        <row r="89">
          <cell r="M89" t="str">
            <v>Current Transducer, 66kV INCOM TR , 
TYPE : DI124,  
CT Input : 800-1600/1 A,  
OUTPUT : 1…0..1mA, 
U aux : 48v DC</v>
          </cell>
          <cell r="AO89" t="str">
            <v>REL670*1.2-A31X00-B03-B1-A-E-KB-B-A6-EA-XXX-XX.</v>
          </cell>
        </row>
        <row r="90">
          <cell r="M90" t="str">
            <v>Current Transducer, 66kV Bus Coupler , 
TYPE : DI124,  
CT Input : 1000-2000/1 A,  
OUTPUT : 1…0..1mA, 
U aux : 48v dc</v>
          </cell>
        </row>
        <row r="92">
          <cell r="M92" t="str">
            <v>Current Transducer, 220kV LINE , 
TYPE : DI124,  
CT Input : 800-1600/1 A,  
OUTPUT : 1…0..1mA, 
U aux : 48v DC</v>
          </cell>
        </row>
        <row r="93">
          <cell r="M93" t="str">
            <v>Current Transducer, 220kV TRAFO , 
TYPE : DI124,  
CT Input : 200-400/1 A, 
OUTPUT : 1…0..1mA, 
U aux : 48v dc</v>
          </cell>
        </row>
        <row r="94">
          <cell r="M94" t="str">
            <v>Current Transducer, 220kV Bus Coupler , 
TYPE : DI124,  
CT Input : 1000-2000/1 A,  
OUTPUT : 1…0..1mA, 
U aux : 48v dc</v>
          </cell>
        </row>
        <row r="95">
          <cell r="M95" t="str">
            <v>Current Transducer, 220kV TR INC , 
TYPE : DI124,  
CT Input : 600-1200/1 A,  
OUTPUT : 1…0..1mA, 
U aux : 48v DC</v>
          </cell>
        </row>
        <row r="97">
          <cell r="M97" t="str">
            <v>Current Transducer, 66kV LINE , 
TYPE : DI120,  
CT Input : 600-1200/1 A,  
OUTPUT : 0..1mA, 
U aux : 48Vdc</v>
          </cell>
        </row>
        <row r="98">
          <cell r="M98" t="str">
            <v>Current Transducer, 66kV TRAFO , 
TYPE : DI120,  
CT Input : 200-400/1 A, 
OUTPUT : 0..1mA, 
U aux : 100VAC</v>
          </cell>
        </row>
        <row r="99">
          <cell r="M99" t="str">
            <v>Current Transducer, 66kV Bus Coupler , 
TYPE : DI124,  
CT Input : 1000-2000/1 A,  
OUTPUT : 0..1mA, 
U aux : 48V dc</v>
          </cell>
        </row>
        <row r="100">
          <cell r="M100" t="str">
            <v>Current Transducer, 11kV Bus Coupler , 
TYPE : DI124,  
CT Input : 1000-2000/1 A,  
OUTPUT : 0..1mA, 
U aux : 48V dc</v>
          </cell>
        </row>
        <row r="102">
          <cell r="M102" t="str">
            <v>V Transducer, 220kV (SCADA),   
TYPE : DU124,    
VT Input : 220000/ (100 root3) V
OUTPUT : 0..1mA,
SCALE : 0…220kV,  
U aux : 48v DC</v>
          </cell>
        </row>
        <row r="103">
          <cell r="M103" t="str">
            <v>V Transducer, 66kV (SCADA), 
TYPE : DU124,    
VT Input : 66000/ (100 root3) V
OUTPUT : 0..1mA,
SCALE : 0…72kV,  
U aux : 48v DC</v>
          </cell>
        </row>
        <row r="104">
          <cell r="M104" t="str">
            <v>V Transducer, 22kV (SCADA), 
TYPE : DU124,    
VT Input : 22000/ (100 root3) V
OUTPUT : 0..1mA,
SCALE : 0…24kV,  
U aux : 48v DC</v>
          </cell>
        </row>
        <row r="105">
          <cell r="M105" t="str">
            <v>V Transducer, 11kV (SCADA), 
TYPE : DU124,    
VT Input : 11000/ (100 root3) V
OUTPUT : 0..1mA,
SCALE : 0…12kV,  
U aux : 48v DC</v>
          </cell>
        </row>
        <row r="108">
          <cell r="M108" t="str">
            <v>WATT Transducer, 66kV LINE (SCADA) , 
TYPE : DP344,  
CT Input : 600-1200/1 A,  
VT Input : 66000/ (100 root3) V
OUTPUT : 1…0..1mA,
SCALE : 70 ..0…70MW and 140…0…140MW,  
U aux : 48v DC</v>
          </cell>
        </row>
        <row r="109">
          <cell r="M109" t="str">
            <v>VAR Transducer, 66kV LINE (SCADA) , 
TYPE : DQ344,  
CT Input : 600-1200/1 A,  
VT Input : 66000/ (100 root3) V
OUTPUT : 1…0..1mA,
SCALE : 35 ..0…35MW and 70…0…70MW,  
U aux : 48v DC</v>
          </cell>
        </row>
        <row r="110">
          <cell r="M110" t="str">
            <v>WATT Transducer, 66/22kV TRAFO (SCADA) , 
TYPE : DP344,  
CT Input : 400-800/1 A,  
VT Input : 22000/ (100 root3) V
OUTPUT : 1…0..1mA,
SCALE : 20 ..0…20MW and 40…0…40MW,  
U aux : 48v DC</v>
          </cell>
        </row>
        <row r="111">
          <cell r="M111" t="str">
            <v>VAR Transducer, 66/22kV TRAFO (SCADA) , 
TYPE : DQ344,  
CT Input : 400-800/1 A,  
VT Input : 22000/ (100 root3) V
OUTPUT : 1…0..1mA,
SCALE : 10 ..0…10MW and 20…0…20MW,  
U aux : 48v DC</v>
          </cell>
        </row>
      </sheetData>
      <sheetData sheetId="10">
        <row r="6">
          <cell r="T6">
            <v>595.45243478260875</v>
          </cell>
        </row>
        <row r="136">
          <cell r="X136">
            <v>11520</v>
          </cell>
        </row>
        <row r="137">
          <cell r="X137">
            <v>960</v>
          </cell>
        </row>
        <row r="138">
          <cell r="X138">
            <v>3840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DATA OPTIONS"/>
      <sheetName val="SCOPE"/>
      <sheetName val="MAIN OFFER"/>
      <sheetName val="MAIN OFFER CURR"/>
      <sheetName val="OPTIONAL OFFER"/>
      <sheetName val=" MAIN"/>
      <sheetName val=" OPTION"/>
      <sheetName val="SPARE"/>
      <sheetName val="MAIN MATERIAL DATABASE"/>
      <sheetName val="Aux MATERIAL DATABASE"/>
      <sheetName val="Aux Order"/>
      <sheetName val="Main Orders"/>
      <sheetName val="TOTAL CABLES"/>
      <sheetName val="DPLC - FOX - PABX"/>
      <sheetName val="DPLC BREAK DOWN"/>
      <sheetName val="DPLC"/>
      <sheetName val="RTU "/>
    </sheetNames>
    <sheetDataSet>
      <sheetData sheetId="0"/>
      <sheetData sheetId="1">
        <row r="2">
          <cell r="G2" t="str">
            <v>SEK</v>
          </cell>
        </row>
        <row r="19">
          <cell r="R19">
            <v>0</v>
          </cell>
        </row>
        <row r="22">
          <cell r="R22">
            <v>0</v>
          </cell>
        </row>
        <row r="23">
          <cell r="R23">
            <v>0</v>
          </cell>
        </row>
        <row r="29">
          <cell r="R29">
            <v>2</v>
          </cell>
        </row>
        <row r="42">
          <cell r="R42">
            <v>0</v>
          </cell>
        </row>
        <row r="47">
          <cell r="R47">
            <v>0</v>
          </cell>
        </row>
      </sheetData>
      <sheetData sheetId="2">
        <row r="33">
          <cell r="R33">
            <v>0</v>
          </cell>
        </row>
      </sheetData>
      <sheetData sheetId="3" refreshError="1"/>
      <sheetData sheetId="4">
        <row r="1">
          <cell r="C1" t="str">
            <v>JOE 2</v>
          </cell>
        </row>
      </sheetData>
      <sheetData sheetId="5" refreshError="1"/>
      <sheetData sheetId="6"/>
      <sheetData sheetId="7"/>
      <sheetData sheetId="8"/>
      <sheetData sheetId="9"/>
      <sheetData sheetId="10">
        <row r="1">
          <cell r="D1" t="str">
            <v>Suppliers List</v>
          </cell>
          <cell r="R1" t="str">
            <v>RTK</v>
          </cell>
        </row>
        <row r="4">
          <cell r="D4" t="str">
            <v>CONTROL</v>
          </cell>
          <cell r="R4" t="str">
            <v>RTKM1</v>
          </cell>
        </row>
        <row r="5">
          <cell r="D5" t="str">
            <v>ELEKTRA</v>
          </cell>
          <cell r="R5" t="str">
            <v>Panel Module Fault Annunciator 28/20, 
TYPE : UC 625, with PB, 
INPUT : 220vDC, 
No. of I/P : 28 I/P Case equiped for 20 I/P, 
Field contact voltage : 24 VDC, 
Aux. Sup : 220vDC and 48VDC</v>
          </cell>
        </row>
        <row r="6">
          <cell r="D6" t="str">
            <v>CEWE</v>
          </cell>
        </row>
        <row r="7">
          <cell r="D7" t="str">
            <v>RTK</v>
          </cell>
          <cell r="R7" t="str">
            <v>Panel Module Fault Annunciator 28/28, 
TYPE : UC 625, with PB, 
INPUT : 220vDC, 
No. of I/P : 28 I/P Case equiped for 28 I/P, 
Field contact voltage : 24 VDC, 
Aux. Sup : 220vDC and 48VDC</v>
          </cell>
        </row>
        <row r="8">
          <cell r="D8" t="str">
            <v>EES</v>
          </cell>
        </row>
        <row r="9">
          <cell r="R9" t="str">
            <v>Panel Module Fault Annunciator 40/40-IP, 
TYPE : UC 625, with PB, 
INPUT : 220vDC, 
No. of I/P : 40 I/P Case equiped for 40 I/P, 
Field contact voltage : 24 VDC, 
Aux. Sup : 220vDC and 220VAC</v>
          </cell>
        </row>
        <row r="11">
          <cell r="R11" t="str">
            <v>Panel Module Fault Annunciator 24/28-IP, 
TYPE : UC 625, with PB, 
INPUT : 220vDC, 
No. of I/P : 28 I/P Case equiped for 24 I/P, 
Field contact voltage : 24 VDC, 
Aux. Sup : 220vDC and 220VAC</v>
          </cell>
        </row>
        <row r="13">
          <cell r="R13" t="str">
            <v>Panel Module Fault Annunciator 28/28-IP, 
TYPE : UC 625, with PB, 
INPUT : 220vDC, 
No. of I/P : 28 I/P Case equiped for 28 I/P, 
Field contact voltage : 24 VDC, 
Aux. Sup : 220vDC and 220VAC</v>
          </cell>
        </row>
        <row r="15">
          <cell r="D15" t="str">
            <v>METERS</v>
          </cell>
          <cell r="R15" t="str">
            <v>FAULT RECORDER TYPE  IDM
5 IDM (T5) 32A/64D (6U high) Data Acquisition Unit (2 x IDM 16/32 DAU’s in one 6U chassis)
1 Local Hard Disk Unit (LSU) (3U high) with 56K Modem, LAN card and
20Gb HDD capacity
2 8 port Network Switch, Shelf (2U high) &amp; Cables (t</v>
          </cell>
        </row>
        <row r="16">
          <cell r="D16" t="str">
            <v>ELESTER</v>
          </cell>
        </row>
        <row r="17">
          <cell r="D17" t="str">
            <v>CEWE</v>
          </cell>
        </row>
        <row r="18">
          <cell r="D18" t="str">
            <v>SACI</v>
          </cell>
        </row>
        <row r="20">
          <cell r="D20" t="str">
            <v>PROTECTION</v>
          </cell>
        </row>
        <row r="21">
          <cell r="D21" t="str">
            <v>CHABB</v>
          </cell>
        </row>
        <row r="22">
          <cell r="D22" t="str">
            <v>SEABB</v>
          </cell>
        </row>
        <row r="23">
          <cell r="D23" t="str">
            <v>DEABB</v>
          </cell>
        </row>
        <row r="24">
          <cell r="D24" t="str">
            <v>FISUP</v>
          </cell>
        </row>
        <row r="25">
          <cell r="D25" t="str">
            <v>EGARC</v>
          </cell>
        </row>
        <row r="26">
          <cell r="D26" t="str">
            <v>ARTECHE</v>
          </cell>
        </row>
        <row r="27">
          <cell r="D27" t="str">
            <v>SCHARER ELECTRONIC AG</v>
          </cell>
        </row>
        <row r="28">
          <cell r="D28" t="str">
            <v>Siemes</v>
          </cell>
        </row>
        <row r="29">
          <cell r="D29" t="str">
            <v>ALSTOM</v>
          </cell>
        </row>
        <row r="30">
          <cell r="D30" t="str">
            <v>AREVA</v>
          </cell>
        </row>
        <row r="33">
          <cell r="D33" t="str">
            <v>AUX.</v>
          </cell>
        </row>
        <row r="34">
          <cell r="D34" t="str">
            <v>KLAXON</v>
          </cell>
        </row>
        <row r="35">
          <cell r="D35" t="str">
            <v>M.G</v>
          </cell>
        </row>
        <row r="36">
          <cell r="D36" t="str">
            <v>FINDER</v>
          </cell>
        </row>
        <row r="37">
          <cell r="D37" t="str">
            <v>PHOENIX</v>
          </cell>
        </row>
        <row r="38">
          <cell r="D38" t="str">
            <v>RITTAL</v>
          </cell>
        </row>
        <row r="39">
          <cell r="D39" t="str">
            <v>FUNKE and HUSTER</v>
          </cell>
        </row>
        <row r="40">
          <cell r="D40" t="str">
            <v>CEF</v>
          </cell>
        </row>
        <row r="41">
          <cell r="D41" t="str">
            <v>ABB STOTZ</v>
          </cell>
        </row>
        <row r="42">
          <cell r="D42" t="str">
            <v>ABB ENTERLEC</v>
          </cell>
        </row>
        <row r="43">
          <cell r="D43" t="str">
            <v>ABB INSTRUMENTATION</v>
          </cell>
        </row>
        <row r="44">
          <cell r="D44" t="str">
            <v>EAO</v>
          </cell>
        </row>
        <row r="45">
          <cell r="D45" t="str">
            <v>APS ELEKTRONIK AG</v>
          </cell>
        </row>
        <row r="46">
          <cell r="D46" t="str">
            <v>BRAINCHILD</v>
          </cell>
        </row>
        <row r="47">
          <cell r="D47" t="str">
            <v>FERER</v>
          </cell>
        </row>
      </sheetData>
      <sheetData sheetId="11">
        <row r="6">
          <cell r="T6">
            <v>463.53936000000004</v>
          </cell>
        </row>
      </sheetData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TOOLS"/>
      <sheetName val="cars"/>
      <sheetName val="slipform details"/>
      <sheetName val="post tens. details"/>
      <sheetName val="FORM WORK Detail  Cost"/>
      <sheetName val="FORM WORK DETAILS"/>
      <sheetName val="CONCRETE DETAILS"/>
      <sheetName val="STEEL REBAR DETAILS"/>
      <sheetName val="masonary&amp; tiles details"/>
      <sheetName val="Contract BOQ"/>
      <sheetName val="direct oh. CEMENT "/>
      <sheetName val="indirect-oh-civil"/>
      <sheetName val="PLAGCoct0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ATA-1"/>
      <sheetName val="TRAFO-1"/>
      <sheetName val="LF-1"/>
      <sheetName val="BC-1"/>
      <sheetName val="INCOM-1"/>
      <sheetName val="Common-1"/>
      <sheetName val="Control Cable"/>
      <sheetName val="Sheet1"/>
    </sheetNames>
    <sheetDataSet>
      <sheetData sheetId="0" refreshError="1"/>
      <sheetData sheetId="1">
        <row r="1">
          <cell r="AP1" t="str">
            <v>LIST1010</v>
          </cell>
          <cell r="AR1" t="str">
            <v>LISTA1</v>
          </cell>
        </row>
        <row r="3">
          <cell r="AF3" t="str">
            <v>RCP</v>
          </cell>
          <cell r="AP3">
            <v>1</v>
          </cell>
          <cell r="AR3" t="str">
            <v>2x2.5</v>
          </cell>
        </row>
        <row r="4">
          <cell r="AF4" t="str">
            <v>PP</v>
          </cell>
          <cell r="AP4">
            <v>0</v>
          </cell>
          <cell r="AR4" t="str">
            <v>5x2.5</v>
          </cell>
        </row>
        <row r="5">
          <cell r="AF5" t="str">
            <v>LCP</v>
          </cell>
          <cell r="AR5" t="str">
            <v>7x2.5</v>
          </cell>
        </row>
        <row r="6">
          <cell r="AF6" t="str">
            <v>QQ</v>
          </cell>
          <cell r="AP6">
            <v>1</v>
          </cell>
          <cell r="AR6" t="str">
            <v>xx</v>
          </cell>
        </row>
        <row r="7">
          <cell r="AF7" t="str">
            <v>YV</v>
          </cell>
          <cell r="AP7">
            <v>0</v>
          </cell>
          <cell r="AR7" t="str">
            <v>14x1.5</v>
          </cell>
        </row>
        <row r="8">
          <cell r="AF8" t="str">
            <v>UW</v>
          </cell>
          <cell r="AG8">
            <v>1</v>
          </cell>
          <cell r="AR8" t="str">
            <v>24x1.5</v>
          </cell>
        </row>
        <row r="9">
          <cell r="AF9" t="str">
            <v>BBP</v>
          </cell>
          <cell r="AP9">
            <v>1</v>
          </cell>
          <cell r="AR9" t="str">
            <v>37x1.5</v>
          </cell>
        </row>
        <row r="10">
          <cell r="AF10" t="str">
            <v>Y</v>
          </cell>
          <cell r="AP10">
            <v>0</v>
          </cell>
          <cell r="AR10" t="str">
            <v>xx</v>
          </cell>
        </row>
        <row r="11">
          <cell r="AF11" t="str">
            <v>K</v>
          </cell>
          <cell r="AR11" t="str">
            <v>5x4</v>
          </cell>
        </row>
        <row r="12">
          <cell r="AP12">
            <v>1</v>
          </cell>
          <cell r="AR12" t="str">
            <v>5x6</v>
          </cell>
        </row>
        <row r="13">
          <cell r="AF13" t="str">
            <v>Q0S</v>
          </cell>
          <cell r="AP13">
            <v>0</v>
          </cell>
          <cell r="AR13" t="str">
            <v>5x10</v>
          </cell>
        </row>
        <row r="14">
          <cell r="AF14" t="str">
            <v>Q1S</v>
          </cell>
          <cell r="AR14" t="str">
            <v>xx</v>
          </cell>
        </row>
        <row r="15">
          <cell r="AF15" t="str">
            <v>Q2S</v>
          </cell>
          <cell r="AP15">
            <v>1</v>
          </cell>
          <cell r="AR15" t="str">
            <v>7x4</v>
          </cell>
        </row>
        <row r="16">
          <cell r="AF16" t="str">
            <v>Q51S</v>
          </cell>
          <cell r="AP16">
            <v>0</v>
          </cell>
          <cell r="AR16" t="str">
            <v>xx</v>
          </cell>
        </row>
        <row r="17">
          <cell r="AF17" t="str">
            <v>Q52S</v>
          </cell>
          <cell r="AR17" t="str">
            <v>2x4</v>
          </cell>
        </row>
        <row r="18">
          <cell r="AF18" t="str">
            <v>Q61S</v>
          </cell>
          <cell r="AP18">
            <v>1</v>
          </cell>
          <cell r="AR18" t="str">
            <v>2x6</v>
          </cell>
        </row>
        <row r="19">
          <cell r="AF19" t="str">
            <v>Q62S</v>
          </cell>
          <cell r="AP19">
            <v>0</v>
          </cell>
          <cell r="AR19" t="str">
            <v>2x10</v>
          </cell>
        </row>
        <row r="20">
          <cell r="AF20" t="str">
            <v>Q8S</v>
          </cell>
          <cell r="AR20" t="str">
            <v>5X16</v>
          </cell>
        </row>
        <row r="21">
          <cell r="AF21" t="str">
            <v>Q9S</v>
          </cell>
          <cell r="AP21">
            <v>1</v>
          </cell>
          <cell r="AR21" t="str">
            <v>2x35</v>
          </cell>
        </row>
        <row r="22">
          <cell r="AF22" t="str">
            <v>Q10S</v>
          </cell>
          <cell r="AP22">
            <v>0</v>
          </cell>
          <cell r="AR22" t="str">
            <v>xx</v>
          </cell>
        </row>
        <row r="23">
          <cell r="AF23" t="str">
            <v>Q11S</v>
          </cell>
          <cell r="AR23" t="str">
            <v>1x120</v>
          </cell>
        </row>
        <row r="24">
          <cell r="AF24" t="str">
            <v>Q12S</v>
          </cell>
          <cell r="AP24">
            <v>1</v>
          </cell>
          <cell r="AR24" t="str">
            <v>xx</v>
          </cell>
        </row>
        <row r="25">
          <cell r="AF25" t="str">
            <v>Q15S</v>
          </cell>
          <cell r="AP25">
            <v>0</v>
          </cell>
          <cell r="AR25" t="str">
            <v>25x2x0.5</v>
          </cell>
        </row>
        <row r="26">
          <cell r="AF26" t="str">
            <v>Q16S</v>
          </cell>
        </row>
        <row r="27">
          <cell r="AF27" t="str">
            <v>Q20S</v>
          </cell>
          <cell r="AP27">
            <v>1</v>
          </cell>
        </row>
        <row r="28">
          <cell r="AF28" t="str">
            <v>Q21S</v>
          </cell>
          <cell r="AP28">
            <v>0</v>
          </cell>
        </row>
        <row r="29">
          <cell r="U29">
            <v>7</v>
          </cell>
          <cell r="W29">
            <v>7</v>
          </cell>
          <cell r="Y29">
            <v>7</v>
          </cell>
          <cell r="AF29" t="str">
            <v>Q22S</v>
          </cell>
        </row>
        <row r="30">
          <cell r="AF30" t="str">
            <v>Q25S</v>
          </cell>
        </row>
        <row r="31">
          <cell r="AF31" t="str">
            <v>Q26S</v>
          </cell>
        </row>
        <row r="33">
          <cell r="AF33" t="str">
            <v>TR_Q8S</v>
          </cell>
        </row>
        <row r="34">
          <cell r="AF34" t="str">
            <v>TR_Q81S</v>
          </cell>
        </row>
        <row r="35">
          <cell r="AF35" t="str">
            <v>TR_Q9S</v>
          </cell>
        </row>
        <row r="37">
          <cell r="AF37" t="str">
            <v>CT</v>
          </cell>
        </row>
        <row r="38">
          <cell r="AF38" t="str">
            <v>CT_10</v>
          </cell>
        </row>
        <row r="39">
          <cell r="AF39" t="str">
            <v>CT_20</v>
          </cell>
        </row>
        <row r="41">
          <cell r="AF41" t="str">
            <v>VT</v>
          </cell>
        </row>
        <row r="42">
          <cell r="AF42" t="str">
            <v>VT_15</v>
          </cell>
        </row>
        <row r="43">
          <cell r="AF43" t="str">
            <v>VT_25</v>
          </cell>
        </row>
        <row r="44">
          <cell r="AF44" t="str">
            <v>VT_16</v>
          </cell>
        </row>
        <row r="45">
          <cell r="AF45" t="str">
            <v>VT_26</v>
          </cell>
        </row>
        <row r="46">
          <cell r="AF46" t="str">
            <v>T_61</v>
          </cell>
        </row>
        <row r="47">
          <cell r="AF47" t="str">
            <v>T_62</v>
          </cell>
        </row>
        <row r="48">
          <cell r="AF48" t="str">
            <v>LSS</v>
          </cell>
        </row>
        <row r="49">
          <cell r="AF49" t="str">
            <v>TR0X</v>
          </cell>
        </row>
        <row r="51">
          <cell r="W51">
            <v>1</v>
          </cell>
          <cell r="AF51" t="str">
            <v>CH_N11</v>
          </cell>
          <cell r="AG51">
            <v>1</v>
          </cell>
        </row>
        <row r="52">
          <cell r="AF52" t="str">
            <v>CH_N12</v>
          </cell>
          <cell r="AG52">
            <v>1</v>
          </cell>
        </row>
        <row r="53">
          <cell r="AF53" t="str">
            <v>CH_N13</v>
          </cell>
          <cell r="AG53">
            <v>1</v>
          </cell>
        </row>
        <row r="54">
          <cell r="AF54" t="str">
            <v>X101_NK</v>
          </cell>
          <cell r="AG54">
            <v>1</v>
          </cell>
        </row>
        <row r="55">
          <cell r="AF55" t="str">
            <v>X111_NK</v>
          </cell>
          <cell r="AG55">
            <v>1</v>
          </cell>
        </row>
        <row r="56">
          <cell r="AF56" t="str">
            <v>NK</v>
          </cell>
        </row>
        <row r="58">
          <cell r="AF58" t="str">
            <v>CH_N21</v>
          </cell>
          <cell r="AG58">
            <v>0</v>
          </cell>
        </row>
        <row r="59">
          <cell r="AF59" t="str">
            <v>CH_N22</v>
          </cell>
          <cell r="AG59">
            <v>0</v>
          </cell>
        </row>
        <row r="60">
          <cell r="AF60" t="str">
            <v>X101_NQ</v>
          </cell>
          <cell r="AG60">
            <v>0</v>
          </cell>
        </row>
        <row r="61">
          <cell r="AF61" t="str">
            <v>X111_NQ</v>
          </cell>
          <cell r="AG61">
            <v>0</v>
          </cell>
        </row>
        <row r="62">
          <cell r="AF62" t="str">
            <v>NQ</v>
          </cell>
        </row>
        <row r="64">
          <cell r="AF64" t="str">
            <v>Y01_P</v>
          </cell>
        </row>
        <row r="65">
          <cell r="AF65" t="str">
            <v>Y02_P</v>
          </cell>
        </row>
        <row r="66">
          <cell r="AF66" t="str">
            <v>Y03_P</v>
          </cell>
        </row>
        <row r="68">
          <cell r="AF68" t="str">
            <v>SYNCH</v>
          </cell>
          <cell r="AG68">
            <v>1</v>
          </cell>
        </row>
        <row r="69">
          <cell r="AF69" t="str">
            <v>RCP_F</v>
          </cell>
        </row>
        <row r="70">
          <cell r="AF70" t="str">
            <v>LCP_F</v>
          </cell>
        </row>
        <row r="71">
          <cell r="AF71" t="str">
            <v>QQ_F</v>
          </cell>
        </row>
        <row r="72">
          <cell r="AF72" t="str">
            <v>BBP_F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PORTADA  PRESUPUESTOS"/>
      <sheetName val="PORTADA  CUADRO PREC"/>
      <sheetName val="INDICE C.PRECIOS"/>
      <sheetName val="CUADRO DE PRECIOS"/>
      <sheetName val="PORTADA  MEDICIONES"/>
      <sheetName val="TABLA MEDICIONES"/>
      <sheetName val="PORTADA  PRESUP PARC Y TOT"/>
      <sheetName val="TABLA PRESUPUESTOS"/>
      <sheetName val="PRESUPUESTOS PARCI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CUADRO DE PRECIOS"/>
      <sheetName val="-01.PRESUPUESTOS PARCIALES"/>
      <sheetName val="1-PREPARACION EMPLAZAMIENTO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RESUMEN-MEDICIONES"/>
      <sheetName val="RESUMEN-PRE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.0. INSTRUCCIONES"/>
      <sheetName val="-0.1 PRESUP.PARCIALES"/>
      <sheetName val="-0.2-INIDICE PRECIOS"/>
      <sheetName val="-0.3 CUADRO DE PRECIOS"/>
      <sheetName val="-0.5 TABLA MEDICIONES"/>
      <sheetName val="-0.5 TABLA PRESUPUESTOS"/>
      <sheetName val="-1- PREP. EMPLAZAMIENTO."/>
      <sheetName val="-2.-URBANIZACIÓN"/>
      <sheetName val="-3- RAMBLA "/>
      <sheetName val="-4. PUENTES SOBRE CANAL (2)"/>
      <sheetName val="-6. EDIFICIOS TURBINAS (3)"/>
      <sheetName val="-16. TANQ..ALMAC.AGUA"/>
      <sheetName val="-22. ALMACENAM. COMBUSTIBLE"/>
      <sheetName val="-26. ZANJA COND.ELECTR."/>
      <sheetName val="-27.  PAISAJÍSTICA"/>
      <sheetName val="-30. Presupuesto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E6">
            <v>49</v>
          </cell>
        </row>
        <row r="7">
          <cell r="E7">
            <v>356</v>
          </cell>
        </row>
        <row r="8">
          <cell r="E8">
            <v>573</v>
          </cell>
        </row>
        <row r="25">
          <cell r="E25">
            <v>513</v>
          </cell>
        </row>
        <row r="153">
          <cell r="E153">
            <v>356</v>
          </cell>
        </row>
        <row r="213">
          <cell r="E213">
            <v>1333</v>
          </cell>
        </row>
        <row r="460">
          <cell r="E460">
            <v>200026</v>
          </cell>
        </row>
        <row r="461">
          <cell r="E461">
            <v>6129</v>
          </cell>
        </row>
        <row r="464">
          <cell r="E464">
            <v>427219</v>
          </cell>
        </row>
        <row r="467">
          <cell r="E467">
            <v>25000000</v>
          </cell>
        </row>
        <row r="468">
          <cell r="E468">
            <v>5000000</v>
          </cell>
        </row>
        <row r="469">
          <cell r="E469">
            <v>1000000</v>
          </cell>
        </row>
        <row r="470">
          <cell r="E470">
            <v>500000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BASTE"/>
      <sheetName val="DESBAST"/>
      <sheetName val="LLEGADA"/>
      <sheetName val="Discr.Tipo 3 IDAM"/>
      <sheetName val="خ 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電源計画"/>
      <sheetName val="電源440V"/>
      <sheetName val="電源220V"/>
      <sheetName val="電源110V"/>
      <sheetName val="事務所電源"/>
    </sheetNames>
    <sheetDataSet>
      <sheetData sheetId="0" refreshError="1"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F-Boş"/>
      <sheetName val="PRICES"/>
      <sheetName val="연돌일위집계"/>
      <sheetName val="변경집계표"/>
      <sheetName val="당초"/>
      <sheetName val="수주전망영업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 Estimate  "/>
      <sheetName val="Z- GENERAL PRICE SUMMARY"/>
      <sheetName val="WITHOUT C&amp;I PROFIT (3)"/>
      <sheetName val="Equip."/>
      <sheetName val="Book1"/>
      <sheetName val="6.2 Floor Finish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ement"/>
      <sheetName val="bill"/>
      <sheetName val=" Estimate  "/>
      <sheetName val="Z- GENERAL PRICE SUMMARY"/>
      <sheetName val="Sn3pt3Appx2UR-LNGtrain"/>
      <sheetName val="D-3"/>
      <sheetName val="Dummy"/>
      <sheetName val="#REF"/>
      <sheetName val="A COND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xcutive Summary"/>
      <sheetName val="Income Details"/>
      <sheetName val="Expected VO Cost"/>
      <sheetName val="4A"/>
      <sheetName val="4B - (1) Materials"/>
      <sheetName val="4C1- (2)Subcontracts (1)"/>
      <sheetName val="4D - (3) Manual Manpower"/>
      <sheetName val="4E - (3a) Manual MH. Breakdown"/>
      <sheetName val="4F - (4) Construction Equipt"/>
      <sheetName val="4H - (4b) Vehicle Req. Schedule"/>
      <sheetName val="4I - (5) Indirect Cost"/>
      <sheetName val="4J - (6) Non Manual"/>
      <sheetName val="4K - (6a) Non Manual Breakdown"/>
      <sheetName val="8-Contingencies"/>
      <sheetName val="9-overheads"/>
      <sheetName val="FRC1"/>
      <sheetName val="data"/>
    </sheetNames>
    <sheetDataSet>
      <sheetData sheetId="0" refreshError="1"/>
      <sheetData sheetId="1" refreshError="1"/>
      <sheetData sheetId="2" refreshError="1">
        <row r="75">
          <cell r="H75">
            <v>7909682.1982499994</v>
          </cell>
        </row>
      </sheetData>
      <sheetData sheetId="3" refreshError="1"/>
      <sheetData sheetId="4" refreshError="1">
        <row r="29">
          <cell r="C29">
            <v>1</v>
          </cell>
        </row>
        <row r="45">
          <cell r="C45">
            <v>4.41E-2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4">
          <cell r="O54">
            <v>107445.22666666665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amiento"/>
      <sheetName val="OI edad media"/>
      <sheetName val="OI esquema general"/>
      <sheetName val="OI esquema futuro"/>
      <sheetName val="Cálculos hidráulicos"/>
      <sheetName val="Justif. consumo energético"/>
      <sheetName val="Explotación"/>
      <sheetName val="Conseléc"/>
      <sheetName val="Tarifeléc"/>
      <sheetName val="Cierres"/>
      <sheetName val="Seguridad y salud"/>
      <sheetName val="Cálculo filtro"/>
      <sheetName val="PLAGCoct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DATA OPTIONS"/>
      <sheetName val="SCOPE"/>
      <sheetName val="MAIN OFFER"/>
      <sheetName val="MAIN OFFER CURR"/>
      <sheetName val="OPTIONAL OFFER"/>
      <sheetName val=" MAIN"/>
      <sheetName val=" OPTION"/>
      <sheetName val="SPARE"/>
      <sheetName val="MAIN MATERIAL DATABASE"/>
      <sheetName val="Aux MATERIAL DATABASE"/>
      <sheetName val="Aux Order"/>
      <sheetName val="Main Orders"/>
      <sheetName val="TOTAL CABLES"/>
      <sheetName val="DPLC - FOX - PABX"/>
      <sheetName val="DPLC BREAK DOWN"/>
      <sheetName val="DPLC"/>
      <sheetName val="RTU "/>
      <sheetName val="220kV Control Cables Calc_B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ash Flow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단면가정"/>
      <sheetName val="설계조건"/>
      <sheetName val="Sheet5"/>
      <sheetName val="기지국"/>
      <sheetName val="UB2"/>
      <sheetName val="DR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esheet"/>
      <sheetName val="Item 5 - D200 Items"/>
      <sheetName val="Item 2 - PC Details"/>
      <sheetName val="Item 4 - Hub Details"/>
      <sheetName val="Items 7&amp;8 On-Site Labor"/>
      <sheetName val="Payment Schedule"/>
      <sheetName val="Systems Commercial Term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20kv"/>
      <sheetName val="IO Modules"/>
      <sheetName val="TRANSDUCERS"/>
      <sheetName val="RTU #1"/>
      <sheetName val="SPARES"/>
      <sheetName val="Serv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  <sheetName val="Sheet2"/>
      <sheetName val="Sheet3"/>
      <sheetName val="Sheet 4"/>
      <sheetName val="Spare Shee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ESBAST"/>
      <sheetName val="LLEGADA"/>
      <sheetName val="Cálculos hidráulicos"/>
      <sheetName val="Proj Cost Sumry"/>
      <sheetName val="BOQ"/>
      <sheetName val="mechanic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별총"/>
      <sheetName val="COA-17"/>
      <sheetName val="C-18"/>
      <sheetName val="갑지"/>
      <sheetName val="h-013211-2"/>
      <sheetName val="총괄표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 (2)"/>
      <sheetName val="CT1X10"/>
      <sheetName val="TH1x10"/>
      <sheetName val="TH3x15"/>
      <sheetName val="TH9x10"/>
      <sheetName val="CT2X10"/>
      <sheetName val="TH01x10 "/>
      <sheetName val="TH1x15"/>
      <sheetName val="CT1X15"/>
      <sheetName val="TH-TH-HOI (2)"/>
      <sheetName val="Sheet1"/>
      <sheetName val="TH-TH-HOI"/>
      <sheetName val="TH-TH-HOI (3)"/>
      <sheetName val="CT3X15"/>
      <sheetName val="TH1x25 "/>
      <sheetName val="CT1X25 "/>
      <sheetName val="TH1x25  (2)"/>
      <sheetName val="CT1X37.5"/>
      <sheetName val="TH1x37.5 (2)"/>
      <sheetName val="TH1x50 (4)"/>
      <sheetName val="TH1x37.5"/>
      <sheetName val="CT1X50"/>
      <sheetName val="TH1x50"/>
      <sheetName val="CT1X50 (2)"/>
      <sheetName val="TH1x50 (2)"/>
      <sheetName val="CT1X50 (3)"/>
      <sheetName val="CT3X75"/>
      <sheetName val="TH3x75"/>
      <sheetName val="CT3X160"/>
      <sheetName val="TH160"/>
      <sheetName val="TH180"/>
      <sheetName val="TH1x50 (3)"/>
      <sheetName val="TH300"/>
      <sheetName val="CT3X25"/>
      <sheetName val="TH3x25"/>
      <sheetName val="CT1X75"/>
      <sheetName val="TH1x75"/>
      <sheetName val="TH320"/>
      <sheetName val="CT3X100"/>
      <sheetName val="TH100"/>
      <sheetName val="CT3X400(1)"/>
      <sheetName val="TH400"/>
      <sheetName val="TH-TH-HOI (5)"/>
      <sheetName val="TH-TH-HOI (6)"/>
      <sheetName val="CT3X37.5"/>
      <sheetName val="TH3x37.5"/>
      <sheetName val="CT3X50"/>
      <sheetName val="CT3X560"/>
      <sheetName val="TH3x50"/>
      <sheetName val="DONG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 (2)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thanh1"/>
      <sheetName val="dongia"/>
      <sheetName val="chitiet2 (3)"/>
      <sheetName val="thkp1"/>
      <sheetName val="VCDD (2)"/>
      <sheetName val="thkp1 (2)"/>
      <sheetName val="Sheet1"/>
      <sheetName val="thkp2"/>
      <sheetName val="chitiet2 (2)"/>
      <sheetName val="dongia (2)"/>
      <sheetName val="VCDD (3)"/>
      <sheetName val="CT3X15"/>
      <sheetName val="TH3x25"/>
      <sheetName val="CT1X15 "/>
      <sheetName val="TH1x15 "/>
      <sheetName val="giathanh1 (2)"/>
      <sheetName val="chitiet2"/>
      <sheetName val="CHITIET VL-NC-TT-3p"/>
      <sheetName val="VCV-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ﾄﾞﾊﾞｲPURGE AIR追見"/>
      <sheetName val="ﾄﾞﾊﾞｲFUEL GAS追見"/>
    </sheetNames>
    <sheetDataSet>
      <sheetData sheetId="0" refreshError="1"/>
      <sheetData sheetId="1" refreshError="1"/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Estimate  "/>
      <sheetName val="Z- GENERAL PRICE SUMMARY"/>
      <sheetName val="#REF"/>
      <sheetName val="WITHOUT C&amp;I PROFIT (3)"/>
      <sheetName val="HDPE"/>
      <sheetName val="B-PLUM"/>
      <sheetName val="B-FIRE"/>
      <sheetName val="C-FIRE"/>
      <sheetName val="C-PLUM"/>
      <sheetName val="Rates"/>
      <sheetName val="Graph Data (DO NOT PRINT)"/>
      <sheetName val="S"/>
      <sheetName val="Proj Cost Sumry"/>
      <sheetName val="Option"/>
      <sheetName val="NPV"/>
      <sheetName val="BOQ"/>
      <sheetName val="mechanical"/>
      <sheetName val="cables"/>
      <sheetName val="_Estimate__"/>
      <sheetName val="Z-_GENERAL_PRICE_SUMMARY"/>
      <sheetName val="WITHOUT_C&amp;I_PROFIT_(3)"/>
      <sheetName val="FitOutConfCentre"/>
      <sheetName val="2.2 STAFF Scedule"/>
      <sheetName val=" Est "/>
      <sheetName val="6.2 Floor Finishes"/>
      <sheetName val="Payment Certificate"/>
      <sheetName val="CREST"/>
      <sheetName val="Master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B"/>
      <sheetName val="Ratios"/>
      <sheetName val="C"/>
      <sheetName val="power"/>
      <sheetName val="AN"/>
      <sheetName val="Original"/>
      <sheetName val="HN B"/>
      <sheetName val="PHD Payment Certificate"/>
      <sheetName val="Summary"/>
      <sheetName val="EWorks"/>
      <sheetName val="T#1 App. QTY"/>
      <sheetName val="T#1 T.QTY"/>
      <sheetName val="T#1 Per."/>
      <sheetName val="T#2 App. QTY "/>
      <sheetName val="T#2 T.QTY"/>
      <sheetName val="T#2 Per."/>
      <sheetName val="Sep. App. QTY"/>
      <sheetName val="Sep. T.QTY"/>
      <sheetName val="Sep. Per."/>
      <sheetName val="THouse App. QTY"/>
      <sheetName val="THouse T. QTY"/>
      <sheetName val="THouse Per."/>
      <sheetName val="Moblization"/>
      <sheetName val="Anis check"/>
      <sheetName val="Add#1"/>
      <sheetName val="Add#5 "/>
      <sheetName val="VO#1"/>
      <sheetName val="VO#2"/>
      <sheetName val="VO#3"/>
      <sheetName val="VOR 4"/>
      <sheetName val="VO#5"/>
      <sheetName val="Repar Escalation. "/>
      <sheetName val="RC ESCALATION"/>
      <sheetName val="Cement"/>
      <sheetName val="Shaker Check"/>
      <sheetName val="VAT"/>
      <sheetName val="Escalation"/>
      <sheetName val="FUEL IMPACT"/>
      <sheetName val="Current"/>
      <sheetName val="Marina"/>
      <sheetName val="consolsum"/>
      <sheetName val="upa of boq"/>
      <sheetName val="inWords"/>
      <sheetName val="Summary Foreign Comp"/>
      <sheetName val="grand summary"/>
      <sheetName val="labour"/>
      <sheetName val="material"/>
      <sheetName val="wordsdata"/>
      <sheetName val="Annex2"/>
      <sheetName val="BOQ1"/>
      <sheetName val="office"/>
      <sheetName val="Lab"/>
      <sheetName val="PriceSummary"/>
      <sheetName val="Estimate  "/>
      <sheetName val="inter"/>
      <sheetName val="UPA(Part C,D,E,G,H)"/>
      <sheetName val="UPA(Part F)"/>
      <sheetName val="Materials"/>
      <sheetName val="일위대가 (Part C,D,E,G,H)"/>
      <sheetName val="SPT vs PHI"/>
      <sheetName val="Graph_Data_(DO_NOT_PRINT)"/>
      <sheetName val="Proj_Cost_Sumry"/>
      <sheetName val="UPA(Part_C,D,E,G,H)"/>
      <sheetName val="UPA(Part_F)"/>
      <sheetName val="일위대가_(Part_C,D,E,G,H)"/>
      <sheetName val="SPT_vs_PHI"/>
      <sheetName val="ANALYSIS"/>
      <sheetName val="New Bld"/>
      <sheetName val="ADL Codes - Suppliers"/>
      <sheetName val="FINA"/>
      <sheetName val="Database"/>
      <sheetName val="schedule nos"/>
      <sheetName val="Sheet1"/>
      <sheetName val="PROJECT BRIEF(EX.NEW)"/>
      <sheetName val="Curves"/>
      <sheetName val="Note"/>
      <sheetName val="Heads"/>
      <sheetName val="Dbase"/>
      <sheetName val="Tables"/>
      <sheetName val="Page 2"/>
      <sheetName val="Original Contract"/>
      <sheetName val="7.16"/>
      <sheetName val="Electrical Works"/>
      <sheetName val="Internet"/>
      <sheetName val="Sheet7"/>
      <sheetName val="PLAGCoct03"/>
      <sheetName val="_Estimate__1"/>
      <sheetName val="Z-_GENERAL_PRICE_SUMMARY1"/>
      <sheetName val="WITHOUT_C&amp;I_PROFIT_(3)1"/>
      <sheetName val="Graph_Data_(DO_NOT_PRINT)1"/>
      <sheetName val="Proj_Cost_Sumry1"/>
      <sheetName val="Payment_Certificate"/>
      <sheetName val="upa_of_boq"/>
      <sheetName val="Summary_Foreign_Comp"/>
      <sheetName val="grand_summary"/>
      <sheetName val="UPA(Part_C,D,E,G,H)1"/>
      <sheetName val="UPA(Part_F)1"/>
      <sheetName val="일위대가_(Part_C,D,E,G,H)1"/>
      <sheetName val="SPT_vs_PHI1"/>
      <sheetName val="2_2_STAFF_Scedule"/>
      <sheetName val="_Est_"/>
      <sheetName val="6_2_Floor_Finishes"/>
      <sheetName val="New_Bld"/>
      <sheetName val="ADL_Codes_-_Suppliers"/>
      <sheetName val="schedule_nos"/>
      <sheetName val="PROJECT_BRIEF(EX_NEW)"/>
      <sheetName val="Page_2"/>
      <sheetName val="Estimate__"/>
      <sheetName val="7_16"/>
      <sheetName val="V_O__Details"/>
      <sheetName val="1_(PHD)_--_NO__1_(OC)"/>
      <sheetName val="3_(PHD)_--_NO__3_(OC)"/>
      <sheetName val="7_(PHD)_--_NO__10_(OC)"/>
      <sheetName val="8_(PHD)_--_NO__8_(OC)"/>
      <sheetName val="8_(PHD)_--_NO__8_2_(OC)"/>
      <sheetName val="12_(PHD)_--_NO__22_(OC)"/>
      <sheetName val="13_(PHD)_--_NO_32_(OC)"/>
      <sheetName val="14_&amp;_42_(PHD)_--_9_&amp;_9_3_(OC)"/>
      <sheetName val="15_(PHD)_--_SD_(OC)"/>
      <sheetName val="16_(PHD)_--_NO__20_(OC)"/>
      <sheetName val="17_(PHD)_--_NO___40_(OC)"/>
      <sheetName val="18_(PHD)_--_NO__31_(OC)"/>
      <sheetName val="20_(PHD)_--_NO__27_(OC)"/>
      <sheetName val="22_(PHD)_--_NO__33_(OC)"/>
      <sheetName val="23_(PHD)_--_NO__42_(OC)"/>
      <sheetName val="24_(PHD)_--_NO__9_1_(OC)"/>
      <sheetName val="25_&amp;_33_(PHD)_--_34_&amp;_34_1_(OC)"/>
      <sheetName val="26_(PHD)_--_NO__47_(OC)"/>
      <sheetName val="27_(PHD)_--_NO__55_(OC)"/>
      <sheetName val="28_(PHD)_--_NO___54_(OC)"/>
      <sheetName val="29_(PHD)_--_NO__48_(OC)"/>
      <sheetName val="30_(PHD)_--_NO__39_(OC)"/>
      <sheetName val="32_(PHD)_--_NO__51_(OC)"/>
      <sheetName val="34_(PHD)_--_NO__44_(OC)"/>
      <sheetName val="35_(PHD)_--_NO__45_(OC)"/>
      <sheetName val="36_(PHD)_--_NO__65_(OC)"/>
      <sheetName val="37_(PHD)_--_NO__66_(OC)"/>
      <sheetName val="38_(PHD)_--_NO__69_(OC)"/>
      <sheetName val="39_(PHD)_--_NO__70_(OC)"/>
      <sheetName val="40_(PHD)_--_NO__58_(OC)"/>
      <sheetName val="41_(PHD)_--_NO__52_(OC)"/>
      <sheetName val="43_(PHD)_--_NO__79_(OC)"/>
      <sheetName val="44_(PHD)_--_NO__60_(OC)"/>
      <sheetName val="45_(PHD)_--_NO__94_(OC)"/>
      <sheetName val="46_(PHD)_--_NO__87_(OC)"/>
      <sheetName val="47_(PHD)_--_NO__71_(OC)"/>
      <sheetName val="48_(PHD)_--_NO__80_(OC)"/>
      <sheetName val="49_(PHD)_--_NO__85_(OC)"/>
      <sheetName val="50_(PHD)_--_NO__91_(OC)"/>
      <sheetName val="51_(PHD)_--_NO__74_(OC)"/>
      <sheetName val="52_(PHD)_--_NO__81_(OC)"/>
      <sheetName val="53_(PHD)_--_NO__82_(OC)"/>
      <sheetName val="54_(PHD)_--_NO__76_(OC)"/>
      <sheetName val="55_(PHD)_--_NO__90_(OC)"/>
      <sheetName val="56_(PHD)_--_NO__95"/>
      <sheetName val="57_(PHD)_--_NO__86_(OC)"/>
      <sheetName val="58_(PHD)_--_NO__102_(OC)"/>
      <sheetName val="59_(PHD)_--_NO__98_(OC)"/>
      <sheetName val="60_(PHD)_--_NO__107_(OC)"/>
      <sheetName val="61_(PHD)_--_NO__97_(OC)"/>
      <sheetName val="62_(PHD)_--_NO__108_(OC)"/>
      <sheetName val="63_(PHD)_--_NO__109_(OC)"/>
      <sheetName val="64_(PHD)_--_NO__112_(OC)"/>
      <sheetName val="65_(PHD)_--_NO__103_(OC)"/>
      <sheetName val="66_(PHD)_--_NO__110_(OC)"/>
      <sheetName val="67_(PHD)_--_NO__106_(OC)"/>
      <sheetName val="68_(PHD)_--_Variation_NO__115"/>
      <sheetName val="70_(PHD)--_Variation_NO__99(OC)"/>
      <sheetName val="71_(PHD)_--_Variation_NO__120"/>
      <sheetName val="72_(PHD)--_Variation_NO__129"/>
      <sheetName val="73_(PHD)_--_Variation_NO__118"/>
      <sheetName val="74_(PHD)_--_Variation_NO__113"/>
      <sheetName val="75_(PHD)--_Variation_NO__130"/>
      <sheetName val="76_(PHD)_--_Variation_NO__135"/>
      <sheetName val="77_(PHD)--_Variation_NO__134"/>
      <sheetName val="78_(PHD)_--_Variation_NO__133"/>
      <sheetName val="79_(PHD)_--_Variation_NO__121"/>
      <sheetName val="80_(PHD)_--_Variation_NO__128"/>
      <sheetName val="81_(PHD)_--_Variation_139"/>
      <sheetName val="82_(PHD)_--_Variation_NO__132"/>
      <sheetName val="83_(PHD)--_Variation_NO__122"/>
      <sheetName val="84_(PHD)_--_Variation_NO__127"/>
      <sheetName val="85_(PHD)_--_Variation_NO__137"/>
      <sheetName val="86_(PHD)_--_Variation_NO__141"/>
      <sheetName val="87_(PHD)_--_Variation_NO__89"/>
      <sheetName val="88_(PHD)_--_Variation_NO__151"/>
      <sheetName val="89_(PHD)_--_Variation_NO__142"/>
      <sheetName val="90_(PHD)_--_Variation_NO__116"/>
      <sheetName val="91_(PHD)_--_Variation_NO__111_"/>
      <sheetName val="92_(PHD)_--_Variation_NO__117"/>
      <sheetName val="93_(PHD)_--_Variation_NO__147"/>
      <sheetName val="94(PHD)--_Variation_NO__154"/>
      <sheetName val="95_(PHD)_--_Variation_NO__92"/>
      <sheetName val="96_(PHD)_--_Variation_NO__126"/>
      <sheetName val="97_(PHD)_--_Variation_NO__157"/>
      <sheetName val="99_(PHD)_--_Variation_NO__148"/>
      <sheetName val="100_(PHD)_--_Variation_NO__198"/>
      <sheetName val="101(PHD)--Variation_NO_138,_149"/>
      <sheetName val="102_(PHD)_--_Variation_NO__155"/>
      <sheetName val="103_(PHD)_--_Variation_NO__143"/>
      <sheetName val="104_(PHD)_--_Variation_NO__152"/>
      <sheetName val="105_(PHD)--Variation_NO__158(1)"/>
      <sheetName val="_106(PHD)--Variation_NO_161(OC)"/>
      <sheetName val="107(PHD)--Variation_NO__136(OC)"/>
      <sheetName val="108_(PHD)_--_instead_(25&amp;39)"/>
      <sheetName val="109(PHD)--Variation_NO_180_(OC)"/>
      <sheetName val="110_(PHD)--Variation_NO_190(2)"/>
      <sheetName val="111_(PHD)--VO__No__159_&amp;_176"/>
      <sheetName val="112_(PHD)--VO__NO__174_&amp;_185"/>
      <sheetName val="113_(PHD)_--_VO_NO__206_(1)(OC)"/>
      <sheetName val="114_(PHD)_--_Vo_NO__166_(OC)"/>
      <sheetName val="115_(PHD)--_VOs_173&amp;187&amp;189(OC)"/>
      <sheetName val="116_(PHD)_--_Vos_164_&amp;_195_(OC)"/>
      <sheetName val="117_(PHD)_--_Vos_208_(OC)"/>
      <sheetName val="118_(PHD)_--_Vos_124_(OC)"/>
      <sheetName val="119_(PHD)_--_Vos_194_&amp;_199_(OC)"/>
      <sheetName val="120_(PHD--Vos_132,181,222(OC)"/>
      <sheetName val="121_PHD--Vos_15_OC_VOs"/>
      <sheetName val="122_(PHD)_--_Vo_216_(OC)"/>
      <sheetName val="123_(PHD)_--_Vo_248_(1)_(OC)"/>
      <sheetName val="124_PHD--Vos_7_OC_VOs"/>
      <sheetName val="125_PHD--Vos_4_OC_VOs"/>
      <sheetName val="126_(PHD)_--_VO_#_167_(OC)"/>
      <sheetName val="127_(PHD)_--_VO_#271_Rev_1_(OC)"/>
      <sheetName val="128_(PHD)--VO#_268,_270(1)_(OC)"/>
      <sheetName val="129_PHD--Vos_9_OC_VOs"/>
      <sheetName val="130_PHD--Vos230,249,252,263,288"/>
      <sheetName val="131_PHD--Vos_14_OC_VOs"/>
      <sheetName val="132_PHD--Vo_285_(3)"/>
      <sheetName val="133_PHD--Vos_11_OC_VOs"/>
      <sheetName val="134_PHD--Vos_8_OC_VOs"/>
      <sheetName val="135_PHD--Vos_7_OC_VOs"/>
      <sheetName val="136_PHD--Vos_6_OC_VOs"/>
      <sheetName val="137_PHD--Vos_7_OC_VOs"/>
      <sheetName val="138_PHD--Vos_12_OC_VOs"/>
      <sheetName val="139_PHD--Vos_14_OC_VOs"/>
      <sheetName val="140_PHD_--_VO#_364_Rev__03_(OC)"/>
      <sheetName val="141_PHD--VO_#_389_Rev__01_(OC)"/>
      <sheetName val="142_PHD--_Vos_12_OC_VOs"/>
      <sheetName val="143_PHD--_Vos_5_OC"/>
      <sheetName val="_--_VOs__From_114_to_200_(OC)"/>
      <sheetName val="_--_VOs__From_201_to_300_(OC)"/>
      <sheetName val="_--_VOs__From_301_to_400_(OC)"/>
      <sheetName val="_--_VOs__From_401_to_500_(OC)"/>
      <sheetName val="Construction"/>
      <sheetName val="&quot;P&quot;"/>
      <sheetName val="&quot;B02&quot;"/>
      <sheetName val="&quot;B01&quot;"/>
      <sheetName val="&quot;B03&quot;"/>
      <sheetName val="Initial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2">
          <cell r="B2">
            <v>0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B2">
            <v>0</v>
          </cell>
        </row>
      </sheetData>
      <sheetData sheetId="29"/>
      <sheetData sheetId="30">
        <row r="2">
          <cell r="B2">
            <v>0</v>
          </cell>
        </row>
      </sheetData>
      <sheetData sheetId="31"/>
      <sheetData sheetId="32">
        <row r="2">
          <cell r="B2">
            <v>0</v>
          </cell>
        </row>
      </sheetData>
      <sheetData sheetId="33"/>
      <sheetData sheetId="34">
        <row r="2">
          <cell r="B2">
            <v>0</v>
          </cell>
        </row>
      </sheetData>
      <sheetData sheetId="35"/>
      <sheetData sheetId="36">
        <row r="2">
          <cell r="B2">
            <v>0</v>
          </cell>
        </row>
      </sheetData>
      <sheetData sheetId="37">
        <row r="2">
          <cell r="B2">
            <v>0</v>
          </cell>
        </row>
      </sheetData>
      <sheetData sheetId="38">
        <row r="2">
          <cell r="B2">
            <v>0</v>
          </cell>
        </row>
      </sheetData>
      <sheetData sheetId="39">
        <row r="2">
          <cell r="B2">
            <v>0</v>
          </cell>
        </row>
      </sheetData>
      <sheetData sheetId="40">
        <row r="2">
          <cell r="B2">
            <v>0</v>
          </cell>
        </row>
      </sheetData>
      <sheetData sheetId="41">
        <row r="2">
          <cell r="B2">
            <v>0</v>
          </cell>
        </row>
      </sheetData>
      <sheetData sheetId="42">
        <row r="2">
          <cell r="B2">
            <v>0</v>
          </cell>
        </row>
      </sheetData>
      <sheetData sheetId="43">
        <row r="2">
          <cell r="B2">
            <v>0</v>
          </cell>
        </row>
      </sheetData>
      <sheetData sheetId="44"/>
      <sheetData sheetId="45">
        <row r="2">
          <cell r="B2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2">
          <cell r="C2" t="str">
            <v>Palm Valley Project-6th October</v>
          </cell>
        </row>
      </sheetData>
      <sheetData sheetId="149">
        <row r="2">
          <cell r="C2" t="str">
            <v>Palm Valley Project-6th October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>
        <row r="2">
          <cell r="C2" t="str">
            <v>Palm Valley Project-6th October</v>
          </cell>
        </row>
      </sheetData>
      <sheetData sheetId="171" refreshError="1"/>
      <sheetData sheetId="172">
        <row r="2">
          <cell r="C2" t="str">
            <v>Palm Valley Project-6th October</v>
          </cell>
        </row>
      </sheetData>
      <sheetData sheetId="173">
        <row r="2">
          <cell r="C2" t="str">
            <v>Palm Valley Project-6th October</v>
          </cell>
        </row>
      </sheetData>
      <sheetData sheetId="174">
        <row r="2">
          <cell r="C2" t="str">
            <v>Palm Valley Project-6th October</v>
          </cell>
        </row>
      </sheetData>
      <sheetData sheetId="175">
        <row r="2">
          <cell r="C2" t="str">
            <v>Palm Valley Project-6th October</v>
          </cell>
        </row>
      </sheetData>
      <sheetData sheetId="176">
        <row r="2">
          <cell r="C2" t="str">
            <v>Palm Valley Project-6th October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>
        <row r="2">
          <cell r="B2">
            <v>0</v>
          </cell>
        </row>
      </sheetData>
      <sheetData sheetId="273"/>
      <sheetData sheetId="274">
        <row r="2">
          <cell r="B2">
            <v>0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20kv"/>
      <sheetName val="IO Modules"/>
      <sheetName val="TRANSDUCERS"/>
      <sheetName val="RTU #1"/>
      <sheetName val="SPARES"/>
      <sheetName val="Serv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  <sheetName val="CAT_5"/>
      <sheetName val="C_18"/>
      <sheetName val="COA_17"/>
      <sheetName val="7.6.3(B) UG Piping"/>
      <sheetName val="#REF"/>
      <sheetName val="환율"/>
      <sheetName val="COVER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～３"/>
      <sheetName val="４"/>
      <sheetName val="５～８"/>
      <sheetName val="Sカーブ"/>
      <sheetName val="先行工事"/>
      <sheetName val="総合ＥＳ"/>
      <sheetName val="設計ＥＳ"/>
      <sheetName val="相調達ＳＣＨ"/>
      <sheetName val="調達ＳＣ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CURAZIONE"/>
      <sheetName val="SOMMARIO (2)"/>
      <sheetName val="SOMMARIO (1)"/>
      <sheetName val="SOMMARIO"/>
      <sheetName val="APP"/>
      <sheetName val="APPAR"/>
      <sheetName val="TUBAZ"/>
      <sheetName val="TUB (1)"/>
      <sheetName val="TUB (2)"/>
      <sheetName val="TUB"/>
      <sheetName val="STRUTT"/>
      <sheetName val="ELETTRIC"/>
      <sheetName val="ELETT"/>
      <sheetName val="STRUMENT"/>
      <sheetName val="STRUM"/>
      <sheetName val="STRUM (1)"/>
      <sheetName val="CIVILE"/>
      <sheetName val="CIVIL"/>
      <sheetName val="CIV"/>
      <sheetName val="VERN"/>
      <sheetName val="COIB "/>
      <sheetName val="TRASP"/>
      <sheetName val="ING "/>
      <sheetName val="ING (1)"/>
      <sheetName val="COORD"/>
      <sheetName val="SUP"/>
      <sheetName val="SP.CANT."/>
      <sheetName val="VEND-SP"/>
      <sheetName val="AVVIAM"/>
      <sheetName val="ESC"/>
      <sheetName val="IMP"/>
      <sheetName val="CONT"/>
      <sheetName val="ESB."/>
      <sheetName val="Grafico"/>
      <sheetName val="FATTURAZ"/>
      <sheetName val="Foglio1"/>
      <sheetName val="Foglio2"/>
      <sheetName val="Cover"/>
      <sheetName val="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K1" t="str">
            <v>%</v>
          </cell>
          <cell r="L1" t="str">
            <v>%</v>
          </cell>
          <cell r="M1" t="str">
            <v>%</v>
          </cell>
        </row>
        <row r="2">
          <cell r="A2" t="str">
            <v>COMMESSA</v>
          </cell>
          <cell r="B2" t="str">
            <v>SOTTOC.</v>
          </cell>
          <cell r="C2" t="str">
            <v>DESCRIZIONE</v>
          </cell>
          <cell r="F2" t="str">
            <v>IMPORTO</v>
          </cell>
          <cell r="H2" t="str">
            <v>COMMESSA</v>
          </cell>
          <cell r="I2" t="str">
            <v>SOTTOC.</v>
          </cell>
          <cell r="J2" t="str">
            <v>DESCRIZIONE</v>
          </cell>
          <cell r="K2" t="str">
            <v>RIPART</v>
          </cell>
          <cell r="L2" t="str">
            <v>RIPART</v>
          </cell>
          <cell r="M2" t="str">
            <v>RIPART</v>
          </cell>
          <cell r="N2" t="str">
            <v>IMPORTO</v>
          </cell>
        </row>
        <row r="3">
          <cell r="F3" t="str">
            <v>KLit</v>
          </cell>
          <cell r="K3" t="str">
            <v>(*)</v>
          </cell>
          <cell r="L3" t="str">
            <v>(**)</v>
          </cell>
          <cell r="M3" t="str">
            <v>(***)</v>
          </cell>
          <cell r="N3" t="str">
            <v>KLit</v>
          </cell>
        </row>
        <row r="6">
          <cell r="C6" t="str">
            <v>IMPIANTO DI PRODUZIONE</v>
          </cell>
          <cell r="J6" t="str">
            <v>IMPIANTO DI PRODUZIONE</v>
          </cell>
        </row>
        <row r="8">
          <cell r="C8" t="str">
            <v xml:space="preserve"> TURBOGENERATORE A GAS</v>
          </cell>
          <cell r="F8">
            <v>88530000</v>
          </cell>
          <cell r="J8" t="str">
            <v xml:space="preserve"> TURBOGENERATORE A GAS</v>
          </cell>
          <cell r="K8">
            <v>24.6</v>
          </cell>
          <cell r="L8">
            <v>42.9</v>
          </cell>
          <cell r="M8">
            <v>55</v>
          </cell>
          <cell r="N8">
            <v>88530000</v>
          </cell>
        </row>
        <row r="10">
          <cell r="C10" t="str">
            <v xml:space="preserve"> CALDAIA RECUPERO CALORE </v>
          </cell>
          <cell r="F10">
            <v>15840000</v>
          </cell>
          <cell r="J10" t="str">
            <v xml:space="preserve"> CALDAIA RECUPERO CALORE </v>
          </cell>
          <cell r="K10">
            <v>5.7</v>
          </cell>
          <cell r="L10">
            <v>7.7</v>
          </cell>
          <cell r="M10">
            <v>10</v>
          </cell>
          <cell r="N10">
            <v>15840000</v>
          </cell>
        </row>
        <row r="12">
          <cell r="C12" t="str">
            <v xml:space="preserve"> TURBOGENERATORE A VAPORE</v>
          </cell>
          <cell r="F12">
            <v>23265000</v>
          </cell>
          <cell r="J12" t="str">
            <v xml:space="preserve"> TURBOGENERATORE A VAPORE</v>
          </cell>
          <cell r="K12">
            <v>6.9</v>
          </cell>
          <cell r="L12">
            <v>11.3</v>
          </cell>
          <cell r="M12">
            <v>20</v>
          </cell>
          <cell r="N12">
            <v>23265000</v>
          </cell>
        </row>
        <row r="14">
          <cell r="C14" t="str">
            <v xml:space="preserve"> TRASFORMATORI ELEVATORI</v>
          </cell>
          <cell r="F14">
            <v>2688000</v>
          </cell>
          <cell r="J14" t="str">
            <v xml:space="preserve"> TRASFORMATORI ELEVATORI</v>
          </cell>
          <cell r="K14">
            <v>1.3</v>
          </cell>
          <cell r="L14">
            <v>1.3</v>
          </cell>
          <cell r="M14">
            <v>2</v>
          </cell>
          <cell r="N14">
            <v>2688000</v>
          </cell>
        </row>
        <row r="16">
          <cell r="C16" t="str">
            <v xml:space="preserve"> GASOMETRO</v>
          </cell>
          <cell r="F16">
            <v>8083000</v>
          </cell>
          <cell r="J16" t="str">
            <v xml:space="preserve"> GASOMETRO</v>
          </cell>
          <cell r="K16">
            <v>1.8</v>
          </cell>
          <cell r="L16">
            <v>3.9</v>
          </cell>
          <cell r="M16">
            <v>1</v>
          </cell>
          <cell r="N16">
            <v>8083000</v>
          </cell>
        </row>
        <row r="18">
          <cell r="C18" t="str">
            <v xml:space="preserve"> SISTEMA DI RAFFREDDAMENTO AD ACQUA DI MARE</v>
          </cell>
          <cell r="F18">
            <v>3668000</v>
          </cell>
          <cell r="J18" t="str">
            <v xml:space="preserve"> SIST. DI RAFFR. AD ACQUA DI MARE</v>
          </cell>
          <cell r="K18">
            <v>1.3</v>
          </cell>
          <cell r="L18">
            <v>1.8</v>
          </cell>
          <cell r="M18">
            <v>1</v>
          </cell>
          <cell r="N18">
            <v>3668000</v>
          </cell>
        </row>
        <row r="20">
          <cell r="C20" t="str">
            <v xml:space="preserve"> SISTEMI DI RAFFREDDAMENTO IN CICLO CHIUSO</v>
          </cell>
          <cell r="F20">
            <v>1504000</v>
          </cell>
          <cell r="J20" t="str">
            <v xml:space="preserve"> SIST. DI RAFFR. IN CICLO CHIUSO</v>
          </cell>
          <cell r="K20">
            <v>0.8</v>
          </cell>
          <cell r="L20">
            <v>0.7</v>
          </cell>
          <cell r="M20">
            <v>1</v>
          </cell>
          <cell r="N20">
            <v>1504000</v>
          </cell>
        </row>
        <row r="22">
          <cell r="C22" t="str">
            <v xml:space="preserve"> SISTEMA ACQUE REFLUE</v>
          </cell>
          <cell r="F22">
            <v>2995000</v>
          </cell>
          <cell r="J22" t="str">
            <v xml:space="preserve"> SISTEMA ACQUE REFLUE</v>
          </cell>
          <cell r="K22">
            <v>1.1000000000000001</v>
          </cell>
          <cell r="L22">
            <v>1.5</v>
          </cell>
          <cell r="M22">
            <v>1</v>
          </cell>
          <cell r="N22">
            <v>2995000</v>
          </cell>
        </row>
        <row r="24">
          <cell r="C24" t="str">
            <v xml:space="preserve"> ALTRE APPARECCHIATURE E MACCHINE</v>
          </cell>
          <cell r="F24">
            <v>5564000</v>
          </cell>
          <cell r="J24" t="str">
            <v xml:space="preserve"> ALTRE APPARECCH. E MACCHINE</v>
          </cell>
          <cell r="K24">
            <v>2.8</v>
          </cell>
          <cell r="L24">
            <v>2.7</v>
          </cell>
          <cell r="M24">
            <v>1</v>
          </cell>
          <cell r="N24">
            <v>5564000</v>
          </cell>
        </row>
        <row r="26">
          <cell r="C26" t="str">
            <v xml:space="preserve"> TUBAZIONI E COMPONENTI</v>
          </cell>
          <cell r="F26">
            <v>3844000</v>
          </cell>
          <cell r="J26" t="str">
            <v xml:space="preserve"> TUBAZIONI E COMPONENTI</v>
          </cell>
          <cell r="K26">
            <v>26.6</v>
          </cell>
          <cell r="L26">
            <v>1.9</v>
          </cell>
          <cell r="M26">
            <v>1</v>
          </cell>
          <cell r="N26">
            <v>3844000</v>
          </cell>
        </row>
        <row r="28">
          <cell r="C28" t="str">
            <v xml:space="preserve"> IMPIANTO ELETTRICO</v>
          </cell>
          <cell r="F28">
            <v>12128000</v>
          </cell>
          <cell r="J28" t="str">
            <v xml:space="preserve"> IMPIANTO ELETTRICO</v>
          </cell>
          <cell r="K28">
            <v>14.3</v>
          </cell>
          <cell r="L28">
            <v>5.9</v>
          </cell>
          <cell r="M28">
            <v>3</v>
          </cell>
          <cell r="N28">
            <v>12128000</v>
          </cell>
        </row>
        <row r="30">
          <cell r="C30" t="str">
            <v xml:space="preserve"> STRUMENTAZIONE D'IMPIANTO</v>
          </cell>
          <cell r="F30">
            <v>5403000</v>
          </cell>
          <cell r="J30" t="str">
            <v xml:space="preserve"> STRUMENTAZIONE D'IMPIANTO</v>
          </cell>
          <cell r="K30">
            <v>7</v>
          </cell>
          <cell r="L30">
            <v>2.6</v>
          </cell>
          <cell r="M30">
            <v>4</v>
          </cell>
          <cell r="N30">
            <v>5403000</v>
          </cell>
        </row>
        <row r="32">
          <cell r="C32" t="str">
            <v xml:space="preserve"> OPERE EDILI</v>
          </cell>
          <cell r="F32">
            <v>27899000</v>
          </cell>
          <cell r="J32" t="str">
            <v xml:space="preserve"> OPERE EDILI</v>
          </cell>
          <cell r="K32">
            <v>4.8</v>
          </cell>
          <cell r="L32">
            <v>13.5</v>
          </cell>
          <cell r="M32">
            <v>0</v>
          </cell>
          <cell r="N32">
            <v>27899000</v>
          </cell>
        </row>
        <row r="34">
          <cell r="C34" t="str">
            <v xml:space="preserve"> INGEGN., MONTAGGI, AVVIAM. VEND. SP., ASSIC., ECC..</v>
          </cell>
          <cell r="F34">
            <v>23895000</v>
          </cell>
          <cell r="I34" t="str">
            <v>(*)</v>
          </cell>
          <cell r="J34" t="str">
            <v xml:space="preserve"> INGEGN., MONTAGGI, AVVIAM. VEND. SP., ASSIC., ECC..</v>
          </cell>
          <cell r="K34">
            <v>0</v>
          </cell>
          <cell r="L34">
            <v>0</v>
          </cell>
          <cell r="M34">
            <v>0</v>
          </cell>
          <cell r="N34">
            <v>23895000</v>
          </cell>
        </row>
        <row r="36">
          <cell r="C36" t="str">
            <v xml:space="preserve"> COORDINAMENTO PROGETTO</v>
          </cell>
          <cell r="F36">
            <v>20756000</v>
          </cell>
          <cell r="I36" t="str">
            <v>(**)</v>
          </cell>
          <cell r="J36" t="str">
            <v xml:space="preserve"> COORDINAMENTO PROGETTO</v>
          </cell>
          <cell r="K36">
            <v>0</v>
          </cell>
          <cell r="L36">
            <v>0</v>
          </cell>
          <cell r="M36">
            <v>0</v>
          </cell>
          <cell r="N36">
            <v>20756000</v>
          </cell>
        </row>
        <row r="38">
          <cell r="C38" t="str">
            <v xml:space="preserve"> PARTI DI RICAMBIO</v>
          </cell>
          <cell r="F38">
            <v>5130000</v>
          </cell>
          <cell r="I38" t="str">
            <v>(***)</v>
          </cell>
          <cell r="J38" t="str">
            <v xml:space="preserve"> PARTI DI RICAMBIO</v>
          </cell>
          <cell r="K38">
            <v>1</v>
          </cell>
          <cell r="L38">
            <v>2.2999999999999998</v>
          </cell>
          <cell r="N38">
            <v>5130000</v>
          </cell>
        </row>
        <row r="40">
          <cell r="C40" t="str">
            <v>TOTALE COMMESSA</v>
          </cell>
          <cell r="F40">
            <v>251192000</v>
          </cell>
          <cell r="J40" t="str">
            <v>TOTALE COMMESSA</v>
          </cell>
          <cell r="K40">
            <v>99.999999999999986</v>
          </cell>
          <cell r="L40">
            <v>100.00000000000001</v>
          </cell>
          <cell r="M40">
            <v>100</v>
          </cell>
          <cell r="N40">
            <v>251192000</v>
          </cell>
        </row>
        <row r="45">
          <cell r="C45" t="str">
            <v xml:space="preserve"> LINEA AEREA 130 kV</v>
          </cell>
          <cell r="F45">
            <v>1516000</v>
          </cell>
          <cell r="J45" t="str">
            <v xml:space="preserve"> LINEA AEREA 130 kV</v>
          </cell>
          <cell r="N45">
            <v>1516000</v>
          </cell>
        </row>
        <row r="53">
          <cell r="K53" t="str">
            <v>%</v>
          </cell>
          <cell r="L53" t="str">
            <v>%</v>
          </cell>
          <cell r="M53" t="str">
            <v>%</v>
          </cell>
        </row>
        <row r="54">
          <cell r="A54" t="str">
            <v>COMMESSA</v>
          </cell>
          <cell r="B54" t="str">
            <v>SOTTOC.</v>
          </cell>
          <cell r="C54" t="str">
            <v>DESCRIZIONE</v>
          </cell>
          <cell r="F54" t="str">
            <v>IMPORTO</v>
          </cell>
          <cell r="H54" t="str">
            <v>COMMESSA</v>
          </cell>
          <cell r="I54" t="str">
            <v>SOTTOC.</v>
          </cell>
          <cell r="J54" t="str">
            <v>DESCRIZIONE</v>
          </cell>
          <cell r="K54" t="str">
            <v>RIPART.</v>
          </cell>
          <cell r="L54" t="str">
            <v>RIPART.</v>
          </cell>
          <cell r="M54" t="str">
            <v>RIPART.</v>
          </cell>
          <cell r="N54" t="str">
            <v>IMPORTO</v>
          </cell>
        </row>
        <row r="55">
          <cell r="F55" t="str">
            <v>KLit</v>
          </cell>
          <cell r="N55" t="str">
            <v>KLit</v>
          </cell>
        </row>
        <row r="57">
          <cell r="C57" t="str">
            <v>ALLACCIAMENTI</v>
          </cell>
          <cell r="J57" t="str">
            <v>ALLACCIAMENTI</v>
          </cell>
        </row>
        <row r="59">
          <cell r="C59" t="str">
            <v xml:space="preserve"> ALLACCIAMENTO ELETTRICO</v>
          </cell>
          <cell r="F59">
            <v>7800000</v>
          </cell>
          <cell r="J59" t="str">
            <v xml:space="preserve"> ALLACCIAMENTO ELETTRICO</v>
          </cell>
          <cell r="N59">
            <v>7800000</v>
          </cell>
        </row>
        <row r="61">
          <cell r="C61" t="str">
            <v xml:space="preserve">  ALLACCIAMENTO GAS</v>
          </cell>
          <cell r="F61">
            <v>2000000</v>
          </cell>
          <cell r="J61" t="str">
            <v xml:space="preserve">  ALLACCIAMENTO GAS</v>
          </cell>
          <cell r="N61">
            <v>2000000</v>
          </cell>
        </row>
        <row r="64">
          <cell r="C64" t="str">
            <v>TOTALE COMMESSA</v>
          </cell>
          <cell r="F64">
            <v>9800000</v>
          </cell>
          <cell r="J64" t="str">
            <v>TOTALE COMMESSA</v>
          </cell>
          <cell r="N64">
            <v>9800000</v>
          </cell>
        </row>
        <row r="70">
          <cell r="C70" t="str">
            <v>BENI MOBILI</v>
          </cell>
          <cell r="J70" t="str">
            <v>BENI MOBILI</v>
          </cell>
        </row>
        <row r="72">
          <cell r="C72" t="str">
            <v xml:space="preserve"> ATTREZZATURA DA LABORATORIO E OFFICINA</v>
          </cell>
          <cell r="F72">
            <v>0</v>
          </cell>
          <cell r="J72" t="str">
            <v xml:space="preserve"> ATTREZZ. LABORAT. E OFFICINA</v>
          </cell>
          <cell r="N72">
            <v>0</v>
          </cell>
        </row>
        <row r="74">
          <cell r="C74" t="str">
            <v xml:space="preserve"> MOBILI ED ARREDI</v>
          </cell>
          <cell r="F74">
            <v>0</v>
          </cell>
          <cell r="J74" t="str">
            <v xml:space="preserve"> MOBILI ED ARREDI</v>
          </cell>
          <cell r="N74">
            <v>0</v>
          </cell>
        </row>
        <row r="76">
          <cell r="C76" t="str">
            <v xml:space="preserve"> PERSONAL COMPUTER</v>
          </cell>
          <cell r="F76">
            <v>0</v>
          </cell>
          <cell r="J76" t="str">
            <v xml:space="preserve"> PERSONAL COMPUTER</v>
          </cell>
          <cell r="N76">
            <v>0</v>
          </cell>
        </row>
        <row r="78">
          <cell r="C78" t="str">
            <v xml:space="preserve"> TELEFONI PORTATILI</v>
          </cell>
          <cell r="F78">
            <v>0</v>
          </cell>
          <cell r="J78" t="str">
            <v xml:space="preserve"> TELEFONI PORTATILI</v>
          </cell>
          <cell r="N78">
            <v>0</v>
          </cell>
        </row>
        <row r="81">
          <cell r="C81" t="str">
            <v>TOTALE COMMESSA</v>
          </cell>
          <cell r="F81">
            <v>850000</v>
          </cell>
          <cell r="J81" t="str">
            <v>TOTALE COMMESSA</v>
          </cell>
          <cell r="N81">
            <v>850000</v>
          </cell>
        </row>
        <row r="100">
          <cell r="C100" t="str">
            <v>TOTALE IMPIANTO</v>
          </cell>
          <cell r="F100">
            <v>263358000</v>
          </cell>
          <cell r="J100" t="str">
            <v>TOTALE IMPIANTO</v>
          </cell>
          <cell r="N100">
            <v>263358000</v>
          </cell>
        </row>
        <row r="106">
          <cell r="A106" t="str">
            <v>COMMESSA</v>
          </cell>
          <cell r="B106" t="str">
            <v>SOTTOC.</v>
          </cell>
          <cell r="C106" t="str">
            <v>DESCRIZIONE</v>
          </cell>
          <cell r="E106" t="str">
            <v>CODICE</v>
          </cell>
          <cell r="F106" t="str">
            <v>IMPORTO</v>
          </cell>
        </row>
        <row r="107">
          <cell r="F107" t="str">
            <v>KLit</v>
          </cell>
        </row>
        <row r="110">
          <cell r="C110" t="str">
            <v>IMPIANTO DI PRODUZIONE</v>
          </cell>
        </row>
        <row r="114">
          <cell r="C114" t="str">
            <v xml:space="preserve"> TURBOGENERATORE A GAS</v>
          </cell>
        </row>
        <row r="115">
          <cell r="C115" t="str">
            <v xml:space="preserve">  -TURBOGENERATORE E SISTEMA RECUPERO CALORE</v>
          </cell>
          <cell r="E115" t="str">
            <v>A410</v>
          </cell>
          <cell r="F115">
            <v>85860000</v>
          </cell>
        </row>
        <row r="116">
          <cell r="C116" t="str">
            <v xml:space="preserve">  -IMPREVISTI</v>
          </cell>
          <cell r="E116" t="str">
            <v>U000</v>
          </cell>
          <cell r="F116">
            <v>2670000</v>
          </cell>
        </row>
        <row r="117">
          <cell r="C117" t="str">
            <v xml:space="preserve">  -SPESE GENERALI</v>
          </cell>
          <cell r="E117" t="str">
            <v>W000</v>
          </cell>
          <cell r="F117" t="str">
            <v>a cura di ISE</v>
          </cell>
        </row>
        <row r="118">
          <cell r="C118" t="str">
            <v xml:space="preserve">  -ONERI FINANZIARI</v>
          </cell>
          <cell r="E118" t="str">
            <v>Z000</v>
          </cell>
          <cell r="F118" t="str">
            <v>a cura di ISE</v>
          </cell>
        </row>
        <row r="119">
          <cell r="C119" t="str">
            <v>TOTALE SOTTOCOMMESSA</v>
          </cell>
          <cell r="F119">
            <v>88530000</v>
          </cell>
        </row>
        <row r="123">
          <cell r="C123" t="str">
            <v xml:space="preserve"> CALDAIA RECUPERO CALORE</v>
          </cell>
        </row>
        <row r="124">
          <cell r="C124" t="str">
            <v xml:space="preserve">  -CALDAIA RECUPERO CALORE </v>
          </cell>
          <cell r="E124" t="str">
            <v>A410</v>
          </cell>
          <cell r="F124">
            <v>15090000</v>
          </cell>
        </row>
        <row r="125">
          <cell r="C125" t="str">
            <v xml:space="preserve">  -IMPREVISTI</v>
          </cell>
          <cell r="E125" t="str">
            <v>U000</v>
          </cell>
          <cell r="F125">
            <v>750000</v>
          </cell>
        </row>
        <row r="126">
          <cell r="C126" t="str">
            <v xml:space="preserve">  -SPESE GENERALI</v>
          </cell>
          <cell r="E126" t="str">
            <v>W000</v>
          </cell>
          <cell r="F126" t="str">
            <v>a cura di ISE</v>
          </cell>
        </row>
        <row r="127">
          <cell r="C127" t="str">
            <v xml:space="preserve">  -ONERI FINANZIARI</v>
          </cell>
          <cell r="E127" t="str">
            <v>Z000</v>
          </cell>
          <cell r="F127" t="str">
            <v>a cura di ISE</v>
          </cell>
        </row>
        <row r="128">
          <cell r="C128" t="str">
            <v>TOTALE SOTTOCOMMESSA</v>
          </cell>
          <cell r="F128">
            <v>15840000</v>
          </cell>
        </row>
        <row r="132">
          <cell r="C132" t="str">
            <v xml:space="preserve"> TURBOGENERATORE A VAPORE</v>
          </cell>
        </row>
        <row r="133">
          <cell r="C133" t="str">
            <v xml:space="preserve">  -TURBOGENERATORE A VAPORE</v>
          </cell>
          <cell r="E133" t="str">
            <v>A410</v>
          </cell>
          <cell r="F133">
            <v>22590000</v>
          </cell>
        </row>
        <row r="134">
          <cell r="C134" t="str">
            <v xml:space="preserve">  -IMPREVISTI</v>
          </cell>
          <cell r="E134" t="str">
            <v>U000</v>
          </cell>
          <cell r="F134">
            <v>675000</v>
          </cell>
        </row>
        <row r="135">
          <cell r="C135" t="str">
            <v xml:space="preserve">  -SPESE GENERALI</v>
          </cell>
          <cell r="E135" t="str">
            <v>W000</v>
          </cell>
          <cell r="F135" t="str">
            <v>a cura di ISE</v>
          </cell>
        </row>
        <row r="136">
          <cell r="C136" t="str">
            <v xml:space="preserve">  -ONERI FINANZIARI</v>
          </cell>
          <cell r="E136" t="str">
            <v>Z000</v>
          </cell>
          <cell r="F136" t="str">
            <v>a cura di ISE</v>
          </cell>
        </row>
        <row r="137">
          <cell r="C137" t="str">
            <v>TOTALE SOTTOCOMMESSA</v>
          </cell>
          <cell r="F137">
            <v>23265000</v>
          </cell>
        </row>
        <row r="141">
          <cell r="C141" t="str">
            <v xml:space="preserve"> TRASFORMATORI ELEVATORI</v>
          </cell>
        </row>
        <row r="142">
          <cell r="C142" t="str">
            <v xml:space="preserve">  -TRASFORMATORE ELEVATORE PER TG</v>
          </cell>
          <cell r="E142" t="str">
            <v>A410</v>
          </cell>
          <cell r="F142">
            <v>1536000</v>
          </cell>
        </row>
        <row r="143">
          <cell r="C143" t="str">
            <v xml:space="preserve">  -TRASFORMATORE ELEVATORE PER TV</v>
          </cell>
          <cell r="E143" t="str">
            <v>A410</v>
          </cell>
          <cell r="F143">
            <v>1024000</v>
          </cell>
        </row>
        <row r="144">
          <cell r="C144" t="str">
            <v xml:space="preserve">  -IMPREVISTI</v>
          </cell>
          <cell r="E144" t="str">
            <v>U000</v>
          </cell>
          <cell r="F144">
            <v>128000</v>
          </cell>
        </row>
        <row r="145">
          <cell r="C145" t="str">
            <v xml:space="preserve">  -SPESE GENERALI</v>
          </cell>
          <cell r="E145" t="str">
            <v>W000</v>
          </cell>
          <cell r="F145" t="str">
            <v>a cura di ISE</v>
          </cell>
        </row>
        <row r="146">
          <cell r="C146" t="str">
            <v xml:space="preserve">  -ONERI FINANZIARI</v>
          </cell>
          <cell r="E146" t="str">
            <v>Z000</v>
          </cell>
          <cell r="F146" t="str">
            <v>a cura di ISE</v>
          </cell>
        </row>
        <row r="147">
          <cell r="C147" t="str">
            <v>TOTALE SOTTOCOMMESSA</v>
          </cell>
          <cell r="F147">
            <v>2688000</v>
          </cell>
        </row>
        <row r="151">
          <cell r="C151" t="str">
            <v xml:space="preserve"> GASOMETRO</v>
          </cell>
        </row>
        <row r="152">
          <cell r="C152" t="str">
            <v xml:space="preserve">  -GASOMETRO</v>
          </cell>
          <cell r="E152" t="str">
            <v>A410</v>
          </cell>
          <cell r="F152">
            <v>7850000</v>
          </cell>
        </row>
        <row r="153">
          <cell r="C153" t="str">
            <v xml:space="preserve">  -IMPREVISTI</v>
          </cell>
          <cell r="E153" t="str">
            <v>U000</v>
          </cell>
          <cell r="F153">
            <v>233000</v>
          </cell>
        </row>
        <row r="210">
          <cell r="A210" t="str">
            <v>COMMESSA</v>
          </cell>
          <cell r="B210" t="str">
            <v>SOTTOC.</v>
          </cell>
          <cell r="C210" t="str">
            <v>DESCRIZIONE</v>
          </cell>
          <cell r="E210" t="str">
            <v>CODICE</v>
          </cell>
          <cell r="F210" t="str">
            <v>IMPORTO</v>
          </cell>
        </row>
        <row r="211">
          <cell r="F211" t="str">
            <v>KLit</v>
          </cell>
        </row>
        <row r="213">
          <cell r="C213" t="str">
            <v xml:space="preserve">  -ALTRE APPARECCHIATURE MINORI</v>
          </cell>
          <cell r="E213" t="str">
            <v>A410</v>
          </cell>
          <cell r="F213">
            <v>133000</v>
          </cell>
        </row>
        <row r="214">
          <cell r="C214" t="str">
            <v xml:space="preserve">  -IMPREVISTI</v>
          </cell>
          <cell r="E214" t="str">
            <v>U000</v>
          </cell>
          <cell r="F214">
            <v>265000</v>
          </cell>
        </row>
        <row r="215">
          <cell r="C215" t="str">
            <v xml:space="preserve">  -SPESE GENERALI</v>
          </cell>
          <cell r="E215" t="str">
            <v>W000</v>
          </cell>
          <cell r="F215" t="str">
            <v>a cura di ISE</v>
          </cell>
        </row>
        <row r="216">
          <cell r="C216" t="str">
            <v xml:space="preserve">  -ONERI FINANZIARI</v>
          </cell>
          <cell r="E216" t="str">
            <v>Z000</v>
          </cell>
          <cell r="F216" t="str">
            <v>a cura di ISE</v>
          </cell>
        </row>
        <row r="217">
          <cell r="C217" t="str">
            <v>TOTALE SOTTOCOMMESSA</v>
          </cell>
          <cell r="F217">
            <v>5564000</v>
          </cell>
        </row>
        <row r="221">
          <cell r="C221" t="str">
            <v xml:space="preserve"> TUBAZIONI E COMPONENTI</v>
          </cell>
        </row>
        <row r="222">
          <cell r="C222" t="str">
            <v xml:space="preserve">  -TUBAZIONI IMPIANTO DI PRODUZIONE</v>
          </cell>
          <cell r="E222" t="str">
            <v>A520</v>
          </cell>
          <cell r="F222">
            <v>2276000</v>
          </cell>
        </row>
        <row r="223">
          <cell r="C223" t="str">
            <v xml:space="preserve">  -TUBAZIONI GAS AFO E COCKE</v>
          </cell>
          <cell r="E223" t="str">
            <v>A520</v>
          </cell>
          <cell r="F223">
            <v>473000</v>
          </cell>
        </row>
        <row r="224">
          <cell r="C224" t="str">
            <v xml:space="preserve">  -TUBAZIONI GAS NATURALE</v>
          </cell>
          <cell r="E224" t="str">
            <v>A520</v>
          </cell>
          <cell r="F224">
            <v>611000</v>
          </cell>
        </row>
        <row r="225">
          <cell r="C225" t="str">
            <v xml:space="preserve">  -TUBAZIONI OPERA DI PRESA ACQUA MARE</v>
          </cell>
          <cell r="E225" t="str">
            <v>A520</v>
          </cell>
          <cell r="F225">
            <v>268000</v>
          </cell>
        </row>
        <row r="226">
          <cell r="C226" t="str">
            <v xml:space="preserve">  -IMPREVISTI</v>
          </cell>
          <cell r="E226" t="str">
            <v>U000</v>
          </cell>
          <cell r="F226">
            <v>216000</v>
          </cell>
        </row>
        <row r="227">
          <cell r="C227" t="str">
            <v xml:space="preserve">  -SPESE GENERALI</v>
          </cell>
          <cell r="E227" t="str">
            <v>W000</v>
          </cell>
          <cell r="F227" t="str">
            <v>a cura di ISE</v>
          </cell>
        </row>
        <row r="228">
          <cell r="C228" t="str">
            <v xml:space="preserve">  -ONERI FINANZIARI</v>
          </cell>
          <cell r="E228" t="str">
            <v>Z000</v>
          </cell>
          <cell r="F228" t="str">
            <v>a cura di ISE</v>
          </cell>
        </row>
        <row r="229">
          <cell r="C229" t="str">
            <v>TOTALE SOTTOCOMMESSA</v>
          </cell>
          <cell r="F229">
            <v>3844000</v>
          </cell>
        </row>
        <row r="233">
          <cell r="C233" t="str">
            <v xml:space="preserve"> IMPIANTO ELETTRICO</v>
          </cell>
        </row>
        <row r="234">
          <cell r="C234" t="str">
            <v xml:space="preserve">  -QUADRO BLINDATO A.T.</v>
          </cell>
          <cell r="E234" t="str">
            <v>A590</v>
          </cell>
          <cell r="F234">
            <v>2522000</v>
          </cell>
        </row>
        <row r="235">
          <cell r="C235" t="str">
            <v xml:space="preserve">  -APPARECCHIATURE A.T. IN ARIA</v>
          </cell>
          <cell r="E235" t="str">
            <v>A590</v>
          </cell>
          <cell r="F235">
            <v>84000</v>
          </cell>
        </row>
        <row r="236">
          <cell r="C236" t="str">
            <v xml:space="preserve">  -CAVI A.T.</v>
          </cell>
          <cell r="E236" t="str">
            <v>A590</v>
          </cell>
          <cell r="F236">
            <v>1518000</v>
          </cell>
        </row>
        <row r="237">
          <cell r="C237" t="str">
            <v xml:space="preserve">  -TRASFORMATORI M.T. / B.T.</v>
          </cell>
          <cell r="E237" t="str">
            <v>A590</v>
          </cell>
          <cell r="F237">
            <v>905000</v>
          </cell>
        </row>
        <row r="238">
          <cell r="C238" t="str">
            <v xml:space="preserve">  -QUADRI M.T.</v>
          </cell>
          <cell r="E238" t="str">
            <v>A590</v>
          </cell>
          <cell r="F238">
            <v>1745000</v>
          </cell>
        </row>
        <row r="239">
          <cell r="C239" t="str">
            <v xml:space="preserve">  -QUADRI B.T.</v>
          </cell>
          <cell r="E239" t="str">
            <v>A590</v>
          </cell>
          <cell r="F239">
            <v>1040000</v>
          </cell>
        </row>
        <row r="240">
          <cell r="C240" t="str">
            <v xml:space="preserve">  -APPARECCHIATURE C.C.</v>
          </cell>
          <cell r="E240" t="str">
            <v>A590</v>
          </cell>
          <cell r="F240">
            <v>313000</v>
          </cell>
        </row>
        <row r="241">
          <cell r="C241" t="str">
            <v xml:space="preserve">  -SISTEMA DI PROTEZIONE CONTROLLO E GESTIONE</v>
          </cell>
          <cell r="E241" t="str">
            <v>A590</v>
          </cell>
          <cell r="F241">
            <v>783000</v>
          </cell>
        </row>
        <row r="242">
          <cell r="C242" t="str">
            <v xml:space="preserve">  -LINEE M.T.</v>
          </cell>
          <cell r="E242" t="str">
            <v>A590</v>
          </cell>
          <cell r="F242">
            <v>166000</v>
          </cell>
        </row>
        <row r="243">
          <cell r="C243" t="str">
            <v xml:space="preserve">  -LINEE B.T.</v>
          </cell>
          <cell r="E243" t="str">
            <v>A590</v>
          </cell>
          <cell r="F243">
            <v>1319000</v>
          </cell>
        </row>
        <row r="244">
          <cell r="C244" t="str">
            <v xml:space="preserve">  -IMPIANTO DI ILLUMINAZIONE</v>
          </cell>
          <cell r="E244" t="str">
            <v>A590</v>
          </cell>
          <cell r="F244">
            <v>177000</v>
          </cell>
        </row>
        <row r="245">
          <cell r="C245" t="str">
            <v xml:space="preserve">  -IMPIANTO DI MESSA A TERRA E PROT. CATODICA</v>
          </cell>
          <cell r="E245" t="str">
            <v>A590</v>
          </cell>
          <cell r="F245">
            <v>187000</v>
          </cell>
        </row>
        <row r="246">
          <cell r="C246" t="str">
            <v xml:space="preserve">  -IMPIANTO TELEFONICO E CERCAPERSONE</v>
          </cell>
          <cell r="E246" t="str">
            <v>A590</v>
          </cell>
          <cell r="F246">
            <v>71000</v>
          </cell>
        </row>
        <row r="247">
          <cell r="C247" t="str">
            <v xml:space="preserve">  -PASSERELLE PORTA CAVI</v>
          </cell>
          <cell r="E247" t="str">
            <v>A590</v>
          </cell>
          <cell r="F247">
            <v>81000</v>
          </cell>
        </row>
        <row r="248">
          <cell r="C248" t="str">
            <v xml:space="preserve">  -RILOCAZIONE LINEE 60 kV</v>
          </cell>
          <cell r="E248" t="str">
            <v>A590</v>
          </cell>
          <cell r="F248">
            <v>583000</v>
          </cell>
        </row>
        <row r="249">
          <cell r="C249" t="str">
            <v xml:space="preserve">  -IMPREVISTI</v>
          </cell>
          <cell r="E249" t="str">
            <v>U000</v>
          </cell>
          <cell r="F249">
            <v>634000</v>
          </cell>
        </row>
        <row r="250">
          <cell r="C250" t="str">
            <v xml:space="preserve">  -SPESE GENERALI</v>
          </cell>
          <cell r="E250" t="str">
            <v>W000</v>
          </cell>
          <cell r="F250" t="str">
            <v>a cura di ISE</v>
          </cell>
        </row>
        <row r="251">
          <cell r="C251" t="str">
            <v xml:space="preserve">  -ONERI FINANZIARI</v>
          </cell>
          <cell r="E251" t="str">
            <v>Z000</v>
          </cell>
          <cell r="F251" t="str">
            <v>a cura di ISE</v>
          </cell>
        </row>
        <row r="252">
          <cell r="C252" t="str">
            <v>TOTALE SOTTOCOMMESSA</v>
          </cell>
          <cell r="F252">
            <v>12128000</v>
          </cell>
        </row>
        <row r="262">
          <cell r="A262" t="str">
            <v>COMMESSA</v>
          </cell>
          <cell r="B262" t="str">
            <v>SOTTOC.</v>
          </cell>
          <cell r="C262" t="str">
            <v>DESCRIZIONE</v>
          </cell>
          <cell r="E262" t="str">
            <v>CODICE</v>
          </cell>
          <cell r="F262" t="str">
            <v>IMPORTO</v>
          </cell>
        </row>
        <row r="263">
          <cell r="F263" t="str">
            <v>KLit</v>
          </cell>
        </row>
        <row r="265">
          <cell r="C265" t="str">
            <v xml:space="preserve">  STRUMENTAZIONE D'IMPIANTO</v>
          </cell>
        </row>
        <row r="266">
          <cell r="C266" t="str">
            <v xml:space="preserve">  -SISTEMA DI GESTIONE (D.C.S.)</v>
          </cell>
          <cell r="E266" t="str">
            <v>A680</v>
          </cell>
          <cell r="F266">
            <v>2024000</v>
          </cell>
        </row>
        <row r="267">
          <cell r="C267" t="str">
            <v xml:space="preserve">  -SISTEMA DI CONTROLLO PROCESSO</v>
          </cell>
          <cell r="E267" t="str">
            <v>A680</v>
          </cell>
          <cell r="F267">
            <v>300000</v>
          </cell>
        </row>
        <row r="268">
          <cell r="C268" t="str">
            <v xml:space="preserve">  -SISTEMA DI MANUTENZIONE MAXIMO</v>
          </cell>
          <cell r="E268" t="str">
            <v>A680</v>
          </cell>
          <cell r="F268">
            <v>200000</v>
          </cell>
        </row>
        <row r="269">
          <cell r="C269" t="str">
            <v xml:space="preserve">  -VALVOLE</v>
          </cell>
          <cell r="E269" t="str">
            <v>A680</v>
          </cell>
          <cell r="F269">
            <v>479000</v>
          </cell>
        </row>
        <row r="270">
          <cell r="C270" t="str">
            <v xml:space="preserve">  -BANCO DI CAMPIONAMENTO</v>
          </cell>
          <cell r="E270" t="str">
            <v>A680</v>
          </cell>
          <cell r="F270">
            <v>167000</v>
          </cell>
        </row>
        <row r="271">
          <cell r="C271" t="str">
            <v xml:space="preserve">  -SISTEMA ANALISI FUMI</v>
          </cell>
          <cell r="E271" t="str">
            <v>A680</v>
          </cell>
          <cell r="F271">
            <v>253000</v>
          </cell>
        </row>
        <row r="272">
          <cell r="C272" t="str">
            <v xml:space="preserve">  -STRUMENTAZIONE IN CAMPO E VARIE</v>
          </cell>
          <cell r="E272" t="str">
            <v>A680</v>
          </cell>
          <cell r="F272">
            <v>333000</v>
          </cell>
        </row>
        <row r="273">
          <cell r="C273" t="str">
            <v xml:space="preserve">  -CAVETTERIA E PASSERELLE</v>
          </cell>
          <cell r="E273" t="str">
            <v>A680</v>
          </cell>
          <cell r="F273">
            <v>742000</v>
          </cell>
        </row>
        <row r="274">
          <cell r="C274" t="str">
            <v xml:space="preserve">  -MISURE FISCALI</v>
          </cell>
          <cell r="E274" t="str">
            <v>A680</v>
          </cell>
          <cell r="F274">
            <v>546000</v>
          </cell>
        </row>
        <row r="275">
          <cell r="C275" t="str">
            <v xml:space="preserve">  -IMPREVISTI</v>
          </cell>
          <cell r="E275" t="str">
            <v>U000</v>
          </cell>
          <cell r="F275">
            <v>359000</v>
          </cell>
        </row>
        <row r="276">
          <cell r="C276" t="str">
            <v xml:space="preserve">  -SPESE GENERALI</v>
          </cell>
          <cell r="E276" t="str">
            <v>W000</v>
          </cell>
          <cell r="F276" t="str">
            <v>a cura di ISE</v>
          </cell>
        </row>
        <row r="277">
          <cell r="C277" t="str">
            <v xml:space="preserve">  -ONERI FINANZIARI</v>
          </cell>
          <cell r="E277" t="str">
            <v>Z000</v>
          </cell>
          <cell r="F277" t="str">
            <v>a cura di ISE</v>
          </cell>
        </row>
        <row r="278">
          <cell r="C278" t="str">
            <v>TOTALE SOTTOCOMMESSA</v>
          </cell>
          <cell r="F278">
            <v>5403000</v>
          </cell>
        </row>
        <row r="282">
          <cell r="C282" t="str">
            <v xml:space="preserve">  LAVORI EDILI</v>
          </cell>
        </row>
        <row r="283">
          <cell r="C283" t="str">
            <v xml:space="preserve">  -OPERE CIVILI CENTRALE</v>
          </cell>
          <cell r="E283" t="str">
            <v>L160</v>
          </cell>
          <cell r="F283">
            <v>7340000</v>
          </cell>
        </row>
        <row r="284">
          <cell r="C284" t="str">
            <v xml:space="preserve">  -PALIFICAZIONE</v>
          </cell>
          <cell r="E284" t="str">
            <v>L160</v>
          </cell>
          <cell r="F284">
            <v>3240000</v>
          </cell>
        </row>
        <row r="285">
          <cell r="C285" t="str">
            <v xml:space="preserve">  -FABBRICATI</v>
          </cell>
          <cell r="E285" t="str">
            <v>L160</v>
          </cell>
          <cell r="F285">
            <v>6319000</v>
          </cell>
        </row>
        <row r="286">
          <cell r="C286" t="str">
            <v xml:space="preserve">  -STRUTTURE METALLICHE (pipe rack e carp. minori)</v>
          </cell>
          <cell r="E286" t="str">
            <v>L160</v>
          </cell>
          <cell r="F286">
            <v>1688000</v>
          </cell>
        </row>
        <row r="287">
          <cell r="C287" t="str">
            <v xml:space="preserve">  -OPERA DI PRESA</v>
          </cell>
          <cell r="E287" t="str">
            <v>L160</v>
          </cell>
          <cell r="F287">
            <v>1135000</v>
          </cell>
        </row>
        <row r="288">
          <cell r="C288" t="str">
            <v xml:space="preserve">  -TUBAZIONE ACQUA MARE</v>
          </cell>
          <cell r="E288" t="str">
            <v>L160</v>
          </cell>
          <cell r="F288">
            <v>6401000</v>
          </cell>
        </row>
        <row r="289">
          <cell r="C289" t="str">
            <v xml:space="preserve">  -IMPREVISTI</v>
          </cell>
          <cell r="E289" t="str">
            <v>U000</v>
          </cell>
          <cell r="F289">
            <v>1776000</v>
          </cell>
        </row>
        <row r="290">
          <cell r="C290" t="str">
            <v xml:space="preserve">  -SPESE GENERALI</v>
          </cell>
          <cell r="E290" t="str">
            <v>W000</v>
          </cell>
          <cell r="F290" t="str">
            <v>a cura di ISE</v>
          </cell>
        </row>
        <row r="291">
          <cell r="C291" t="str">
            <v xml:space="preserve">  -ONERI FINANZIARI</v>
          </cell>
          <cell r="E291" t="str">
            <v>Z000</v>
          </cell>
          <cell r="F291" t="str">
            <v>a cura di ISE</v>
          </cell>
        </row>
        <row r="292">
          <cell r="C292" t="str">
            <v>TOTALE SOTTOCOMMESSA</v>
          </cell>
          <cell r="F292">
            <v>27899000</v>
          </cell>
        </row>
        <row r="296">
          <cell r="C296" t="str">
            <v xml:space="preserve">  INGEGNERIA, MONTAGGI, VERNIC., COIBENTAZ.,</v>
          </cell>
        </row>
        <row r="297">
          <cell r="C297" t="str">
            <v xml:space="preserve">  TRASPORTI, VENDOR SPECIALIST, ECC....</v>
          </cell>
        </row>
        <row r="298">
          <cell r="C298" t="str">
            <v xml:space="preserve">  -INGEGNERIA INTERNA (ISE)</v>
          </cell>
          <cell r="E298" t="str">
            <v>I100</v>
          </cell>
          <cell r="F298">
            <v>1500000</v>
          </cell>
        </row>
        <row r="299">
          <cell r="C299" t="str">
            <v xml:space="preserve">  -INGEGNERIA ESTERNA DI BASE (EDISON)</v>
          </cell>
          <cell r="E299" t="str">
            <v>I001</v>
          </cell>
          <cell r="F299">
            <v>1300000</v>
          </cell>
        </row>
        <row r="300">
          <cell r="C300" t="str">
            <v xml:space="preserve">  -INGEGNERIA ESTERNA DI DETTAGLIO (EDF)</v>
          </cell>
          <cell r="E300" t="str">
            <v>I001</v>
          </cell>
          <cell r="F300">
            <v>2450000</v>
          </cell>
        </row>
        <row r="301">
          <cell r="C301" t="str">
            <v xml:space="preserve">  -MONTAGGIO APPARECCHIATURE</v>
          </cell>
          <cell r="E301" t="str">
            <v>L410</v>
          </cell>
          <cell r="F301">
            <v>474000</v>
          </cell>
        </row>
        <row r="302">
          <cell r="C302" t="str">
            <v xml:space="preserve">  -MONTAGGIO TUBAZIONI</v>
          </cell>
          <cell r="E302" t="str">
            <v>L520</v>
          </cell>
          <cell r="F302">
            <v>4984000</v>
          </cell>
        </row>
        <row r="303">
          <cell r="C303" t="str">
            <v xml:space="preserve">  -MONTAGGIO IMPIANTO ELETTRICO </v>
          </cell>
          <cell r="E303" t="str">
            <v>L590</v>
          </cell>
          <cell r="F303">
            <v>2763000</v>
          </cell>
        </row>
        <row r="304">
          <cell r="C304" t="str">
            <v xml:space="preserve">  -MONTAGGIO STRUMENTAZIONE</v>
          </cell>
          <cell r="E304" t="str">
            <v>L680</v>
          </cell>
          <cell r="F304">
            <v>1164000</v>
          </cell>
        </row>
        <row r="305">
          <cell r="C305" t="str">
            <v xml:space="preserve">  -VERNICIATURE</v>
          </cell>
          <cell r="E305" t="str">
            <v>L710</v>
          </cell>
          <cell r="F305">
            <v>752000</v>
          </cell>
        </row>
        <row r="306">
          <cell r="C306" t="str">
            <v xml:space="preserve">  -COIBENTAZIONI</v>
          </cell>
          <cell r="E306" t="str">
            <v>L710</v>
          </cell>
          <cell r="F306">
            <v>468000</v>
          </cell>
        </row>
        <row r="307">
          <cell r="C307" t="str">
            <v xml:space="preserve">  -TRASPORTI</v>
          </cell>
          <cell r="E307" t="str">
            <v>L216</v>
          </cell>
          <cell r="F307">
            <v>406000</v>
          </cell>
        </row>
        <row r="308">
          <cell r="C308" t="str">
            <v xml:space="preserve">  -VENDOR SPECIALIST ALL'AVVIAMENTO</v>
          </cell>
          <cell r="E308" t="str">
            <v>L027</v>
          </cell>
          <cell r="F308">
            <v>1236000</v>
          </cell>
        </row>
        <row r="309">
          <cell r="C309" t="str">
            <v xml:space="preserve">  -ASSICURAZIONI</v>
          </cell>
          <cell r="E309" t="str">
            <v>L221</v>
          </cell>
          <cell r="F309">
            <v>600000</v>
          </cell>
        </row>
        <row r="314">
          <cell r="A314" t="str">
            <v>COMMESSA</v>
          </cell>
          <cell r="B314" t="str">
            <v>SOTTOC.</v>
          </cell>
          <cell r="C314" t="str">
            <v>DESCRIZIONE</v>
          </cell>
          <cell r="E314" t="str">
            <v>CODICE</v>
          </cell>
          <cell r="F314" t="str">
            <v>IMPORTO</v>
          </cell>
        </row>
        <row r="315">
          <cell r="F315" t="str">
            <v>KLit</v>
          </cell>
        </row>
        <row r="317">
          <cell r="C317" t="str">
            <v xml:space="preserve">  -SPECIALISTI AVVIAMENTO</v>
          </cell>
          <cell r="E317" t="str">
            <v>L007</v>
          </cell>
          <cell r="F317">
            <v>2880000</v>
          </cell>
        </row>
        <row r="318">
          <cell r="C318" t="str">
            <v xml:space="preserve">  -MATERIALI PER AVVIAMENTO</v>
          </cell>
          <cell r="E318" t="str">
            <v>A000</v>
          </cell>
          <cell r="F318">
            <v>185000</v>
          </cell>
        </row>
        <row r="319">
          <cell r="C319" t="str">
            <v xml:space="preserve">  -FORNITURE PER AVVIAMENTO</v>
          </cell>
          <cell r="E319" t="str">
            <v>L000</v>
          </cell>
          <cell r="F319">
            <v>185000</v>
          </cell>
        </row>
        <row r="320">
          <cell r="C320" t="str">
            <v xml:space="preserve">  -ADDESTRAMENTO PERSONALE</v>
          </cell>
          <cell r="E320" t="str">
            <v>N010</v>
          </cell>
          <cell r="F320">
            <v>511000</v>
          </cell>
        </row>
        <row r="321">
          <cell r="C321" t="str">
            <v xml:space="preserve">  -ONERI COMUNALI</v>
          </cell>
          <cell r="E321" t="str">
            <v>L200</v>
          </cell>
          <cell r="F321">
            <v>1000000</v>
          </cell>
        </row>
        <row r="322">
          <cell r="C322" t="str">
            <v xml:space="preserve">  -IMPREVISTI</v>
          </cell>
          <cell r="E322" t="str">
            <v>U000</v>
          </cell>
          <cell r="F322">
            <v>1037000</v>
          </cell>
        </row>
        <row r="323">
          <cell r="C323" t="str">
            <v xml:space="preserve">  -SPESE GENERALI</v>
          </cell>
          <cell r="E323" t="str">
            <v>W000</v>
          </cell>
          <cell r="F323" t="str">
            <v>a cura di ISE</v>
          </cell>
        </row>
        <row r="324">
          <cell r="C324" t="str">
            <v xml:space="preserve">  -ONERI FINANZIARI</v>
          </cell>
          <cell r="E324" t="str">
            <v>Z000</v>
          </cell>
          <cell r="F324" t="str">
            <v>a cura di ISE</v>
          </cell>
        </row>
        <row r="325">
          <cell r="C325" t="str">
            <v>TOTALE SOTTOCOMMESSA</v>
          </cell>
          <cell r="F325">
            <v>23895000</v>
          </cell>
        </row>
        <row r="329">
          <cell r="C329" t="str">
            <v xml:space="preserve"> COORDINAMENTO PROGETTO</v>
          </cell>
        </row>
        <row r="330">
          <cell r="C330" t="str">
            <v xml:space="preserve">  -COORDINAMENTO PROGETTO</v>
          </cell>
          <cell r="E330" t="str">
            <v>E000</v>
          </cell>
          <cell r="F330">
            <v>20756000</v>
          </cell>
        </row>
        <row r="331">
          <cell r="C331" t="str">
            <v xml:space="preserve">  -IMPREVISTI</v>
          </cell>
          <cell r="E331" t="str">
            <v>U000</v>
          </cell>
          <cell r="F331">
            <v>0</v>
          </cell>
        </row>
        <row r="332">
          <cell r="C332" t="str">
            <v xml:space="preserve">  -SPESE GENERALI</v>
          </cell>
          <cell r="E332" t="str">
            <v>W000</v>
          </cell>
          <cell r="F332" t="str">
            <v>a cura di ISE</v>
          </cell>
        </row>
        <row r="333">
          <cell r="C333" t="str">
            <v xml:space="preserve">  -ONERI FINANZIARI</v>
          </cell>
          <cell r="E333" t="str">
            <v>Z000</v>
          </cell>
          <cell r="F333" t="str">
            <v>a cura di ISE</v>
          </cell>
        </row>
        <row r="334">
          <cell r="C334" t="str">
            <v>TOTALE SOTTOCOMMESSA</v>
          </cell>
          <cell r="F334">
            <v>20756000</v>
          </cell>
        </row>
        <row r="338">
          <cell r="C338" t="str">
            <v xml:space="preserve"> RICAMBI</v>
          </cell>
        </row>
        <row r="339">
          <cell r="C339" t="str">
            <v xml:space="preserve">  -SCORTE SPECIFICHE</v>
          </cell>
          <cell r="E339" t="str">
            <v>A950</v>
          </cell>
          <cell r="F339">
            <v>4680000</v>
          </cell>
        </row>
        <row r="340">
          <cell r="C340" t="str">
            <v xml:space="preserve">  -IMPREVISTI</v>
          </cell>
          <cell r="E340" t="str">
            <v>U000</v>
          </cell>
          <cell r="F340">
            <v>450000</v>
          </cell>
        </row>
        <row r="341">
          <cell r="C341" t="str">
            <v xml:space="preserve">  -SPESE GENERALI</v>
          </cell>
          <cell r="E341" t="str">
            <v>W000</v>
          </cell>
          <cell r="F341" t="str">
            <v>a cura di ISE</v>
          </cell>
        </row>
        <row r="342">
          <cell r="C342" t="str">
            <v xml:space="preserve">  -ONERI FINANZIARI</v>
          </cell>
          <cell r="E342" t="str">
            <v>Z000</v>
          </cell>
          <cell r="F342" t="str">
            <v>a cura di ISE</v>
          </cell>
        </row>
        <row r="343">
          <cell r="C343" t="str">
            <v>TOTALE SOTTOCOMMESSA</v>
          </cell>
          <cell r="F343">
            <v>5130000</v>
          </cell>
        </row>
        <row r="360">
          <cell r="C360" t="str">
            <v>TOTALE COMMESSA</v>
          </cell>
          <cell r="F360">
            <v>251192000</v>
          </cell>
        </row>
        <row r="418">
          <cell r="A418" t="str">
            <v>COMMESSA</v>
          </cell>
          <cell r="B418" t="str">
            <v>SOTTOC.</v>
          </cell>
          <cell r="C418" t="str">
            <v>DESCRIZIONE</v>
          </cell>
          <cell r="E418" t="str">
            <v>CODICE</v>
          </cell>
          <cell r="F418" t="str">
            <v>IMPORTO</v>
          </cell>
        </row>
        <row r="419">
          <cell r="F419" t="str">
            <v>KLit</v>
          </cell>
        </row>
        <row r="421">
          <cell r="C421" t="str">
            <v>BENI MOBILI</v>
          </cell>
        </row>
        <row r="423">
          <cell r="C423" t="str">
            <v xml:space="preserve"> ATTREZZATURA LABORATORIO E OFFICINA</v>
          </cell>
        </row>
        <row r="424">
          <cell r="C424" t="str">
            <v xml:space="preserve">  -ATTREZZATURE OFFICINA MECCANICA</v>
          </cell>
          <cell r="E424" t="str">
            <v>F000</v>
          </cell>
          <cell r="F424" t="str">
            <v>a cura di ISE</v>
          </cell>
        </row>
        <row r="425">
          <cell r="C425" t="str">
            <v xml:space="preserve">  -ATTREZZATURE LABORATORIO</v>
          </cell>
          <cell r="E425" t="str">
            <v>F000</v>
          </cell>
          <cell r="F425" t="str">
            <v>a cura di ISE</v>
          </cell>
        </row>
        <row r="426">
          <cell r="C426" t="str">
            <v xml:space="preserve">  -IMPREVISTI</v>
          </cell>
          <cell r="E426" t="str">
            <v>U000</v>
          </cell>
          <cell r="F426" t="str">
            <v>a cura di ISE</v>
          </cell>
        </row>
        <row r="427">
          <cell r="C427" t="str">
            <v xml:space="preserve">  -SPESE GENERALI</v>
          </cell>
          <cell r="E427" t="str">
            <v>W000</v>
          </cell>
          <cell r="F427" t="str">
            <v>a cura di ISE</v>
          </cell>
        </row>
        <row r="428">
          <cell r="C428" t="str">
            <v xml:space="preserve">  -ONERI FINANZIARI</v>
          </cell>
          <cell r="E428" t="str">
            <v>Z000</v>
          </cell>
          <cell r="F428" t="str">
            <v>a cura di ISE</v>
          </cell>
        </row>
        <row r="429">
          <cell r="C429" t="str">
            <v>TOTALE SOTTOCOMMESSA</v>
          </cell>
          <cell r="F429">
            <v>0</v>
          </cell>
        </row>
        <row r="432">
          <cell r="C432" t="str">
            <v xml:space="preserve"> MOBILI ED ARREDI</v>
          </cell>
        </row>
        <row r="433">
          <cell r="C433" t="str">
            <v xml:space="preserve">  -MOBILI ED ARREDI</v>
          </cell>
          <cell r="E433" t="str">
            <v>F000</v>
          </cell>
          <cell r="F433" t="str">
            <v>a cura di ISE</v>
          </cell>
        </row>
        <row r="434">
          <cell r="C434" t="str">
            <v xml:space="preserve">  -IMPREVISTI</v>
          </cell>
          <cell r="E434" t="str">
            <v>U000</v>
          </cell>
          <cell r="F434" t="str">
            <v>a cura di ISE</v>
          </cell>
        </row>
        <row r="435">
          <cell r="C435" t="str">
            <v xml:space="preserve">  -SPESE GENERALI</v>
          </cell>
          <cell r="E435" t="str">
            <v>W000</v>
          </cell>
          <cell r="F435" t="str">
            <v>a cura di ISE</v>
          </cell>
        </row>
        <row r="436">
          <cell r="C436" t="str">
            <v xml:space="preserve">  -ONERI FINANZIARI</v>
          </cell>
          <cell r="E436" t="str">
            <v>Z000</v>
          </cell>
          <cell r="F436" t="str">
            <v>a cura di ISE</v>
          </cell>
        </row>
        <row r="437">
          <cell r="C437" t="str">
            <v>TOTALE SOTTOCOMMESSA</v>
          </cell>
          <cell r="F437">
            <v>0</v>
          </cell>
        </row>
        <row r="440">
          <cell r="C440" t="str">
            <v xml:space="preserve"> PERSONAL COMPUTER</v>
          </cell>
        </row>
        <row r="441">
          <cell r="C441" t="str">
            <v xml:space="preserve">  -PERSONAL COMPUTER</v>
          </cell>
          <cell r="E441" t="str">
            <v>F000</v>
          </cell>
          <cell r="F441" t="str">
            <v>a cura di ISE</v>
          </cell>
        </row>
        <row r="442">
          <cell r="C442" t="str">
            <v xml:space="preserve">  -IMPREVISTI</v>
          </cell>
          <cell r="E442" t="str">
            <v>U000</v>
          </cell>
          <cell r="F442" t="str">
            <v>a cura di ISE</v>
          </cell>
        </row>
        <row r="443">
          <cell r="C443" t="str">
            <v xml:space="preserve">  -SPESE GENERALI</v>
          </cell>
          <cell r="E443" t="str">
            <v>W000</v>
          </cell>
          <cell r="F443" t="str">
            <v>a cura di ISE</v>
          </cell>
        </row>
        <row r="444">
          <cell r="C444" t="str">
            <v xml:space="preserve">  -ONERI FINANZIARI</v>
          </cell>
          <cell r="E444" t="str">
            <v>Z000</v>
          </cell>
          <cell r="F444" t="str">
            <v>a cura di ISE</v>
          </cell>
        </row>
        <row r="445">
          <cell r="C445" t="str">
            <v>TOTALE SOTTOCOMMESSA</v>
          </cell>
          <cell r="F445">
            <v>0</v>
          </cell>
        </row>
        <row r="448">
          <cell r="C448" t="str">
            <v xml:space="preserve"> TELEFONI PORTATILI</v>
          </cell>
        </row>
        <row r="449">
          <cell r="C449" t="str">
            <v xml:space="preserve">  -TELEFONI PORTATILI</v>
          </cell>
          <cell r="E449" t="str">
            <v>F000</v>
          </cell>
          <cell r="F449" t="str">
            <v>a cura di ISE</v>
          </cell>
        </row>
        <row r="450">
          <cell r="C450" t="str">
            <v xml:space="preserve">  -IMPREVISTI</v>
          </cell>
          <cell r="E450" t="str">
            <v>U000</v>
          </cell>
          <cell r="F450" t="str">
            <v>a cura di ISE</v>
          </cell>
        </row>
        <row r="451">
          <cell r="C451" t="str">
            <v xml:space="preserve">  -SPESE GENERALI</v>
          </cell>
          <cell r="E451" t="str">
            <v>W000</v>
          </cell>
          <cell r="F451" t="str">
            <v>a cura di ISE</v>
          </cell>
        </row>
        <row r="452">
          <cell r="C452" t="str">
            <v xml:space="preserve">  -ONERI FINANZIARI</v>
          </cell>
          <cell r="E452" t="str">
            <v>Z000</v>
          </cell>
          <cell r="F452" t="str">
            <v>a cura di ISE</v>
          </cell>
        </row>
        <row r="453">
          <cell r="C453" t="str">
            <v>TOTALE SOTTOCOMMESSA</v>
          </cell>
          <cell r="F453">
            <v>0</v>
          </cell>
        </row>
        <row r="464">
          <cell r="C464" t="str">
            <v>TOTALE COMMESSA</v>
          </cell>
          <cell r="F464">
            <v>850000</v>
          </cell>
        </row>
        <row r="469">
          <cell r="A469" t="str">
            <v>COMMESSA</v>
          </cell>
          <cell r="B469" t="str">
            <v>SOTTOC.</v>
          </cell>
          <cell r="C469" t="str">
            <v>DESCRIZIONE</v>
          </cell>
          <cell r="E469" t="str">
            <v>CODICE</v>
          </cell>
          <cell r="F469" t="str">
            <v>IMPORTO</v>
          </cell>
        </row>
        <row r="470">
          <cell r="F470" t="str">
            <v>KLit</v>
          </cell>
        </row>
        <row r="473">
          <cell r="C473" t="str">
            <v>CONTRIBUTI ALLACCIAMENTI</v>
          </cell>
        </row>
        <row r="476">
          <cell r="C476" t="str">
            <v xml:space="preserve"> ALLACCIAMENTO ELETTRICO</v>
          </cell>
        </row>
        <row r="477">
          <cell r="C477" t="str">
            <v xml:space="preserve">  -CONTRIBUTO ALLACCIAMENTO ENEL</v>
          </cell>
          <cell r="E477" t="str">
            <v>P000</v>
          </cell>
          <cell r="F477">
            <v>7800000</v>
          </cell>
        </row>
        <row r="478">
          <cell r="C478" t="str">
            <v xml:space="preserve">  -IMPREVISTI</v>
          </cell>
          <cell r="E478" t="str">
            <v>U000</v>
          </cell>
          <cell r="F478">
            <v>0</v>
          </cell>
        </row>
        <row r="479">
          <cell r="C479" t="str">
            <v xml:space="preserve">  -SPESE GENERALI</v>
          </cell>
          <cell r="E479" t="str">
            <v>W000</v>
          </cell>
          <cell r="F479" t="str">
            <v>a cura di ISE</v>
          </cell>
        </row>
        <row r="480">
          <cell r="C480" t="str">
            <v xml:space="preserve">  -ONERI FINANZIARI</v>
          </cell>
          <cell r="E480" t="str">
            <v>Z000</v>
          </cell>
          <cell r="F480" t="str">
            <v>a cura di ISE</v>
          </cell>
        </row>
        <row r="481">
          <cell r="C481" t="str">
            <v>TOTALE SOTTOCOMMESSA</v>
          </cell>
          <cell r="F481">
            <v>7800000</v>
          </cell>
        </row>
        <row r="485">
          <cell r="C485" t="str">
            <v xml:space="preserve"> CONTRIBUTO ALLACCIAMENTO GAS</v>
          </cell>
        </row>
        <row r="486">
          <cell r="C486" t="str">
            <v xml:space="preserve">  -CONTRIBUTO ALLACCIAMENTO SNAM</v>
          </cell>
          <cell r="E486" t="str">
            <v>P000</v>
          </cell>
          <cell r="F486">
            <v>2000000</v>
          </cell>
        </row>
        <row r="487">
          <cell r="C487" t="str">
            <v xml:space="preserve">  -IMPREVISTI</v>
          </cell>
          <cell r="E487" t="str">
            <v>U000</v>
          </cell>
          <cell r="F487">
            <v>0</v>
          </cell>
        </row>
        <row r="488">
          <cell r="C488" t="str">
            <v xml:space="preserve">  -SPESE GENERALI</v>
          </cell>
          <cell r="E488" t="str">
            <v>W000</v>
          </cell>
          <cell r="F488" t="str">
            <v>a cura di ISE</v>
          </cell>
        </row>
        <row r="489">
          <cell r="C489" t="str">
            <v xml:space="preserve">  -ONERI FINANZIARI</v>
          </cell>
          <cell r="E489" t="str">
            <v>Z000</v>
          </cell>
          <cell r="F489" t="str">
            <v>a cura di ISE</v>
          </cell>
        </row>
        <row r="490">
          <cell r="C490" t="str">
            <v>TOTALE SOTTOCOMMESSA</v>
          </cell>
          <cell r="F490">
            <v>2000000</v>
          </cell>
        </row>
        <row r="515">
          <cell r="C515" t="str">
            <v>TOTALE COMMESSA</v>
          </cell>
          <cell r="F515">
            <v>9800000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I Edison Termoelettrica"/>
      <sheetName val="piperack "/>
    </sheetNames>
    <sheetDataSet>
      <sheetData sheetId="0"/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_90_H2"/>
      <sheetName val="E19"/>
      <sheetName val="E48"/>
      <sheetName val="R.E. Works"/>
      <sheetName val="Telecom."/>
      <sheetName val="Summary"/>
      <sheetName val="Eng. &amp; Transport"/>
      <sheetName val="E19 (Schreibgeschützt)"/>
      <sheetName val="E48 (schreibgeschützt)"/>
      <sheetName val="R.E. Wrks (schreibtgeschützt)"/>
      <sheetName val="Telecomm (screibgeschützt)"/>
      <sheetName val="Summary (schreibgeschützt)"/>
      <sheetName val="TeleC-35 (geschützt)"/>
      <sheetName val="TeleC-36 (geschützt)"/>
      <sheetName val="TeleC-37 (geschützt)"/>
      <sheetName val="TeleC-38 (geschützt)"/>
      <sheetName val="TeleC-38a (geschützt)"/>
      <sheetName val="Data Sheet"/>
      <sheetName val="Details-Smelter"/>
      <sheetName val="R_E__Works"/>
      <sheetName val="Telecom_"/>
      <sheetName val="Eng__&amp;_Transport"/>
      <sheetName val="E19_(Schreibgeschützt)"/>
      <sheetName val="E48_(schreibgeschützt)"/>
      <sheetName val="R_E__Wrks_(schreibtgeschützt)"/>
      <sheetName val="Telecomm_(screibgeschützt)"/>
      <sheetName val="Summary_(schreibgeschützt)"/>
      <sheetName val="TeleC-35_(geschützt)"/>
      <sheetName val="TeleC-36_(geschützt)"/>
      <sheetName val="TeleC-37_(geschützt)"/>
      <sheetName val="TeleC-38_(geschützt)"/>
      <sheetName val="TeleC-38a_(geschützt)"/>
      <sheetName val="Data_Sheet"/>
      <sheetName val="C"/>
      <sheetName val="EA_Sheet"/>
      <sheetName val="R_E__Works1"/>
      <sheetName val="Telecom_1"/>
      <sheetName val="Eng__&amp;_Transport1"/>
      <sheetName val="E19_(Schreibgeschützt)1"/>
      <sheetName val="E48_(schreibgeschützt)1"/>
      <sheetName val="R_E__Wrks_(schreibtgeschützt)1"/>
      <sheetName val="Telecomm_(screibgeschützt)1"/>
      <sheetName val="Summary_(schreibgeschützt)1"/>
      <sheetName val="TeleC-35_(geschützt)1"/>
      <sheetName val="TeleC-36_(geschützt)1"/>
      <sheetName val="TeleC-37_(geschützt)1"/>
      <sheetName val="TeleC-38_(geschützt)1"/>
      <sheetName val="TeleC-38a_(geschützt)1"/>
    </sheetNames>
    <sheetDataSet>
      <sheetData sheetId="0">
        <row r="4">
          <cell r="G4">
            <v>0.26595744680851063</v>
          </cell>
        </row>
        <row r="35">
          <cell r="C35">
            <v>13184775.128</v>
          </cell>
        </row>
        <row r="42">
          <cell r="C42">
            <v>18952544.758977193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anical"/>
      <sheetName val="Bid Form 3 - BSA Mechanical &amp; E"/>
    </sheetNames>
    <definedNames>
      <definedName name="alfa" refersTo="#REF!"/>
      <definedName name="area2" refersTo="#REF!"/>
      <definedName name="AREA3" refersTo="#REF!"/>
      <definedName name="Botón2_AlHacerClic" refersTo="#REF!"/>
      <definedName name="preup_ib" refersTo="#REF!"/>
    </definedNames>
    <sheetDataSet>
      <sheetData sheetId="0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Electrical Load List"/>
      <sheetName val="io-summary"/>
      <sheetName val="BQ List"/>
      <sheetName val="FRONT_SHT_"/>
      <sheetName val="FRONT_SHT_1"/>
      <sheetName val="Insts"/>
      <sheetName val="LV induction motors"/>
      <sheetName val="Air Cooler-E"/>
      <sheetName val="DS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  차"/>
      <sheetName val="품  의"/>
      <sheetName val="TSum(원안) "/>
      <sheetName val="TSum(대안1) "/>
      <sheetName val="TSum(대안2) "/>
      <sheetName val="Project Brief"/>
      <sheetName val="공사수행방안"/>
      <sheetName val="PC SUM"/>
      <sheetName val="제출용"/>
      <sheetName val="조직도 "/>
      <sheetName val="MANNING"/>
      <sheetName val="현장경비"/>
      <sheetName val="가설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"/>
      <sheetName val="BP"/>
      <sheetName val="공사수행방안"/>
      <sheetName val="OH &amp; Discounts"/>
      <sheetName val="Comp. div. 8"/>
      <sheetName val="Activity(new)"/>
      <sheetName val="Total(new)"/>
      <sheetName val="#REF"/>
      <sheetName val="BOQ"/>
      <sheetName val="mechanical"/>
      <sheetName val="LV induction motors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Net rent analysis"/>
      <sheetName val="Rents committed"/>
      <sheetName val="LCC profit share calculation"/>
      <sheetName val="Loan A interest guarantee"/>
      <sheetName val="Villa Type J"/>
      <sheetName val="Amortization Table"/>
      <sheetName val="Sn3pt3Appx2UR-LNGtrain"/>
      <sheetName val="أسعار الخامات"/>
      <sheetName val="أسعار المصنعيات"/>
      <sheetName val="أسعار المعدات"/>
      <sheetName val="خرسانات"/>
      <sheetName val="أسعار التكلفة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Ra  stair"/>
      <sheetName val="Admin"/>
      <sheetName val="Opening Cash Position"/>
      <sheetName val="Account Codes"/>
      <sheetName val="BQ"/>
      <sheetName val="2.2 STAFF Scedule"/>
      <sheetName val="A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Areas"/>
      <sheetName val="Ratios"/>
      <sheetName val="P&amp;L"/>
      <sheetName val="Codes"/>
      <sheetName val="Rate analysis"/>
      <sheetName val="TBAL9697 -group wise  sdpl"/>
      <sheetName val="Z- GENERAL PRICE SUMMARY"/>
      <sheetName val="C3"/>
      <sheetName val="List of All Steel Properties"/>
      <sheetName val="données et résultats"/>
      <sheetName val="VARNS"/>
      <sheetName val=" V20-G#3(4of4)"/>
      <sheetName val="CERTIFICATE"/>
      <sheetName val="Bill 1"/>
      <sheetName val="Bill 2"/>
      <sheetName val="Bill 3"/>
      <sheetName val="Bill 4"/>
      <sheetName val="Bill 5"/>
      <sheetName val="Bill 6"/>
      <sheetName val="Bill 7"/>
      <sheetName val="FitOutConfCentre"/>
      <sheetName val="Details for Charts"/>
      <sheetName val="总概算"/>
      <sheetName val="TRANSDUCERS"/>
      <sheetName val="合成単価作成表-bldg"/>
      <sheetName val="WITHOUT C&amp;I PROFIT (3)"/>
      <sheetName val="Rate_analysis1"/>
      <sheetName val="Rate_analysis"/>
      <sheetName val="Substructure"/>
      <sheetName val="Additional Items"/>
      <sheetName val="Earthworks"/>
      <sheetName val="Envelope"/>
      <sheetName val="External Site Improvement"/>
      <sheetName val="Finishes"/>
      <sheetName val="Infrastructure"/>
      <sheetName val="M+E 1st Fix"/>
      <sheetName val="M+E 2nd Fix"/>
      <sheetName val="Provisional Sums"/>
      <sheetName val="Superstructure"/>
      <sheetName val="airport_codes_20070710 (2)"/>
      <sheetName val="Basis"/>
    </sheetNames>
    <sheetDataSet>
      <sheetData sheetId="0" refreshError="1">
        <row r="2">
          <cell r="H2" t="str">
            <v>: PRC 750</v>
          </cell>
        </row>
        <row r="3">
          <cell r="K3" t="str">
            <v>PRC E750 SBC 012</v>
          </cell>
        </row>
        <row r="4">
          <cell r="H4" t="str">
            <v>: ALXEANDRIA, EGYPT</v>
          </cell>
        </row>
        <row r="5">
          <cell r="H5" t="str">
            <v>: BLOCK 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">
          <cell r="H2" t="str">
            <v>As Per Contractor Basis of Proposal</v>
          </cell>
        </row>
      </sheetData>
      <sheetData sheetId="48">
        <row r="2">
          <cell r="H2" t="str">
            <v>As Per Contractor Basis of Proposal</v>
          </cell>
        </row>
      </sheetData>
      <sheetData sheetId="49">
        <row r="2">
          <cell r="H2" t="str">
            <v>As Per Contractor Basis of Proposal</v>
          </cell>
        </row>
      </sheetData>
      <sheetData sheetId="50"/>
      <sheetData sheetId="51">
        <row r="2">
          <cell r="H2" t="str">
            <v>As Per Contractor Basis of Proposal</v>
          </cell>
        </row>
      </sheetData>
      <sheetData sheetId="52"/>
      <sheetData sheetId="53">
        <row r="2">
          <cell r="H2" t="str">
            <v>As Per Contractor Basis of Proposal</v>
          </cell>
        </row>
      </sheetData>
      <sheetData sheetId="54"/>
      <sheetData sheetId="55">
        <row r="2">
          <cell r="H2" t="str">
            <v>As Per Contractor Basis of Proposal</v>
          </cell>
        </row>
      </sheetData>
      <sheetData sheetId="56"/>
      <sheetData sheetId="57">
        <row r="2">
          <cell r="H2" t="str">
            <v>As Per Contractor Basis of Proposal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 campo 2"/>
      <sheetName val="Confi campo 3"/>
      <sheetName val="Radiación horiz _otras fuentes"/>
      <sheetName val="Configuración"/>
      <sheetName val="Confi campo 1"/>
      <sheetName val="Inversores"/>
      <sheetName val="Config memoria"/>
      <sheetName val="BALANCE TOTAL"/>
      <sheetName val="Radiación horiz_SODA"/>
      <sheetName val="Tabla de generación 1"/>
      <sheetName val="BALANCES CAMPO 1"/>
      <sheetName val="BALANCES CAMPO 2"/>
      <sheetName val="BALANCES CAMPO 3"/>
      <sheetName val="Energía campo 1"/>
      <sheetName val="Energía campo 2 "/>
      <sheetName val="Energía campo 3 "/>
      <sheetName val="Módulos"/>
      <sheetName val="Tabla de generación 2"/>
      <sheetName val="Seguimiento 2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"/>
      <sheetName val="BP"/>
      <sheetName val="Basis"/>
      <sheetName val="Lift"/>
      <sheetName val=" Structural"/>
      <sheetName val="Architectural"/>
      <sheetName val="Recap Travel.Crane"/>
      <sheetName val="#REF"/>
      <sheetName val="fitoutconfcentre"/>
      <sheetName val="Rate Cambo"/>
      <sheetName val="Apartment 100"/>
      <sheetName val="Paired Homes 198"/>
      <sheetName val="Motorcourt 200"/>
      <sheetName val="Villa 244"/>
      <sheetName val="Villa 434"/>
      <sheetName val="Villa 515"/>
      <sheetName val="Total  Amount"/>
      <sheetName val="Ra  stair"/>
      <sheetName val="Details"/>
      <sheetName val="Account Codes"/>
      <sheetName val="Rate analysis"/>
      <sheetName val="Table"/>
      <sheetName val="External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Sheet2 (2)"/>
      <sheetName val="Estimate"/>
      <sheetName val="Sn3pt3Appx2UR-LNGtrain"/>
      <sheetName val="Ratios"/>
      <sheetName val="P&amp;L"/>
      <sheetName val="cables"/>
      <sheetName val="Electrical Works"/>
      <sheetName val="Sheet2"/>
      <sheetName val="BOQ"/>
      <sheetName val="power"/>
      <sheetName val="z- general price summary"/>
      <sheetName val="without c&amp;i profit (3)"/>
      <sheetName val="Rate_analysis"/>
      <sheetName val="Elect."/>
      <sheetName val="Intro"/>
      <sheetName val="Summary"/>
      <sheetName val="3"/>
      <sheetName val="rc01"/>
      <sheetName val="LTR-2"/>
      <sheetName val="P-2002"/>
      <sheetName val="أسعار الخامات"/>
      <sheetName val="أسعار التكلفة"/>
      <sheetName val="أسعار المصنعيات"/>
      <sheetName val="أسعار المعدات"/>
      <sheetName val="خرسانات"/>
      <sheetName val="STEEL RATIO"/>
      <sheetName val="CERTIFICATE"/>
      <sheetName val="OH &amp; Discounts"/>
      <sheetName val="17"/>
      <sheetName val="11"/>
      <sheetName val="7"/>
      <sheetName val="21"/>
      <sheetName val="25"/>
      <sheetName val="18"/>
      <sheetName val="15"/>
      <sheetName val="29"/>
      <sheetName val="20"/>
      <sheetName val="analysis"/>
      <sheetName val="Criteria"/>
      <sheetName val="영업소실적"/>
      <sheetName val="Data"/>
      <sheetName val=" Logs"/>
      <sheetName val="Assumptions"/>
      <sheetName val="@risk rents and incentives"/>
      <sheetName val="Car park lease"/>
      <sheetName val="Net rent analysis"/>
      <sheetName val="Data Entry Sheet"/>
      <sheetName val="named ranges"/>
      <sheetName val="Title"/>
      <sheetName val="ONCOST-N_top sheet j&amp;p"/>
      <sheetName val="Contents"/>
      <sheetName val="Front Cover"/>
      <sheetName val="Schedule of Areas (Conf.)"/>
      <sheetName val="T&amp;M"/>
      <sheetName val="Bk2Paint"/>
      <sheetName val="Rate_analysis1"/>
      <sheetName val="Rate_analysis3"/>
      <sheetName val="Rate_analysis2"/>
      <sheetName val="Indirect"/>
      <sheetName val="Formulas"/>
      <sheetName val="Rate_analysis4"/>
      <sheetName val="Elect_"/>
      <sheetName val="Apartment_100"/>
      <sheetName val="Paired_Homes_198"/>
      <sheetName val="Motorcourt_200"/>
      <sheetName val="Villa_244"/>
      <sheetName val="Villa_434"/>
      <sheetName val="Villa_515"/>
      <sheetName val="_Logs"/>
      <sheetName val="@risk_rents_and_incentives"/>
      <sheetName val="Car_park_lease"/>
      <sheetName val="Net_rent_analysis"/>
      <sheetName val="Data_Entry_Sheet"/>
      <sheetName val="named_ranges"/>
      <sheetName val="ONCOST-N_top_sheet_j&amp;p"/>
      <sheetName val="Front_Cover"/>
      <sheetName val="_Structural"/>
      <sheetName val="Schedule_of_Areas_(Conf_)"/>
      <sheetName val="Sheet1"/>
      <sheetName val="anti-termite"/>
      <sheetName val="SOA"/>
      <sheetName val="GRSummary"/>
      <sheetName val="Notes"/>
      <sheetName val="swimming pool tiles"/>
      <sheetName val="Rate_analysis5"/>
      <sheetName val="Rate_analysis6"/>
      <sheetName val="Day work"/>
      <sheetName val="Rate_analysis7"/>
      <sheetName val="Elect_1"/>
      <sheetName val="Rate_analysis8"/>
      <sheetName val="Elect_2"/>
      <sheetName val="@risk_rents_and_incentives1"/>
      <sheetName val="Car_park_lease1"/>
      <sheetName val="Net_rent_analysis1"/>
      <sheetName val="PROGRAMME"/>
      <sheetName val="PROG SUMMARY"/>
      <sheetName val="Bill 1"/>
      <sheetName val="Bill 2"/>
      <sheetName val="Bill 3"/>
      <sheetName val="Bill 4"/>
      <sheetName val="Bill 5"/>
      <sheetName val="Bill 6"/>
      <sheetName val="Bill 7"/>
      <sheetName val="LOUVERS"/>
      <sheetName val="tender allowances"/>
      <sheetName val="Rate_analysis9"/>
      <sheetName val="Elect_3"/>
      <sheetName val="@risk_rents_and_incentives2"/>
      <sheetName val="Car_park_lease2"/>
      <sheetName val="Net_rent_analysis2"/>
      <sheetName val="G29A"/>
    </sheetNames>
    <sheetDataSet>
      <sheetData sheetId="0" refreshError="1">
        <row r="3">
          <cell r="H3" t="str">
            <v>: PRC E750</v>
          </cell>
        </row>
        <row r="4">
          <cell r="H4" t="str">
            <v>: AMOC</v>
          </cell>
        </row>
        <row r="5">
          <cell r="H5" t="str">
            <v>: AMLEXANDRIA, EGYPT</v>
          </cell>
        </row>
        <row r="6">
          <cell r="H6" t="str">
            <v>: BLOCK 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H3" t="str">
            <v>Variation details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H3" t="str">
            <v>Variation details</v>
          </cell>
        </row>
      </sheetData>
      <sheetData sheetId="24">
        <row r="3">
          <cell r="H3" t="str">
            <v>Variation details</v>
          </cell>
        </row>
      </sheetData>
      <sheetData sheetId="25">
        <row r="3">
          <cell r="H3" t="str">
            <v>Variation details</v>
          </cell>
        </row>
      </sheetData>
      <sheetData sheetId="26">
        <row r="3">
          <cell r="H3" t="str">
            <v>Variation details</v>
          </cell>
        </row>
      </sheetData>
      <sheetData sheetId="27">
        <row r="3">
          <cell r="H3" t="str">
            <v>Variation details</v>
          </cell>
        </row>
      </sheetData>
      <sheetData sheetId="28">
        <row r="3">
          <cell r="H3" t="str">
            <v>Variation details</v>
          </cell>
        </row>
      </sheetData>
      <sheetData sheetId="29">
        <row r="3">
          <cell r="H3" t="str">
            <v>Variation details</v>
          </cell>
        </row>
      </sheetData>
      <sheetData sheetId="30">
        <row r="3">
          <cell r="H3" t="str">
            <v>Variation details</v>
          </cell>
        </row>
      </sheetData>
      <sheetData sheetId="31">
        <row r="3">
          <cell r="H3" t="str">
            <v>Variation details</v>
          </cell>
        </row>
      </sheetData>
      <sheetData sheetId="32">
        <row r="3">
          <cell r="H3" t="str">
            <v>Variation details</v>
          </cell>
        </row>
      </sheetData>
      <sheetData sheetId="33">
        <row r="3">
          <cell r="H3" t="str">
            <v>Variation details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3">
          <cell r="H3" t="str">
            <v>Variation details</v>
          </cell>
        </row>
      </sheetData>
      <sheetData sheetId="137">
        <row r="3">
          <cell r="H3" t="str">
            <v>Variation details</v>
          </cell>
        </row>
      </sheetData>
      <sheetData sheetId="138">
        <row r="3">
          <cell r="H3" t="str">
            <v>Variation details</v>
          </cell>
        </row>
      </sheetData>
      <sheetData sheetId="139">
        <row r="3">
          <cell r="H3" t="str">
            <v>Variation details</v>
          </cell>
        </row>
      </sheetData>
      <sheetData sheetId="140">
        <row r="3">
          <cell r="H3" t="str">
            <v>Variation details</v>
          </cell>
        </row>
      </sheetData>
      <sheetData sheetId="141">
        <row r="3">
          <cell r="H3" t="str">
            <v>Variation details</v>
          </cell>
        </row>
      </sheetData>
      <sheetData sheetId="142">
        <row r="3">
          <cell r="H3" t="str">
            <v>Variation details</v>
          </cell>
        </row>
      </sheetData>
      <sheetData sheetId="143">
        <row r="3">
          <cell r="H3" t="str">
            <v>Variation details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3">
          <cell r="H3" t="str">
            <v>Variation details</v>
          </cell>
        </row>
      </sheetData>
      <sheetData sheetId="153">
        <row r="3">
          <cell r="H3" t="str">
            <v>Variation details</v>
          </cell>
        </row>
      </sheetData>
      <sheetData sheetId="154">
        <row r="3">
          <cell r="H3" t="str">
            <v>Variation details</v>
          </cell>
        </row>
      </sheetData>
      <sheetData sheetId="155">
        <row r="3">
          <cell r="H3" t="str">
            <v>Variation details</v>
          </cell>
        </row>
      </sheetData>
      <sheetData sheetId="156">
        <row r="3">
          <cell r="H3" t="str">
            <v>Variation details</v>
          </cell>
        </row>
      </sheetData>
      <sheetData sheetId="157">
        <row r="3">
          <cell r="H3" t="str">
            <v>Variation details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CONDICIONES COMERCIALES "/>
      <sheetName val="ANEXO 1"/>
      <sheetName val="ANEXO 1 2.1 Tabla 1"/>
      <sheetName val="ANEXO 1 2.2.1 (BUND 101)"/>
      <sheetName val="ANEXO 1 2.2.1 (BUND 102)"/>
      <sheetName val="ANEXO 1 2.2.1 (BUND 103)"/>
      <sheetName val="ANEXO 1 2.2.1 (STORAGE-PUMPING)"/>
      <sheetName val="ANEXO 1 2.2.1 (DOCK LINES)"/>
      <sheetName val="ANEXO 1 2.2.1 (HEATING-COOLING)"/>
      <sheetName val="ANEXO 1 2.2.1 (JETTY)"/>
      <sheetName val="ANEXO 1 2.2.1 (VARIOS)"/>
      <sheetName val="ANEXO 1 2.2.1 (EQUIPOS) (2)"/>
      <sheetName val="SOPORTES"/>
      <sheetName val="VALVULAS"/>
      <sheetName val="Tub. Menor"/>
      <sheetName val="ANEXO 1 2.3 Tabla 3"/>
      <sheetName val="ANEXO 1 2.4 Tabla 4"/>
      <sheetName val="ANEXO 1 2.5 Tabla 5"/>
      <sheetName val="ANEXO 1.3.1 Tabla 6"/>
      <sheetName val="ANEXO 3"/>
      <sheetName val="ANEXO 4 PROGRAMACION"/>
      <sheetName val="AN"/>
      <sheetName val="CONDICIONES_COMERCIALES_"/>
      <sheetName val="ANEXO_1"/>
      <sheetName val="ANEXO_1_2_1_Tabla_1"/>
      <sheetName val="ANEXO_1_2_2_1_(BUND_101)"/>
      <sheetName val="ANEXO_1_2_2_1_(BUND_102)"/>
      <sheetName val="ANEXO_1_2_2_1_(BUND_103)"/>
      <sheetName val="ANEXO_1_2_2_1_(STORAGE-PUMPING)"/>
      <sheetName val="ANEXO_1_2_2_1_(DOCK_LINES)"/>
      <sheetName val="ANEXO_1_2_2_1_(HEATING-COOLING)"/>
      <sheetName val="ANEXO_1_2_2_1_(JETTY)"/>
      <sheetName val="ANEXO_1_2_2_1_(VARIOS)"/>
      <sheetName val="ANEXO_1_2_2_1_(EQUIPOS)_(2)"/>
      <sheetName val="Tub__Menor"/>
      <sheetName val="ANEXO_1_2_3_Tabla_3"/>
      <sheetName val="ANEXO_1_2_4_Tabla_4"/>
      <sheetName val="ANEXO_1_2_5_Tabla_5"/>
      <sheetName val="ANEXO_1_3_1_Tabla_6"/>
      <sheetName val="ANEXO_3"/>
      <sheetName val="ANEXO_4_PROGRAMAC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환산표"/>
      <sheetName val="Qo-1585"/>
      <sheetName val="TTL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he-PPL"/>
      <sheetName val="Sithe_PPL"/>
      <sheetName val="Main data"/>
      <sheetName val="-0.5 TABLA PRESUPUESTO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 t="str">
            <v>Stock</v>
          </cell>
        </row>
        <row r="2">
          <cell r="A2" t="str">
            <v>1 week</v>
          </cell>
        </row>
        <row r="3">
          <cell r="A3" t="str">
            <v>2 weeks</v>
          </cell>
        </row>
        <row r="4">
          <cell r="A4" t="str">
            <v>3-4 weeks</v>
          </cell>
        </row>
        <row r="5">
          <cell r="A5" t="str">
            <v>4-6 weeks</v>
          </cell>
        </row>
        <row r="6">
          <cell r="A6" t="str">
            <v>6-8 weeks</v>
          </cell>
        </row>
        <row r="7">
          <cell r="A7" t="str">
            <v>8-10 weeks</v>
          </cell>
        </row>
        <row r="8">
          <cell r="A8" t="str">
            <v>10-12-weeks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 for Rate Entry"/>
      <sheetName val="Summary"/>
      <sheetName val="Bill 1"/>
      <sheetName val="Bill 2"/>
      <sheetName val="Bill 3"/>
      <sheetName val="Bill 4"/>
      <sheetName val="Bill 5"/>
      <sheetName val="Bill 6"/>
      <sheetName val="Bill 7"/>
      <sheetName val="Details"/>
      <sheetName val="Div.2"/>
      <sheetName val="boq"/>
      <sheetName val="Assumptions"/>
      <sheetName val="@risk rents and incentives"/>
      <sheetName val="Car park lease"/>
      <sheetName val="Net rent analysis"/>
      <sheetName val="AN"/>
      <sheetName val="ancillary"/>
      <sheetName val="REINF-WTM"/>
      <sheetName val="EC(Rev)"/>
      <sheetName val="FitOutConfCentre"/>
      <sheetName val="Bill"/>
      <sheetName val="Trade Summary"/>
      <sheetName val="Instructions__for_Rate_Entry"/>
      <sheetName val="Bill_1"/>
      <sheetName val="Bill_2"/>
      <sheetName val="Bill_3"/>
      <sheetName val="Bill_4"/>
      <sheetName val="Bill_5"/>
      <sheetName val="Bill_6"/>
      <sheetName val="Bill_7"/>
      <sheetName val="Details_for_Charts"/>
      <sheetName val="Data"/>
      <sheetName val="Background"/>
      <sheetName val="Basis"/>
      <sheetName val="Currency"/>
      <sheetName val="PROJECT BRIEF(EX.NEW)"/>
      <sheetName val="Trade_Summary"/>
      <sheetName val="plntmech"/>
      <sheetName val="lbrrate"/>
      <sheetName val="lbr"/>
      <sheetName val="fab"/>
      <sheetName val="pmv"/>
      <sheetName val="camp"/>
      <sheetName val="Option"/>
      <sheetName val="CALCULATIONS - ROAD WK"/>
      <sheetName val="CALCULATIONS - STRUC WK"/>
      <sheetName val="RR INT - N&amp;S WALL - CONC"/>
      <sheetName val="MEASUREMENT"/>
      <sheetName val="imput costi par."/>
      <sheetName val=""/>
      <sheetName val="514-9-BQ-ADD-R1"/>
      <sheetName val="BILL-1"/>
      <sheetName val="BILL-2"/>
      <sheetName val="BILL-3"/>
      <sheetName val="BILL-4"/>
      <sheetName val="Raw Data"/>
      <sheetName val="Formulas"/>
      <sheetName val="T&amp;M"/>
      <sheetName val="Instructions__for_Rate_Entry1"/>
      <sheetName val="Bill_11"/>
      <sheetName val="Bill_21"/>
      <sheetName val="Bill_31"/>
      <sheetName val="Bill_41"/>
      <sheetName val="Bill_51"/>
      <sheetName val="Bill_61"/>
      <sheetName val="Bill_71"/>
      <sheetName val="Trade_Summary1"/>
      <sheetName val="CALCULATIONS_-_ROAD_WK"/>
      <sheetName val="CALCULATIONS_-_STRUC_WK"/>
      <sheetName val="RR_INT_-_N&amp;S_WALL_-_CONC"/>
      <sheetName val="@risk_rents_and_incentives"/>
      <sheetName val="Car_park_lease"/>
      <sheetName val="Net_rent_analysis"/>
      <sheetName val="Instructions__for_Rate_Entry2"/>
      <sheetName val="Bill_12"/>
      <sheetName val="Bill_22"/>
      <sheetName val="Bill_32"/>
      <sheetName val="Bill_42"/>
      <sheetName val="Bill_52"/>
      <sheetName val="Bill_62"/>
      <sheetName val="Bill_72"/>
      <sheetName val="Trade_Summary2"/>
      <sheetName val="CALCULATIONS_-_ROAD_WK1"/>
      <sheetName val="CALCULATIONS_-_STRUC_WK1"/>
      <sheetName val="RR_INT_-_N&amp;S_WALL_-_CONC1"/>
      <sheetName val="@risk_rents_and_incentives1"/>
      <sheetName val="Car_park_lease1"/>
      <sheetName val="Net_rent_analysis1"/>
      <sheetName val="أسعار الخامات"/>
      <sheetName val="أسعار المصنعيات"/>
      <sheetName val="أسعار المعدات"/>
      <sheetName val="خرسانات"/>
      <sheetName val="أسعار التكلفة"/>
      <sheetName val="Estimate"/>
      <sheetName val="BudgetData"/>
      <sheetName val="CostCenterList"/>
      <sheetName val="اهلاك العدة"/>
      <sheetName val=" V20-G#3(4of4)"/>
      <sheetName val="z- general price summary"/>
      <sheetName val="without c&amp;i profit (3)"/>
      <sheetName val="DIV 2"/>
      <sheetName val="imput_costi_par_1"/>
      <sheetName val="Div_21"/>
      <sheetName val="imput_costi_par_"/>
      <sheetName val="Div_2"/>
      <sheetName val="Instructions__for_Rate_Entry3"/>
      <sheetName val="Bill_13"/>
      <sheetName val="Bill_23"/>
      <sheetName val="Bill_33"/>
      <sheetName val="Bill_43"/>
      <sheetName val="Bill_53"/>
      <sheetName val="Bill_63"/>
      <sheetName val="Bill_73"/>
      <sheetName val="Trade_Summary3"/>
      <sheetName val="@risk_rents_and_incentives2"/>
      <sheetName val="Car_park_lease2"/>
      <sheetName val="Net_rent_analysis2"/>
      <sheetName val="imput_costi_par_2"/>
      <sheetName val="Div_22"/>
      <sheetName val="Instructions__for_Rate_Entry4"/>
      <sheetName val="Bill_14"/>
      <sheetName val="Bill_24"/>
      <sheetName val="Bill_34"/>
      <sheetName val="Bill_44"/>
      <sheetName val="Bill_54"/>
      <sheetName val="Bill_64"/>
      <sheetName val="Bill_74"/>
      <sheetName val="Trade_Summary4"/>
      <sheetName val="@risk_rents_and_incentives3"/>
      <sheetName val="Car_park_lease3"/>
      <sheetName val="Net_rent_analysis3"/>
      <sheetName val="imput_costi_par_3"/>
      <sheetName val="Div_23"/>
      <sheetName val="eqpt &amp; manpower tabulation"/>
      <sheetName val="CALCULATIONS_-_ROAD_WK2"/>
      <sheetName val="CALCULATIONS_-_STRUC_WK2"/>
      <sheetName val="RR_INT_-_N&amp;S_WALL_-_CONC2"/>
      <sheetName val="Worksheet"/>
      <sheetName val="BQ"/>
      <sheetName val="BQ External"/>
      <sheetName val="Schedule of Columns"/>
      <sheetName val="Schedule of FFBeams"/>
      <sheetName val="Schedules"/>
      <sheetName val="Instructions__for_Rate_Entry5"/>
      <sheetName val="Bill_15"/>
      <sheetName val="Bill_25"/>
      <sheetName val="Bill_35"/>
      <sheetName val="Bill_45"/>
      <sheetName val="Bill_55"/>
      <sheetName val="Bill_65"/>
      <sheetName val="Bill_75"/>
      <sheetName val="Instructions__for_Rate_Entry6"/>
      <sheetName val="Bill_16"/>
      <sheetName val="Bill_26"/>
      <sheetName val="Bill_36"/>
      <sheetName val="Bill_46"/>
      <sheetName val="Bill_56"/>
      <sheetName val="Bill_66"/>
      <sheetName val="Bill_76"/>
      <sheetName val="Instructions__for_Rate_Entry7"/>
      <sheetName val="Bill_17"/>
      <sheetName val="Bill_27"/>
      <sheetName val="Bill_37"/>
      <sheetName val="Bill_47"/>
      <sheetName val="Bill_57"/>
      <sheetName val="Bill_67"/>
      <sheetName val="Bill_77"/>
      <sheetName val="Instructions__for_Rate_Entry8"/>
      <sheetName val="Bill_18"/>
      <sheetName val="Bill_28"/>
      <sheetName val="Bill_38"/>
      <sheetName val="Bill_48"/>
      <sheetName val="Bill_58"/>
      <sheetName val="Bill_68"/>
      <sheetName val="Bill_78"/>
      <sheetName val="BORDGC"/>
      <sheetName val="Report by Bldg"/>
      <sheetName val="fORMULAE"/>
      <sheetName val="1.2 STAFF Scedule"/>
    </sheetNames>
    <sheetDataSet>
      <sheetData sheetId="0">
        <row r="247">
          <cell r="F247">
            <v>0</v>
          </cell>
        </row>
      </sheetData>
      <sheetData sheetId="1">
        <row r="247">
          <cell r="F247">
            <v>0</v>
          </cell>
        </row>
      </sheetData>
      <sheetData sheetId="2">
        <row r="247">
          <cell r="F247">
            <v>0</v>
          </cell>
        </row>
        <row r="833">
          <cell r="F833">
            <v>12500</v>
          </cell>
        </row>
      </sheetData>
      <sheetData sheetId="3">
        <row r="247">
          <cell r="F247">
            <v>0</v>
          </cell>
        </row>
        <row r="755">
          <cell r="F755">
            <v>15000</v>
          </cell>
        </row>
      </sheetData>
      <sheetData sheetId="4">
        <row r="247">
          <cell r="F247">
            <v>0</v>
          </cell>
        </row>
        <row r="683">
          <cell r="F683">
            <v>12500</v>
          </cell>
        </row>
      </sheetData>
      <sheetData sheetId="5">
        <row r="247">
          <cell r="F247">
            <v>0</v>
          </cell>
        </row>
        <row r="568">
          <cell r="F568">
            <v>12500</v>
          </cell>
        </row>
      </sheetData>
      <sheetData sheetId="6">
        <row r="247">
          <cell r="F247">
            <v>0</v>
          </cell>
        </row>
      </sheetData>
      <sheetData sheetId="7">
        <row r="247">
          <cell r="F247">
            <v>0</v>
          </cell>
        </row>
        <row r="377">
          <cell r="F377">
            <v>0</v>
          </cell>
        </row>
      </sheetData>
      <sheetData sheetId="8">
        <row r="247">
          <cell r="F247">
            <v>0</v>
          </cell>
        </row>
        <row r="437">
          <cell r="F437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247">
          <cell r="F247">
            <v>0</v>
          </cell>
        </row>
      </sheetData>
      <sheetData sheetId="60">
        <row r="247">
          <cell r="F247">
            <v>0</v>
          </cell>
        </row>
      </sheetData>
      <sheetData sheetId="61">
        <row r="247">
          <cell r="F247">
            <v>0</v>
          </cell>
        </row>
      </sheetData>
      <sheetData sheetId="62">
        <row r="247">
          <cell r="F247">
            <v>0</v>
          </cell>
        </row>
      </sheetData>
      <sheetData sheetId="63">
        <row r="247">
          <cell r="F247">
            <v>0</v>
          </cell>
        </row>
      </sheetData>
      <sheetData sheetId="64">
        <row r="247">
          <cell r="F247">
            <v>0</v>
          </cell>
        </row>
      </sheetData>
      <sheetData sheetId="65">
        <row r="247">
          <cell r="F247">
            <v>0</v>
          </cell>
        </row>
      </sheetData>
      <sheetData sheetId="66">
        <row r="247">
          <cell r="F247">
            <v>0</v>
          </cell>
        </row>
      </sheetData>
      <sheetData sheetId="67">
        <row r="247">
          <cell r="F247">
            <v>0</v>
          </cell>
        </row>
      </sheetData>
      <sheetData sheetId="68">
        <row r="247">
          <cell r="F247">
            <v>0</v>
          </cell>
        </row>
      </sheetData>
      <sheetData sheetId="69">
        <row r="247">
          <cell r="F247">
            <v>0</v>
          </cell>
        </row>
      </sheetData>
      <sheetData sheetId="70">
        <row r="247">
          <cell r="F247">
            <v>0</v>
          </cell>
        </row>
      </sheetData>
      <sheetData sheetId="71">
        <row r="247">
          <cell r="F247">
            <v>0</v>
          </cell>
        </row>
      </sheetData>
      <sheetData sheetId="72">
        <row r="247">
          <cell r="F247">
            <v>0</v>
          </cell>
        </row>
      </sheetData>
      <sheetData sheetId="73">
        <row r="247">
          <cell r="F247">
            <v>0</v>
          </cell>
        </row>
      </sheetData>
      <sheetData sheetId="74">
        <row r="247">
          <cell r="F247">
            <v>0</v>
          </cell>
        </row>
      </sheetData>
      <sheetData sheetId="75">
        <row r="247">
          <cell r="F247">
            <v>0</v>
          </cell>
        </row>
      </sheetData>
      <sheetData sheetId="76">
        <row r="247">
          <cell r="F247">
            <v>0</v>
          </cell>
        </row>
      </sheetData>
      <sheetData sheetId="77">
        <row r="247">
          <cell r="F247">
            <v>0</v>
          </cell>
        </row>
      </sheetData>
      <sheetData sheetId="78">
        <row r="247">
          <cell r="F247">
            <v>0</v>
          </cell>
        </row>
      </sheetData>
      <sheetData sheetId="79">
        <row r="247">
          <cell r="F247">
            <v>0</v>
          </cell>
        </row>
      </sheetData>
      <sheetData sheetId="80">
        <row r="247">
          <cell r="F247">
            <v>0</v>
          </cell>
        </row>
      </sheetData>
      <sheetData sheetId="81">
        <row r="247">
          <cell r="F247">
            <v>0</v>
          </cell>
        </row>
      </sheetData>
      <sheetData sheetId="82">
        <row r="247">
          <cell r="F247">
            <v>0</v>
          </cell>
        </row>
      </sheetData>
      <sheetData sheetId="83">
        <row r="247">
          <cell r="F247">
            <v>0</v>
          </cell>
        </row>
      </sheetData>
      <sheetData sheetId="84">
        <row r="247">
          <cell r="F247">
            <v>0</v>
          </cell>
        </row>
      </sheetData>
      <sheetData sheetId="85">
        <row r="247">
          <cell r="F247">
            <v>0</v>
          </cell>
        </row>
      </sheetData>
      <sheetData sheetId="86">
        <row r="247">
          <cell r="F247">
            <v>0</v>
          </cell>
        </row>
      </sheetData>
      <sheetData sheetId="87">
        <row r="247">
          <cell r="F247">
            <v>0</v>
          </cell>
        </row>
      </sheetData>
      <sheetData sheetId="88">
        <row r="247">
          <cell r="F247">
            <v>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>
        <row r="247">
          <cell r="F247">
            <v>0</v>
          </cell>
        </row>
      </sheetData>
      <sheetData sheetId="103">
        <row r="247">
          <cell r="F247">
            <v>0</v>
          </cell>
        </row>
      </sheetData>
      <sheetData sheetId="104">
        <row r="247">
          <cell r="F247">
            <v>0</v>
          </cell>
        </row>
      </sheetData>
      <sheetData sheetId="105">
        <row r="247">
          <cell r="F247">
            <v>0</v>
          </cell>
        </row>
      </sheetData>
      <sheetData sheetId="106">
        <row r="247">
          <cell r="F247">
            <v>0</v>
          </cell>
        </row>
      </sheetData>
      <sheetData sheetId="107">
        <row r="247">
          <cell r="F247">
            <v>0</v>
          </cell>
        </row>
      </sheetData>
      <sheetData sheetId="108">
        <row r="247">
          <cell r="F247">
            <v>0</v>
          </cell>
        </row>
      </sheetData>
      <sheetData sheetId="109">
        <row r="247">
          <cell r="F247">
            <v>0</v>
          </cell>
        </row>
      </sheetData>
      <sheetData sheetId="110">
        <row r="247">
          <cell r="F247">
            <v>0</v>
          </cell>
        </row>
      </sheetData>
      <sheetData sheetId="111">
        <row r="247">
          <cell r="F247">
            <v>0</v>
          </cell>
        </row>
      </sheetData>
      <sheetData sheetId="112">
        <row r="247">
          <cell r="F247">
            <v>0</v>
          </cell>
        </row>
      </sheetData>
      <sheetData sheetId="113">
        <row r="247">
          <cell r="F247">
            <v>0</v>
          </cell>
        </row>
      </sheetData>
      <sheetData sheetId="114"/>
      <sheetData sheetId="115">
        <row r="247">
          <cell r="F247">
            <v>0</v>
          </cell>
        </row>
      </sheetData>
      <sheetData sheetId="116">
        <row r="247">
          <cell r="F247">
            <v>0</v>
          </cell>
        </row>
      </sheetData>
      <sheetData sheetId="117">
        <row r="247">
          <cell r="F247">
            <v>0</v>
          </cell>
        </row>
      </sheetData>
      <sheetData sheetId="118"/>
      <sheetData sheetId="119"/>
      <sheetData sheetId="120">
        <row r="247">
          <cell r="F247">
            <v>0</v>
          </cell>
        </row>
      </sheetData>
      <sheetData sheetId="121">
        <row r="683">
          <cell r="F683">
            <v>12500</v>
          </cell>
        </row>
      </sheetData>
      <sheetData sheetId="122">
        <row r="568">
          <cell r="F568">
            <v>12500</v>
          </cell>
        </row>
      </sheetData>
      <sheetData sheetId="123">
        <row r="247">
          <cell r="F247">
            <v>0</v>
          </cell>
        </row>
      </sheetData>
      <sheetData sheetId="124">
        <row r="247">
          <cell r="F247">
            <v>0</v>
          </cell>
        </row>
      </sheetData>
      <sheetData sheetId="125">
        <row r="247">
          <cell r="F247">
            <v>0</v>
          </cell>
        </row>
      </sheetData>
      <sheetData sheetId="126">
        <row r="247">
          <cell r="F247">
            <v>0</v>
          </cell>
        </row>
      </sheetData>
      <sheetData sheetId="127">
        <row r="247">
          <cell r="F247">
            <v>0</v>
          </cell>
        </row>
      </sheetData>
      <sheetData sheetId="128"/>
      <sheetData sheetId="129"/>
      <sheetData sheetId="130"/>
      <sheetData sheetId="131"/>
      <sheetData sheetId="132"/>
      <sheetData sheetId="133">
        <row r="247">
          <cell r="F247">
            <v>0</v>
          </cell>
        </row>
      </sheetData>
      <sheetData sheetId="134">
        <row r="247">
          <cell r="F247">
            <v>0</v>
          </cell>
        </row>
      </sheetData>
      <sheetData sheetId="135">
        <row r="247">
          <cell r="F247">
            <v>0</v>
          </cell>
        </row>
      </sheetData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247">
          <cell r="F247">
            <v>0</v>
          </cell>
        </row>
      </sheetData>
      <sheetData sheetId="145">
        <row r="377">
          <cell r="F377">
            <v>0</v>
          </cell>
        </row>
      </sheetData>
      <sheetData sheetId="146">
        <row r="437">
          <cell r="F437">
            <v>0</v>
          </cell>
        </row>
      </sheetData>
      <sheetData sheetId="147">
        <row r="247">
          <cell r="F247">
            <v>0</v>
          </cell>
        </row>
      </sheetData>
      <sheetData sheetId="148">
        <row r="247">
          <cell r="F247">
            <v>0</v>
          </cell>
        </row>
      </sheetData>
      <sheetData sheetId="149">
        <row r="247">
          <cell r="F247">
            <v>0</v>
          </cell>
        </row>
      </sheetData>
      <sheetData sheetId="150">
        <row r="247">
          <cell r="F247">
            <v>0</v>
          </cell>
        </row>
      </sheetData>
      <sheetData sheetId="151">
        <row r="247">
          <cell r="F247">
            <v>0</v>
          </cell>
        </row>
      </sheetData>
      <sheetData sheetId="152">
        <row r="247">
          <cell r="F247">
            <v>0</v>
          </cell>
        </row>
      </sheetData>
      <sheetData sheetId="153">
        <row r="377">
          <cell r="F377">
            <v>0</v>
          </cell>
        </row>
      </sheetData>
      <sheetData sheetId="154">
        <row r="437">
          <cell r="F437">
            <v>0</v>
          </cell>
        </row>
      </sheetData>
      <sheetData sheetId="155">
        <row r="247">
          <cell r="F247">
            <v>0</v>
          </cell>
        </row>
      </sheetData>
      <sheetData sheetId="156">
        <row r="247">
          <cell r="F247">
            <v>0</v>
          </cell>
        </row>
      </sheetData>
      <sheetData sheetId="157">
        <row r="247">
          <cell r="F247">
            <v>0</v>
          </cell>
        </row>
      </sheetData>
      <sheetData sheetId="158">
        <row r="247">
          <cell r="F247">
            <v>0</v>
          </cell>
        </row>
      </sheetData>
      <sheetData sheetId="159">
        <row r="247">
          <cell r="F247">
            <v>0</v>
          </cell>
        </row>
      </sheetData>
      <sheetData sheetId="160">
        <row r="247">
          <cell r="F247">
            <v>0</v>
          </cell>
        </row>
      </sheetData>
      <sheetData sheetId="161">
        <row r="377">
          <cell r="F377">
            <v>0</v>
          </cell>
        </row>
      </sheetData>
      <sheetData sheetId="162">
        <row r="437">
          <cell r="F437">
            <v>0</v>
          </cell>
        </row>
      </sheetData>
      <sheetData sheetId="163">
        <row r="247">
          <cell r="F247">
            <v>0</v>
          </cell>
        </row>
      </sheetData>
      <sheetData sheetId="164">
        <row r="247">
          <cell r="F247">
            <v>0</v>
          </cell>
        </row>
      </sheetData>
      <sheetData sheetId="165">
        <row r="247">
          <cell r="F247">
            <v>0</v>
          </cell>
        </row>
      </sheetData>
      <sheetData sheetId="166">
        <row r="247">
          <cell r="F247">
            <v>0</v>
          </cell>
        </row>
      </sheetData>
      <sheetData sheetId="167">
        <row r="247">
          <cell r="F247">
            <v>0</v>
          </cell>
        </row>
      </sheetData>
      <sheetData sheetId="168">
        <row r="247">
          <cell r="F247">
            <v>0</v>
          </cell>
        </row>
      </sheetData>
      <sheetData sheetId="169">
        <row r="377">
          <cell r="F377">
            <v>0</v>
          </cell>
        </row>
      </sheetData>
      <sheetData sheetId="170">
        <row r="437">
          <cell r="F437">
            <v>0</v>
          </cell>
        </row>
      </sheetData>
      <sheetData sheetId="171">
        <row r="247">
          <cell r="F247">
            <v>0</v>
          </cell>
        </row>
      </sheetData>
      <sheetData sheetId="172">
        <row r="247">
          <cell r="F247">
            <v>0</v>
          </cell>
        </row>
      </sheetData>
      <sheetData sheetId="173">
        <row r="247">
          <cell r="F247">
            <v>0</v>
          </cell>
        </row>
      </sheetData>
      <sheetData sheetId="174">
        <row r="247">
          <cell r="F247">
            <v>0</v>
          </cell>
        </row>
      </sheetData>
      <sheetData sheetId="175">
        <row r="247">
          <cell r="F247">
            <v>0</v>
          </cell>
        </row>
      </sheetData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acion_Autocad"/>
      <sheetName val="Resúmen"/>
      <sheetName val="Strings"/>
      <sheetName val="SCB-INV"/>
      <sheetName val="MV-Estrella"/>
      <sheetName val="MV-Anillo"/>
      <sheetName val="Servicios Auxiliares"/>
      <sheetName val="Cables Cobre"/>
      <sheetName val="Cables DC Aluminio"/>
      <sheetName val="Cables MV Aluminio"/>
      <sheetName val="Datos Selección Strings"/>
      <sheetName val="Datos Selección SCB-INV"/>
      <sheetName val="Datos Selección MV"/>
      <sheetName val="Datos Selección SSAA"/>
      <sheetName val="BOQ"/>
      <sheetName val="Electrico"/>
      <sheetName val="Obra Civil"/>
      <sheetName val="Montaje Mecánico"/>
      <sheetName val="Filtrado"/>
    </sheetNames>
    <sheetDataSet>
      <sheetData sheetId="0"/>
      <sheetData sheetId="1">
        <row r="2">
          <cell r="B2" t="str">
            <v>CABLEADO</v>
          </cell>
        </row>
        <row r="5">
          <cell r="B5" t="str">
            <v>String</v>
          </cell>
        </row>
        <row r="8">
          <cell r="B8" t="str">
            <v>Nº de grupos como el calculado</v>
          </cell>
        </row>
        <row r="9">
          <cell r="B9" t="str">
            <v>Factor de seguridad</v>
          </cell>
        </row>
        <row r="11">
          <cell r="B11" t="str">
            <v>Sección</v>
          </cell>
        </row>
        <row r="12">
          <cell r="B12">
            <v>4</v>
          </cell>
        </row>
        <row r="13">
          <cell r="B13">
            <v>6</v>
          </cell>
        </row>
        <row r="14">
          <cell r="B14">
            <v>10</v>
          </cell>
        </row>
        <row r="15">
          <cell r="B15">
            <v>16</v>
          </cell>
        </row>
        <row r="25">
          <cell r="B25" t="str">
            <v>Bloques</v>
          </cell>
        </row>
        <row r="28">
          <cell r="B28" t="str">
            <v>Etiquetas de fila</v>
          </cell>
          <cell r="C28" t="str">
            <v>Nº de bloques</v>
          </cell>
        </row>
        <row r="29">
          <cell r="B29" t="str">
            <v>CN1</v>
          </cell>
        </row>
        <row r="30">
          <cell r="B30" t="str">
            <v>Línea</v>
          </cell>
        </row>
        <row r="31">
          <cell r="B31" t="str">
            <v>Polilínea</v>
          </cell>
        </row>
        <row r="32">
          <cell r="B32" t="str">
            <v>POWER STATION</v>
          </cell>
        </row>
        <row r="33">
          <cell r="B33" t="str">
            <v>(en blanco)</v>
          </cell>
        </row>
        <row r="34">
          <cell r="B34" t="str">
            <v>Longitud</v>
          </cell>
        </row>
        <row r="35">
          <cell r="B35" t="str">
            <v>Creada fija</v>
          </cell>
        </row>
        <row r="36">
          <cell r="B36" t="str">
            <v>Estructura 6x20</v>
          </cell>
        </row>
      </sheetData>
      <sheetData sheetId="2"/>
      <sheetData sheetId="3"/>
      <sheetData sheetId="4"/>
      <sheetData sheetId="5">
        <row r="24">
          <cell r="D24">
            <v>1</v>
          </cell>
          <cell r="E24" t="str">
            <v>Subestacion</v>
          </cell>
          <cell r="F24">
            <v>1</v>
          </cell>
          <cell r="G24">
            <v>0</v>
          </cell>
          <cell r="H24">
            <v>1</v>
          </cell>
          <cell r="I24">
            <v>125</v>
          </cell>
          <cell r="J24">
            <v>133</v>
          </cell>
          <cell r="K24">
            <v>95</v>
          </cell>
        </row>
        <row r="25">
          <cell r="D25">
            <v>2</v>
          </cell>
          <cell r="E25">
            <v>1</v>
          </cell>
          <cell r="F25">
            <v>2</v>
          </cell>
          <cell r="G25">
            <v>2500000</v>
          </cell>
          <cell r="H25">
            <v>1</v>
          </cell>
          <cell r="I25">
            <v>170</v>
          </cell>
          <cell r="J25">
            <v>178</v>
          </cell>
          <cell r="K25">
            <v>95</v>
          </cell>
        </row>
        <row r="26">
          <cell r="D26">
            <v>3</v>
          </cell>
          <cell r="E26">
            <v>2</v>
          </cell>
          <cell r="F26">
            <v>3</v>
          </cell>
          <cell r="G26">
            <v>5000000</v>
          </cell>
          <cell r="H26">
            <v>1</v>
          </cell>
          <cell r="I26">
            <v>400</v>
          </cell>
          <cell r="J26">
            <v>408</v>
          </cell>
          <cell r="K26">
            <v>95</v>
          </cell>
        </row>
        <row r="27">
          <cell r="D27">
            <v>4</v>
          </cell>
          <cell r="E27">
            <v>3</v>
          </cell>
          <cell r="F27">
            <v>4</v>
          </cell>
          <cell r="G27">
            <v>7500000</v>
          </cell>
          <cell r="H27">
            <v>1</v>
          </cell>
          <cell r="I27">
            <v>380</v>
          </cell>
          <cell r="J27">
            <v>388</v>
          </cell>
          <cell r="K27">
            <v>95</v>
          </cell>
        </row>
        <row r="28">
          <cell r="D28">
            <v>5</v>
          </cell>
          <cell r="E28">
            <v>4</v>
          </cell>
          <cell r="F28" t="str">
            <v>Subestacion</v>
          </cell>
          <cell r="G28">
            <v>10000000</v>
          </cell>
          <cell r="H28">
            <v>1</v>
          </cell>
          <cell r="I28">
            <v>500</v>
          </cell>
          <cell r="J28">
            <v>508</v>
          </cell>
          <cell r="K28">
            <v>150</v>
          </cell>
        </row>
        <row r="29">
          <cell r="D29">
            <v>5</v>
          </cell>
          <cell r="E29" t="str">
            <v>Subestacion</v>
          </cell>
          <cell r="F29">
            <v>4</v>
          </cell>
          <cell r="G29">
            <v>0</v>
          </cell>
          <cell r="H29">
            <v>1</v>
          </cell>
          <cell r="I29">
            <v>500</v>
          </cell>
          <cell r="J29">
            <v>508</v>
          </cell>
          <cell r="K29">
            <v>95</v>
          </cell>
        </row>
        <row r="30">
          <cell r="D30">
            <v>4</v>
          </cell>
          <cell r="E30">
            <v>4</v>
          </cell>
          <cell r="F30">
            <v>3</v>
          </cell>
          <cell r="G30">
            <v>2500000</v>
          </cell>
          <cell r="H30">
            <v>1</v>
          </cell>
          <cell r="I30">
            <v>380</v>
          </cell>
          <cell r="J30">
            <v>388</v>
          </cell>
          <cell r="K30">
            <v>95</v>
          </cell>
        </row>
        <row r="31">
          <cell r="D31">
            <v>3</v>
          </cell>
          <cell r="E31">
            <v>3</v>
          </cell>
          <cell r="F31">
            <v>2</v>
          </cell>
          <cell r="G31">
            <v>5000000</v>
          </cell>
          <cell r="H31">
            <v>1</v>
          </cell>
          <cell r="I31">
            <v>400</v>
          </cell>
          <cell r="J31">
            <v>408</v>
          </cell>
          <cell r="K31">
            <v>95</v>
          </cell>
        </row>
        <row r="32">
          <cell r="D32">
            <v>2</v>
          </cell>
          <cell r="E32">
            <v>2</v>
          </cell>
          <cell r="F32">
            <v>1</v>
          </cell>
          <cell r="G32">
            <v>7500000</v>
          </cell>
          <cell r="H32">
            <v>1</v>
          </cell>
          <cell r="I32">
            <v>170</v>
          </cell>
          <cell r="J32">
            <v>178</v>
          </cell>
          <cell r="K32">
            <v>95</v>
          </cell>
        </row>
        <row r="33">
          <cell r="D33">
            <v>1</v>
          </cell>
          <cell r="E33">
            <v>1</v>
          </cell>
          <cell r="F33" t="str">
            <v>Subestacion</v>
          </cell>
          <cell r="G33">
            <v>10000000</v>
          </cell>
          <cell r="H33">
            <v>1</v>
          </cell>
          <cell r="I33">
            <v>125</v>
          </cell>
          <cell r="J33">
            <v>133</v>
          </cell>
          <cell r="K33">
            <v>150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K2" t="str">
            <v>Longitud</v>
          </cell>
          <cell r="N2" t="str">
            <v>Capa</v>
          </cell>
          <cell r="W2" t="str">
            <v>Longitud</v>
          </cell>
          <cell r="AC2" t="str">
            <v>Longitud</v>
          </cell>
          <cell r="AI2" t="str">
            <v>Longitud</v>
          </cell>
          <cell r="AO2" t="str">
            <v>Longitud</v>
          </cell>
          <cell r="AU2" t="str">
            <v>Longitud</v>
          </cell>
          <cell r="BA2" t="str">
            <v>Longitud</v>
          </cell>
          <cell r="BG2" t="str">
            <v>Longitud</v>
          </cell>
          <cell r="BS2" t="str">
            <v>Longitud</v>
          </cell>
          <cell r="BY2" t="str">
            <v>Longitud</v>
          </cell>
          <cell r="CE2" t="str">
            <v>Longitud</v>
          </cell>
        </row>
        <row r="3">
          <cell r="K3">
            <v>0</v>
          </cell>
          <cell r="N3" t="str">
            <v>ohl_Cerramiento</v>
          </cell>
          <cell r="W3">
            <v>0</v>
          </cell>
          <cell r="AC3">
            <v>0</v>
          </cell>
          <cell r="AI3">
            <v>0</v>
          </cell>
          <cell r="AO3">
            <v>0</v>
          </cell>
          <cell r="AU3">
            <v>0</v>
          </cell>
          <cell r="BA3">
            <v>0</v>
          </cell>
          <cell r="BG3">
            <v>0</v>
          </cell>
          <cell r="BS3">
            <v>0</v>
          </cell>
          <cell r="BY3">
            <v>0</v>
          </cell>
          <cell r="CE3">
            <v>0</v>
          </cell>
        </row>
        <row r="4">
          <cell r="A4" t="str">
            <v>Polilínea</v>
          </cell>
          <cell r="B4" t="str">
            <v>ohl_cabling DC</v>
          </cell>
          <cell r="C4" t="str">
            <v>PorCapa</v>
          </cell>
          <cell r="E4">
            <v>74.315600000000003</v>
          </cell>
          <cell r="G4" t="str">
            <v>Polilínea</v>
          </cell>
          <cell r="H4" t="str">
            <v>ohl_Cabling RS 485</v>
          </cell>
          <cell r="I4" t="str">
            <v>PorCapa</v>
          </cell>
          <cell r="K4">
            <v>117.51</v>
          </cell>
          <cell r="M4" t="str">
            <v>Polilínea</v>
          </cell>
          <cell r="N4" t="str">
            <v>ohl_Cerramiento</v>
          </cell>
          <cell r="O4" t="str">
            <v>PorCapa</v>
          </cell>
          <cell r="Q4">
            <v>300.63069999999999</v>
          </cell>
          <cell r="S4" t="str">
            <v>Polilínea</v>
          </cell>
          <cell r="T4" t="str">
            <v>ohl_trech DC</v>
          </cell>
          <cell r="U4" t="str">
            <v>PorCapa</v>
          </cell>
          <cell r="W4">
            <v>116.76390000000001</v>
          </cell>
          <cell r="Y4" t="str">
            <v>Polilínea</v>
          </cell>
          <cell r="Z4" t="str">
            <v>ohl_trench MV 1 circuit</v>
          </cell>
          <cell r="AA4" t="str">
            <v>PorCapa</v>
          </cell>
          <cell r="AC4">
            <v>1.2525999999999999</v>
          </cell>
          <cell r="BC4" t="str">
            <v>Longitud</v>
          </cell>
          <cell r="BD4" t="str">
            <v>ohl_viales</v>
          </cell>
          <cell r="BE4" t="str">
            <v>PorCapa</v>
          </cell>
          <cell r="BG4">
            <v>4.3749000000000002</v>
          </cell>
          <cell r="BI4" t="str">
            <v>Polilínea</v>
          </cell>
          <cell r="BJ4" t="str">
            <v>ohl_SSAA</v>
          </cell>
          <cell r="BK4" t="str">
            <v>PorCapa</v>
          </cell>
          <cell r="BM4">
            <v>106.3412</v>
          </cell>
        </row>
        <row r="5">
          <cell r="K5">
            <v>117.4958</v>
          </cell>
          <cell r="N5" t="str">
            <v>ohl_Cerramiento</v>
          </cell>
          <cell r="W5">
            <v>40.590000000000003</v>
          </cell>
          <cell r="AC5">
            <v>1.2525999999999999</v>
          </cell>
          <cell r="BG5">
            <v>111.6354</v>
          </cell>
        </row>
        <row r="6">
          <cell r="K6">
            <v>106.3412</v>
          </cell>
          <cell r="N6" t="str">
            <v>ohl_Cerramiento</v>
          </cell>
          <cell r="W6">
            <v>104.6412</v>
          </cell>
          <cell r="AC6">
            <v>162.2329</v>
          </cell>
          <cell r="BG6">
            <v>86.37</v>
          </cell>
        </row>
        <row r="7">
          <cell r="K7">
            <v>106.3412</v>
          </cell>
          <cell r="N7" t="str">
            <v>ohl_Cerramiento</v>
          </cell>
          <cell r="W7">
            <v>0</v>
          </cell>
          <cell r="AC7">
            <v>1.2525999999999999</v>
          </cell>
          <cell r="BG7">
            <v>33.608899999999998</v>
          </cell>
        </row>
        <row r="8">
          <cell r="K8">
            <v>106.3412</v>
          </cell>
          <cell r="W8">
            <v>110.50449999999999</v>
          </cell>
          <cell r="AC8">
            <v>74.227099999999993</v>
          </cell>
          <cell r="BG8">
            <v>75.619399999999999</v>
          </cell>
        </row>
        <row r="9">
          <cell r="K9">
            <v>106.3412</v>
          </cell>
          <cell r="W9">
            <v>65.001199999999997</v>
          </cell>
          <cell r="AC9">
            <v>72.974500000000006</v>
          </cell>
          <cell r="BG9">
            <v>6.2831999999999999</v>
          </cell>
        </row>
        <row r="10">
          <cell r="K10">
            <v>117.51</v>
          </cell>
          <cell r="W10">
            <v>1.25</v>
          </cell>
          <cell r="AC10">
            <v>162.2329</v>
          </cell>
          <cell r="BG10">
            <v>616.06870000000004</v>
          </cell>
        </row>
        <row r="11">
          <cell r="K11">
            <v>117.4958</v>
          </cell>
          <cell r="W11">
            <v>1.05</v>
          </cell>
          <cell r="AC11">
            <v>1.2525999999999999</v>
          </cell>
          <cell r="BG11">
            <v>4.3388</v>
          </cell>
        </row>
        <row r="12">
          <cell r="K12">
            <v>117.51</v>
          </cell>
          <cell r="W12">
            <v>1.2462</v>
          </cell>
          <cell r="AC12">
            <v>212.88820000000001</v>
          </cell>
          <cell r="BG12">
            <v>1.9443999999999999</v>
          </cell>
        </row>
        <row r="13">
          <cell r="K13">
            <v>117.4958</v>
          </cell>
          <cell r="W13">
            <v>116.76390000000001</v>
          </cell>
          <cell r="AC13">
            <v>1.2525999999999999</v>
          </cell>
          <cell r="BG13">
            <v>6.2831999999999999</v>
          </cell>
        </row>
        <row r="14">
          <cell r="K14">
            <v>106.3412</v>
          </cell>
          <cell r="W14">
            <v>0</v>
          </cell>
          <cell r="AC14">
            <v>162.2329</v>
          </cell>
          <cell r="BG14">
            <v>76.389399999999995</v>
          </cell>
        </row>
        <row r="15">
          <cell r="K15">
            <v>106.3412</v>
          </cell>
          <cell r="W15">
            <v>110.50449999999999</v>
          </cell>
          <cell r="AC15">
            <v>1.2525999999999999</v>
          </cell>
          <cell r="BG15">
            <v>5.6814</v>
          </cell>
        </row>
        <row r="16">
          <cell r="K16">
            <v>117.51</v>
          </cell>
          <cell r="W16">
            <v>41.64</v>
          </cell>
          <cell r="AC16">
            <v>1.2525999999999999</v>
          </cell>
          <cell r="BG16">
            <v>75.619399999999999</v>
          </cell>
        </row>
        <row r="17">
          <cell r="K17">
            <v>117.4958</v>
          </cell>
          <cell r="W17">
            <v>104.6412</v>
          </cell>
          <cell r="AC17">
            <v>162.2329</v>
          </cell>
          <cell r="BG17">
            <v>7.9227999999999996</v>
          </cell>
        </row>
        <row r="18">
          <cell r="K18">
            <v>106.3412</v>
          </cell>
          <cell r="W18">
            <v>65.001199999999997</v>
          </cell>
          <cell r="AC18">
            <v>1.2525999999999999</v>
          </cell>
          <cell r="BG18">
            <v>243.34630000000001</v>
          </cell>
        </row>
        <row r="19">
          <cell r="K19">
            <v>106.3412</v>
          </cell>
          <cell r="W19">
            <v>65.001199999999997</v>
          </cell>
          <cell r="AC19">
            <v>1.2525999999999999</v>
          </cell>
          <cell r="BG19">
            <v>7.9227999999999996</v>
          </cell>
        </row>
        <row r="20">
          <cell r="K20">
            <v>117.51</v>
          </cell>
          <cell r="W20">
            <v>0</v>
          </cell>
          <cell r="AC20">
            <v>162.2329</v>
          </cell>
          <cell r="BG20">
            <v>110.9979</v>
          </cell>
        </row>
        <row r="21">
          <cell r="K21">
            <v>117.4958</v>
          </cell>
          <cell r="W21">
            <v>110.50449999999999</v>
          </cell>
          <cell r="AC21">
            <v>1.1869000000000001</v>
          </cell>
          <cell r="BG21">
            <v>626.72400000000005</v>
          </cell>
        </row>
        <row r="22">
          <cell r="K22">
            <v>106.3412</v>
          </cell>
          <cell r="W22">
            <v>40.590000000000003</v>
          </cell>
          <cell r="AC22">
            <v>1.2525999999999999</v>
          </cell>
          <cell r="BG22">
            <v>639.33410000000003</v>
          </cell>
        </row>
        <row r="23">
          <cell r="K23">
            <v>106.3412</v>
          </cell>
          <cell r="W23">
            <v>104.6412</v>
          </cell>
          <cell r="AC23">
            <v>168.0241</v>
          </cell>
          <cell r="BG23">
            <v>651.98950000000002</v>
          </cell>
        </row>
        <row r="24">
          <cell r="K24">
            <v>106.3412</v>
          </cell>
          <cell r="W24">
            <v>116.76390000000001</v>
          </cell>
          <cell r="AC24">
            <v>241.67339999999999</v>
          </cell>
          <cell r="BG24">
            <v>12.450100000000001</v>
          </cell>
        </row>
        <row r="25">
          <cell r="K25">
            <v>117.4958</v>
          </cell>
          <cell r="W25">
            <v>1.25</v>
          </cell>
          <cell r="AC25">
            <v>989.97789999999998</v>
          </cell>
          <cell r="BG25">
            <v>9.6814</v>
          </cell>
        </row>
        <row r="26">
          <cell r="K26">
            <v>106.3412</v>
          </cell>
          <cell r="W26">
            <v>1.05</v>
          </cell>
          <cell r="AC26">
            <v>1.2525999999999999</v>
          </cell>
          <cell r="BG26">
            <v>5.6814</v>
          </cell>
        </row>
        <row r="27">
          <cell r="K27">
            <v>117.51</v>
          </cell>
          <cell r="W27">
            <v>65.001199999999997</v>
          </cell>
          <cell r="AC27">
            <v>425.73129999999998</v>
          </cell>
          <cell r="BG27">
            <v>25.265499999999999</v>
          </cell>
        </row>
        <row r="28">
          <cell r="K28">
            <v>117.51</v>
          </cell>
          <cell r="W28">
            <v>0</v>
          </cell>
          <cell r="BG28">
            <v>334.31979999999999</v>
          </cell>
        </row>
        <row r="29">
          <cell r="K29">
            <v>106.3412</v>
          </cell>
          <cell r="W29">
            <v>110.50449999999999</v>
          </cell>
          <cell r="BG29">
            <v>9.6814</v>
          </cell>
        </row>
        <row r="30">
          <cell r="K30">
            <v>117.4958</v>
          </cell>
          <cell r="W30">
            <v>41.64</v>
          </cell>
          <cell r="BG30">
            <v>5.6814</v>
          </cell>
        </row>
        <row r="31">
          <cell r="K31">
            <v>106.3412</v>
          </cell>
          <cell r="W31">
            <v>104.6412</v>
          </cell>
          <cell r="BG31">
            <v>25.265499999999999</v>
          </cell>
        </row>
        <row r="32">
          <cell r="K32">
            <v>117.4958</v>
          </cell>
          <cell r="W32">
            <v>116.76390000000001</v>
          </cell>
          <cell r="BG32">
            <v>5.6814</v>
          </cell>
        </row>
        <row r="33">
          <cell r="K33">
            <v>106.3412</v>
          </cell>
          <cell r="W33">
            <v>1.2462</v>
          </cell>
          <cell r="BG33">
            <v>25.265499999999999</v>
          </cell>
        </row>
        <row r="34">
          <cell r="K34">
            <v>117.51</v>
          </cell>
          <cell r="W34">
            <v>116.76390000000001</v>
          </cell>
          <cell r="BG34">
            <v>32.508000000000003</v>
          </cell>
        </row>
        <row r="35">
          <cell r="K35">
            <v>106.3412</v>
          </cell>
          <cell r="W35">
            <v>40.590000000000003</v>
          </cell>
          <cell r="BG35">
            <v>9.6814</v>
          </cell>
        </row>
        <row r="36">
          <cell r="K36">
            <v>113.26179999999999</v>
          </cell>
          <cell r="W36">
            <v>110.50449999999999</v>
          </cell>
          <cell r="BG36">
            <v>9.6814</v>
          </cell>
        </row>
        <row r="37">
          <cell r="K37">
            <v>102.142</v>
          </cell>
          <cell r="W37">
            <v>65.001199999999997</v>
          </cell>
          <cell r="BG37">
            <v>120.10680000000001</v>
          </cell>
        </row>
        <row r="38">
          <cell r="K38">
            <v>144.67920000000001</v>
          </cell>
          <cell r="W38">
            <v>104.6412</v>
          </cell>
          <cell r="BG38">
            <v>5.6814</v>
          </cell>
        </row>
        <row r="39">
          <cell r="K39">
            <v>197.47659999999999</v>
          </cell>
          <cell r="W39">
            <v>0</v>
          </cell>
          <cell r="BG39">
            <v>20.5777</v>
          </cell>
        </row>
        <row r="40">
          <cell r="K40">
            <v>106.3412</v>
          </cell>
          <cell r="W40">
            <v>116.76390000000001</v>
          </cell>
          <cell r="BG40">
            <v>9.6814</v>
          </cell>
        </row>
        <row r="41">
          <cell r="K41">
            <v>106.3412</v>
          </cell>
          <cell r="W41">
            <v>1.2462</v>
          </cell>
          <cell r="BG41">
            <v>2</v>
          </cell>
        </row>
        <row r="42">
          <cell r="K42">
            <v>117.51</v>
          </cell>
          <cell r="W42">
            <v>41.64</v>
          </cell>
          <cell r="BG42">
            <v>166.35120000000001</v>
          </cell>
        </row>
        <row r="43">
          <cell r="K43">
            <v>117.4958</v>
          </cell>
          <cell r="W43">
            <v>104.6412</v>
          </cell>
          <cell r="BG43">
            <v>9.6814</v>
          </cell>
        </row>
        <row r="44">
          <cell r="K44">
            <v>102.146</v>
          </cell>
          <cell r="W44">
            <v>0</v>
          </cell>
          <cell r="BG44">
            <v>25.265499999999999</v>
          </cell>
        </row>
        <row r="45">
          <cell r="K45">
            <v>83.776300000000006</v>
          </cell>
          <cell r="W45">
            <v>110.50449999999999</v>
          </cell>
          <cell r="BG45">
            <v>3.3955000000000002</v>
          </cell>
        </row>
        <row r="46">
          <cell r="K46">
            <v>143.29069999999999</v>
          </cell>
          <cell r="W46">
            <v>65.001199999999997</v>
          </cell>
          <cell r="BG46">
            <v>110.9979</v>
          </cell>
        </row>
        <row r="47">
          <cell r="K47">
            <v>164.9521</v>
          </cell>
          <cell r="W47">
            <v>116.76390000000001</v>
          </cell>
          <cell r="BG47">
            <v>112.1354</v>
          </cell>
        </row>
        <row r="48">
          <cell r="K48">
            <v>144.67920000000001</v>
          </cell>
          <cell r="W48">
            <v>65.001199999999997</v>
          </cell>
          <cell r="BG48">
            <v>86.87</v>
          </cell>
        </row>
        <row r="49">
          <cell r="K49">
            <v>197.47659999999999</v>
          </cell>
          <cell r="W49">
            <v>0</v>
          </cell>
          <cell r="BG49">
            <v>5.6814</v>
          </cell>
        </row>
        <row r="50">
          <cell r="K50">
            <v>102.142</v>
          </cell>
          <cell r="W50">
            <v>110.50449999999999</v>
          </cell>
          <cell r="BG50">
            <v>490.654</v>
          </cell>
        </row>
        <row r="51">
          <cell r="K51">
            <v>113.26179999999999</v>
          </cell>
          <cell r="W51">
            <v>104.6412</v>
          </cell>
          <cell r="BG51">
            <v>143.87780000000001</v>
          </cell>
        </row>
        <row r="52">
          <cell r="K52">
            <v>117.51</v>
          </cell>
          <cell r="W52">
            <v>40.590000000000003</v>
          </cell>
          <cell r="BG52">
            <v>331.16059999999999</v>
          </cell>
        </row>
        <row r="53">
          <cell r="K53">
            <v>117.4958</v>
          </cell>
          <cell r="W53">
            <v>1.05</v>
          </cell>
          <cell r="BG53">
            <v>204.04499999999999</v>
          </cell>
        </row>
        <row r="54">
          <cell r="K54">
            <v>106.3412</v>
          </cell>
          <cell r="W54">
            <v>1.25</v>
          </cell>
          <cell r="BG54">
            <v>137.63560000000001</v>
          </cell>
        </row>
        <row r="55">
          <cell r="K55">
            <v>106.3412</v>
          </cell>
          <cell r="W55">
            <v>1.2462</v>
          </cell>
          <cell r="BG55">
            <v>5.6814</v>
          </cell>
        </row>
        <row r="56">
          <cell r="K56">
            <v>117.51</v>
          </cell>
          <cell r="W56">
            <v>116.76390000000001</v>
          </cell>
          <cell r="BG56">
            <v>25.265499999999999</v>
          </cell>
        </row>
        <row r="57">
          <cell r="K57">
            <v>106.3412</v>
          </cell>
          <cell r="W57">
            <v>110.50449999999999</v>
          </cell>
          <cell r="BG57">
            <v>240.93010000000001</v>
          </cell>
        </row>
        <row r="58">
          <cell r="K58">
            <v>117.4958</v>
          </cell>
          <cell r="W58">
            <v>65.001199999999997</v>
          </cell>
          <cell r="BG58">
            <v>25.265499999999999</v>
          </cell>
        </row>
        <row r="59">
          <cell r="K59">
            <v>106.3412</v>
          </cell>
          <cell r="W59">
            <v>0</v>
          </cell>
          <cell r="BG59">
            <v>9.6814</v>
          </cell>
        </row>
        <row r="60">
          <cell r="K60">
            <v>106.3412</v>
          </cell>
          <cell r="W60">
            <v>41.64</v>
          </cell>
        </row>
        <row r="61">
          <cell r="K61">
            <v>117.4958</v>
          </cell>
          <cell r="W61">
            <v>104.6412</v>
          </cell>
        </row>
        <row r="62">
          <cell r="K62">
            <v>106.3412</v>
          </cell>
          <cell r="W62">
            <v>1.25</v>
          </cell>
        </row>
        <row r="63">
          <cell r="K63">
            <v>117.51</v>
          </cell>
          <cell r="W63">
            <v>1.05</v>
          </cell>
        </row>
        <row r="64">
          <cell r="K64">
            <v>106.3412</v>
          </cell>
          <cell r="W64">
            <v>116.76390000000001</v>
          </cell>
        </row>
        <row r="65">
          <cell r="K65">
            <v>106.3412</v>
          </cell>
          <cell r="W65">
            <v>0</v>
          </cell>
        </row>
        <row r="66">
          <cell r="K66">
            <v>117.51</v>
          </cell>
          <cell r="W66">
            <v>110.50449999999999</v>
          </cell>
        </row>
        <row r="67">
          <cell r="K67">
            <v>117.4958</v>
          </cell>
          <cell r="W67">
            <v>40.590000000000003</v>
          </cell>
        </row>
        <row r="68">
          <cell r="W68">
            <v>104.6412</v>
          </cell>
        </row>
        <row r="69">
          <cell r="W69">
            <v>65.001199999999997</v>
          </cell>
        </row>
        <row r="70">
          <cell r="W70">
            <v>1.1462000000000001</v>
          </cell>
        </row>
        <row r="71">
          <cell r="W71">
            <v>40.785800000000002</v>
          </cell>
        </row>
        <row r="72">
          <cell r="W72">
            <v>40.785800000000002</v>
          </cell>
        </row>
        <row r="73">
          <cell r="W73">
            <v>159.71379999999999</v>
          </cell>
        </row>
        <row r="74">
          <cell r="W74">
            <v>21.068200000000001</v>
          </cell>
        </row>
        <row r="75">
          <cell r="W75">
            <v>46.749299999999998</v>
          </cell>
        </row>
        <row r="76">
          <cell r="W76">
            <v>1.2462</v>
          </cell>
        </row>
        <row r="77">
          <cell r="W77">
            <v>185.4973</v>
          </cell>
        </row>
        <row r="78">
          <cell r="W78">
            <v>6.2526000000000002</v>
          </cell>
        </row>
        <row r="79">
          <cell r="W79">
            <v>165.73740000000001</v>
          </cell>
        </row>
        <row r="80">
          <cell r="W80">
            <v>6.2526000000000002</v>
          </cell>
        </row>
        <row r="81">
          <cell r="W81">
            <v>20.5718</v>
          </cell>
        </row>
        <row r="82">
          <cell r="W82">
            <v>40.785800000000002</v>
          </cell>
        </row>
        <row r="83">
          <cell r="W83">
            <v>159.71379999999999</v>
          </cell>
        </row>
        <row r="84">
          <cell r="W84">
            <v>21.0642</v>
          </cell>
        </row>
        <row r="85">
          <cell r="W85">
            <v>20.5718</v>
          </cell>
        </row>
        <row r="86">
          <cell r="W86">
            <v>1.1462000000000001</v>
          </cell>
        </row>
        <row r="87">
          <cell r="W87">
            <v>67.8155</v>
          </cell>
        </row>
        <row r="88">
          <cell r="W88">
            <v>21.0642</v>
          </cell>
        </row>
        <row r="89">
          <cell r="W89">
            <v>165.73740000000001</v>
          </cell>
        </row>
        <row r="90">
          <cell r="W90">
            <v>1.1462000000000001</v>
          </cell>
        </row>
        <row r="91">
          <cell r="W91">
            <v>67.8155</v>
          </cell>
        </row>
        <row r="92">
          <cell r="W92">
            <v>6.2526000000000002</v>
          </cell>
        </row>
        <row r="93">
          <cell r="W93">
            <v>159.71379999999999</v>
          </cell>
        </row>
        <row r="94">
          <cell r="W94">
            <v>41.64</v>
          </cell>
        </row>
        <row r="95">
          <cell r="W95">
            <v>104.6412</v>
          </cell>
        </row>
        <row r="96">
          <cell r="W96">
            <v>65.001199999999997</v>
          </cell>
        </row>
        <row r="97">
          <cell r="W97">
            <v>0</v>
          </cell>
        </row>
        <row r="98">
          <cell r="W98">
            <v>110.50449999999999</v>
          </cell>
        </row>
        <row r="99">
          <cell r="W99">
            <v>116.76390000000001</v>
          </cell>
        </row>
        <row r="100">
          <cell r="W100">
            <v>1.2462</v>
          </cell>
        </row>
        <row r="101">
          <cell r="W101">
            <v>1.25</v>
          </cell>
        </row>
        <row r="102">
          <cell r="W102">
            <v>1.05</v>
          </cell>
        </row>
        <row r="103">
          <cell r="W103">
            <v>104.6412</v>
          </cell>
        </row>
        <row r="104">
          <cell r="W104">
            <v>0</v>
          </cell>
        </row>
        <row r="105">
          <cell r="W105">
            <v>41.64</v>
          </cell>
        </row>
        <row r="106">
          <cell r="W106">
            <v>110.50449999999999</v>
          </cell>
        </row>
        <row r="107">
          <cell r="W107">
            <v>65.001199999999997</v>
          </cell>
        </row>
        <row r="108">
          <cell r="W108">
            <v>116.76390000000001</v>
          </cell>
        </row>
        <row r="109">
          <cell r="W109">
            <v>1.2462</v>
          </cell>
        </row>
        <row r="110">
          <cell r="W110">
            <v>1.05</v>
          </cell>
        </row>
        <row r="111">
          <cell r="W111">
            <v>1.25</v>
          </cell>
        </row>
        <row r="112">
          <cell r="W112">
            <v>41.64</v>
          </cell>
        </row>
        <row r="113">
          <cell r="W113">
            <v>1.2462</v>
          </cell>
        </row>
        <row r="114">
          <cell r="W114">
            <v>116.76390000000001</v>
          </cell>
        </row>
        <row r="115">
          <cell r="W115">
            <v>110.50449999999999</v>
          </cell>
        </row>
        <row r="116">
          <cell r="W116">
            <v>65.001199999999997</v>
          </cell>
        </row>
        <row r="117">
          <cell r="W117">
            <v>104.6412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110.50449999999999</v>
          </cell>
        </row>
        <row r="121">
          <cell r="W121">
            <v>40.590000000000003</v>
          </cell>
        </row>
        <row r="122">
          <cell r="W122">
            <v>104.6412</v>
          </cell>
        </row>
        <row r="123">
          <cell r="W123">
            <v>116.76390000000001</v>
          </cell>
        </row>
        <row r="124">
          <cell r="W124">
            <v>65.001199999999997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alifa Parkf"/>
      <sheetName val="W24f"/>
      <sheetName val="Kalk_90_H2"/>
      <sheetName val="EQUIPME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GONA"/>
      <sheetName val="BBP"/>
      <sheetName val="PS"/>
      <sheetName val="RELAYS"/>
      <sheetName val="DATA"/>
      <sheetName val="AN"/>
      <sheetName val="@risk rents and incentives"/>
      <sheetName val="Assumptions"/>
      <sheetName val="Rates"/>
      <sheetName val="BOQ"/>
      <sheetName val="Summary Sheet"/>
      <sheetName val="power"/>
      <sheetName val="#REF"/>
      <sheetName val="Bill 1"/>
      <sheetName val="Bill 2"/>
      <sheetName val="Bill 3"/>
      <sheetName val="Bill 4"/>
      <sheetName val="Bill 5"/>
      <sheetName val="Bill 6"/>
      <sheetName val="Bill 7"/>
    </sheetNames>
    <sheetDataSet>
      <sheetData sheetId="0" refreshError="1"/>
      <sheetData sheetId="1" refreshError="1"/>
      <sheetData sheetId="2" refreshError="1"/>
      <sheetData sheetId="3" refreshError="1">
        <row r="71">
          <cell r="E71">
            <v>11000</v>
          </cell>
        </row>
        <row r="73">
          <cell r="E73">
            <v>11500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irect"/>
      <sheetName val="cables"/>
      <sheetName val="calculations"/>
      <sheetName val="Calculations 2"/>
      <sheetName val="CT"/>
      <sheetName val="Ducts"/>
      <sheetName val="PIPING Prices"/>
      <sheetName val="Electrical Works"/>
      <sheetName val="Indirect"/>
      <sheetName val="FACTOR "/>
      <sheetName val="Bill 1"/>
      <sheetName val="Bill 2"/>
      <sheetName val="Bill 3"/>
      <sheetName val="Bill 4"/>
      <sheetName val="Bill 5"/>
      <sheetName val="Bill 6"/>
      <sheetName val="Bill 7"/>
      <sheetName val="AN"/>
      <sheetName val="Summary"/>
      <sheetName val="صحى"/>
      <sheetName val="Oracle Upload"/>
      <sheetName val="Tbl 1y 4"/>
      <sheetName val="COSTES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#REF"/>
      <sheetName val="Sheet1"/>
      <sheetName val="Z- GENERAL PRICE SUMMARY"/>
      <sheetName val="Sn3pt3Appx2UR-LNGtrain"/>
      <sheetName val="source"/>
      <sheetName val="fitoutconfcentre"/>
      <sheetName val="office"/>
      <sheetName val="Lab"/>
      <sheetName val="Material&amp;equipment"/>
      <sheetName val="RELAYS"/>
    </sheetNames>
    <sheetDataSet>
      <sheetData sheetId="0" refreshError="1"/>
      <sheetData sheetId="1" refreshError="1">
        <row r="120">
          <cell r="E120">
            <v>0.93099999999999994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20">
          <cell r="E120">
            <v>0</v>
          </cell>
        </row>
      </sheetData>
      <sheetData sheetId="24">
        <row r="120">
          <cell r="E120">
            <v>0</v>
          </cell>
        </row>
      </sheetData>
      <sheetData sheetId="25">
        <row r="120">
          <cell r="E120">
            <v>0</v>
          </cell>
        </row>
      </sheetData>
      <sheetData sheetId="26">
        <row r="120">
          <cell r="E120">
            <v>0</v>
          </cell>
        </row>
      </sheetData>
      <sheetData sheetId="27">
        <row r="120">
          <cell r="E120">
            <v>0</v>
          </cell>
        </row>
      </sheetData>
      <sheetData sheetId="28">
        <row r="120">
          <cell r="E120">
            <v>0</v>
          </cell>
        </row>
      </sheetData>
      <sheetData sheetId="29">
        <row r="120">
          <cell r="E120">
            <v>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>
        <row r="120">
          <cell r="E120">
            <v>0</v>
          </cell>
        </row>
      </sheetData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입찰"/>
      <sheetName val="수행(DESA)"/>
      <sheetName val="전략업무"/>
      <sheetName val="총공정계획(R1)"/>
      <sheetName val="공정계획(본사R1)"/>
      <sheetName val="선적관련"/>
      <sheetName val="매출"/>
      <sheetName val="신규벤더발굴"/>
      <sheetName val="입찰정보발굴"/>
      <sheetName val="경쟁사자료입수_분석"/>
      <sheetName val="결과-업무효율"/>
      <sheetName val="결과-SOFT"/>
      <sheetName val="입찰업무현황"/>
      <sheetName val="220 (2)"/>
      <sheetName val="BAOGIATHANG"/>
      <sheetName val="DAODAT"/>
      <sheetName val="vanchuyen TC"/>
      <sheetName val="CGM(REP.YAESU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A3" t="str">
            <v>해외 PROJECT 팀</v>
          </cell>
        </row>
        <row r="4">
          <cell r="A4" t="str">
            <v>구</v>
          </cell>
          <cell r="E4" t="str">
            <v>ORDER NO</v>
          </cell>
          <cell r="F4" t="str">
            <v>국가</v>
          </cell>
          <cell r="G4" t="str">
            <v>PROJECT 명</v>
          </cell>
          <cell r="H4" t="str">
            <v>발주처</v>
          </cell>
          <cell r="I4" t="str">
            <v>구  분</v>
          </cell>
          <cell r="J4" t="str">
            <v>전압</v>
          </cell>
          <cell r="K4" t="str">
            <v>입찰일</v>
          </cell>
          <cell r="L4" t="str">
            <v>견적원가</v>
          </cell>
          <cell r="M4" t="str">
            <v>응찰금액</v>
          </cell>
          <cell r="N4" t="str">
            <v>납기</v>
          </cell>
          <cell r="O4" t="str">
            <v>VALI-DITY</v>
          </cell>
          <cell r="P4" t="str">
            <v>입찰</v>
          </cell>
          <cell r="Q4" t="str">
            <v>특기사항</v>
          </cell>
        </row>
        <row r="5">
          <cell r="A5" t="str">
            <v>분</v>
          </cell>
          <cell r="E5" t="str">
            <v>접수일자</v>
          </cell>
          <cell r="F5" t="str">
            <v>자금원</v>
          </cell>
          <cell r="H5" t="str">
            <v>견적창구</v>
          </cell>
          <cell r="J5" t="str">
            <v>S.S숫자</v>
          </cell>
          <cell r="M5" t="str">
            <v>(견적수준)</v>
          </cell>
          <cell r="P5" t="str">
            <v>결과</v>
          </cell>
        </row>
        <row r="6">
          <cell r="B6">
            <v>11</v>
          </cell>
          <cell r="C6">
            <v>2</v>
          </cell>
          <cell r="D6" t="str">
            <v>개</v>
          </cell>
          <cell r="E6" t="str">
            <v>1E</v>
          </cell>
          <cell r="F6" t="str">
            <v>Albania</v>
          </cell>
          <cell r="G6" t="str">
            <v>EDCF PJT</v>
          </cell>
          <cell r="H6" t="str">
            <v>-</v>
          </cell>
          <cell r="I6" t="str">
            <v>CONV+ T/L</v>
          </cell>
          <cell r="J6" t="str">
            <v>220/110kV</v>
          </cell>
          <cell r="K6">
            <v>36982</v>
          </cell>
          <cell r="L6">
            <v>19500000</v>
          </cell>
          <cell r="M6">
            <v>22300000</v>
          </cell>
          <cell r="N6" t="str">
            <v>24M</v>
          </cell>
          <cell r="O6" t="str">
            <v>180일</v>
          </cell>
        </row>
        <row r="7">
          <cell r="I7" t="str">
            <v>Turn-key</v>
          </cell>
          <cell r="J7" t="str">
            <v>3기</v>
          </cell>
        </row>
        <row r="8">
          <cell r="F8" t="str">
            <v>EDCF</v>
          </cell>
          <cell r="H8" t="str">
            <v>수출</v>
          </cell>
          <cell r="M8">
            <v>1.1435897435897435</v>
          </cell>
        </row>
        <row r="9">
          <cell r="B9">
            <v>12</v>
          </cell>
          <cell r="C9">
            <v>3</v>
          </cell>
          <cell r="D9" t="str">
            <v>개</v>
          </cell>
          <cell r="E9" t="str">
            <v>1G</v>
          </cell>
          <cell r="F9" t="str">
            <v>Laos</v>
          </cell>
          <cell r="G9" t="str">
            <v>EDCF PJT</v>
          </cell>
          <cell r="H9" t="str">
            <v>EDL</v>
          </cell>
          <cell r="I9" t="str">
            <v>CONV+ T/L</v>
          </cell>
          <cell r="J9" t="str">
            <v xml:space="preserve">115kV </v>
          </cell>
          <cell r="K9">
            <v>37072</v>
          </cell>
          <cell r="L9">
            <v>17777853</v>
          </cell>
          <cell r="M9">
            <v>21500000</v>
          </cell>
          <cell r="N9" t="str">
            <v>18M</v>
          </cell>
          <cell r="O9" t="str">
            <v>150일</v>
          </cell>
        </row>
        <row r="10">
          <cell r="J10" t="str">
            <v>3기</v>
          </cell>
        </row>
        <row r="11">
          <cell r="F11" t="str">
            <v>EDCF</v>
          </cell>
          <cell r="H11" t="str">
            <v>효성물산</v>
          </cell>
          <cell r="I11" t="str">
            <v>Turn-key</v>
          </cell>
          <cell r="M11">
            <v>1.1435897435897435</v>
          </cell>
        </row>
        <row r="12">
          <cell r="A12" t="str">
            <v>완 료</v>
          </cell>
          <cell r="B12">
            <v>1</v>
          </cell>
          <cell r="C12">
            <v>1</v>
          </cell>
          <cell r="D12" t="str">
            <v>경</v>
          </cell>
          <cell r="E12" t="str">
            <v>1L</v>
          </cell>
          <cell r="F12" t="str">
            <v>B'DESH</v>
          </cell>
          <cell r="G12" t="str">
            <v>Aminbazar PJT</v>
          </cell>
          <cell r="H12" t="str">
            <v>PGCB</v>
          </cell>
          <cell r="I12" t="str">
            <v>CONV</v>
          </cell>
          <cell r="J12" t="str">
            <v>230/132kV</v>
          </cell>
          <cell r="K12">
            <v>37270</v>
          </cell>
          <cell r="L12">
            <v>7390000</v>
          </cell>
          <cell r="M12">
            <v>8350000</v>
          </cell>
          <cell r="N12" t="str">
            <v>24M</v>
          </cell>
          <cell r="O12" t="str">
            <v>6M</v>
          </cell>
          <cell r="P12" t="str">
            <v>2/10</v>
          </cell>
          <cell r="Q12" t="str">
            <v>LI 수령</v>
          </cell>
        </row>
        <row r="13">
          <cell r="I13" t="str">
            <v>Turn-key</v>
          </cell>
          <cell r="J13" t="str">
            <v>1기-新</v>
          </cell>
          <cell r="Q13" t="str">
            <v>('02.12.26)</v>
          </cell>
        </row>
        <row r="14">
          <cell r="E14">
            <v>37152</v>
          </cell>
          <cell r="F14" t="str">
            <v>ADB</v>
          </cell>
          <cell r="H14" t="str">
            <v>수출</v>
          </cell>
          <cell r="M14">
            <v>1.1299052774018945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8+110 LOADS"/>
      <sheetName val="CAL"/>
      <sheetName val="NO. OF CELL"/>
      <sheetName val="LOAD PROF S3"/>
      <sheetName val="Sheet9"/>
      <sheetName val="Sheet7"/>
      <sheetName val="Sheet2"/>
      <sheetName val="Sheet5"/>
      <sheetName val="LOAD PROF S4"/>
      <sheetName val="S1+S2+S3+S4"/>
      <sheetName val="charger load prof S4"/>
      <sheetName val="BASIS"/>
      <sheetName val="S1+S2+S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44">
          <cell r="K144">
            <v>1.2</v>
          </cell>
        </row>
        <row r="147">
          <cell r="K147">
            <v>1.4</v>
          </cell>
        </row>
        <row r="150">
          <cell r="K150">
            <v>0.88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alcul"/>
      <sheetName val="AP "/>
      <sheetName val="DONNE"/>
    </sheetNames>
    <sheetDataSet>
      <sheetData sheetId="0"/>
      <sheetData sheetId="1"/>
      <sheetData sheetId="2"/>
      <sheetData sheetId="3">
        <row r="3">
          <cell r="B3">
            <v>90</v>
          </cell>
        </row>
        <row r="4">
          <cell r="B4">
            <v>150</v>
          </cell>
        </row>
        <row r="10">
          <cell r="B10">
            <v>60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LEGEND ng "/>
      <sheetName val="Cover"/>
      <sheetName val="Summary"/>
      <sheetName val="Total"/>
      <sheetName val="TIE-IN"/>
      <sheetName val="ISBL"/>
      <sheetName val="OSBL"/>
      <sheetName val="Equipment"/>
      <sheetName val="Consumable"/>
      <sheetName val="Wages"/>
      <sheetName val="BldgMatrl."/>
      <sheetName val="QTY."/>
      <sheetName val="Earthwork"/>
      <sheetName val="Structure"/>
      <sheetName val="Finishing"/>
      <sheetName val="Formwork"/>
      <sheetName val="MNHOLE"/>
      <sheetName val="Productivity"/>
      <sheetName val="General Dat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Electro-Mechanical"/>
      <sheetName val=" outdoor lighting and power"/>
      <sheetName val="MEP"/>
    </sheetNames>
    <definedNames>
      <definedName name="COIORYG"/>
      <definedName name="REFPP" refersTo="#REF!"/>
      <definedName name="SAP.F.C.PEC_NUMBER_OF_GAS_TURBINES" refersTo="#REF!"/>
    </definedNames>
    <sheetDataSet>
      <sheetData sheetId="0">
        <row r="33">
          <cell r="O33">
            <v>779400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新桃"/>
    </sheetNames>
    <definedNames>
      <definedName name="BQ集計_1"/>
      <definedName name="選定_Btn"/>
    </defined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Sheets"/>
    </sheetNames>
    <sheetDataSet>
      <sheetData sheetId="0" refreshError="1"/>
      <sheetData sheetId="1" refreshError="1">
        <row r="2">
          <cell r="A2" t="str">
            <v>PROJECT LEVEL</v>
          </cell>
          <cell r="B2" t="str">
            <v>WBS CODE</v>
          </cell>
          <cell r="C2" t="str">
            <v>DESCRIPTION</v>
          </cell>
          <cell r="D2" t="str">
            <v>QUANTITY</v>
          </cell>
          <cell r="E2" t="str">
            <v>UNITS</v>
          </cell>
          <cell r="F2" t="str">
            <v>TOTAL MANHOURS</v>
          </cell>
          <cell r="G2" t="str">
            <v>TOTAL LABOR COST</v>
          </cell>
          <cell r="H2" t="str">
            <v>TOTAL MAT'L COST</v>
          </cell>
          <cell r="I2" t="str">
            <v>TOTAL S/C COST</v>
          </cell>
          <cell r="J2" t="str">
            <v>TOTAL COST</v>
          </cell>
          <cell r="L2" t="str">
            <v>CYCLE &amp; LVL 1 DKADU PLANT</v>
          </cell>
          <cell r="M2" t="str">
            <v>WBS CODE</v>
          </cell>
          <cell r="N2" t="str">
            <v>DESCRIPTION</v>
          </cell>
          <cell r="O2" t="str">
            <v>QUANTITY</v>
          </cell>
          <cell r="P2" t="str">
            <v>UNITS</v>
          </cell>
          <cell r="Q2" t="str">
            <v>TOTAL MANHOURS</v>
          </cell>
          <cell r="R2" t="str">
            <v>TOTAL LABOR COST</v>
          </cell>
          <cell r="S2" t="str">
            <v>TOTAL MAT'L COST</v>
          </cell>
          <cell r="T2" t="str">
            <v>TOTAL S/C COST</v>
          </cell>
          <cell r="U2" t="str">
            <v>TOTAL COST</v>
          </cell>
          <cell r="W2" t="str">
            <v>LEVEL 2 DKADU PLANT PG.1</v>
          </cell>
          <cell r="X2" t="str">
            <v>WBS CODE</v>
          </cell>
          <cell r="Y2" t="str">
            <v>DESCRIPTION</v>
          </cell>
          <cell r="Z2" t="str">
            <v>QUANTITY</v>
          </cell>
          <cell r="AA2" t="str">
            <v>UNITS</v>
          </cell>
          <cell r="AB2" t="str">
            <v>TOTAL MANHOURS</v>
          </cell>
          <cell r="AC2" t="str">
            <v>TOTAL LABOR COST</v>
          </cell>
          <cell r="AD2" t="str">
            <v>TOTAL MAT'L COST</v>
          </cell>
          <cell r="AE2" t="str">
            <v>TOTAL S/C COST</v>
          </cell>
          <cell r="AF2" t="str">
            <v>TOTAL COST</v>
          </cell>
          <cell r="AH2" t="str">
            <v>LEVEL 3 DKADU PLANT PG 1</v>
          </cell>
          <cell r="AI2" t="str">
            <v>WBS CODE</v>
          </cell>
          <cell r="AJ2" t="str">
            <v>DESCRIPTION</v>
          </cell>
          <cell r="AK2" t="str">
            <v>QUANTITY</v>
          </cell>
          <cell r="AL2" t="str">
            <v>UNITS</v>
          </cell>
          <cell r="AM2" t="str">
            <v>TOTAL MANHOURS</v>
          </cell>
          <cell r="AN2" t="str">
            <v>TOTAL LABOR COST</v>
          </cell>
          <cell r="AO2" t="str">
            <v>TOTAL MAT'L COST</v>
          </cell>
          <cell r="AP2" t="str">
            <v>TOTAL S/C COST</v>
          </cell>
          <cell r="AQ2" t="str">
            <v>TOTAL COST</v>
          </cell>
        </row>
        <row r="3">
          <cell r="A3" t="str">
            <v>PLANT LEVEL</v>
          </cell>
        </row>
        <row r="4">
          <cell r="B4" t="str">
            <v>1AA--</v>
          </cell>
          <cell r="C4" t="str">
            <v>DKADU PLANT  ENGINEERING/PROCUREMENT</v>
          </cell>
          <cell r="F4">
            <v>6250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M4" t="str">
            <v>1AAA-</v>
          </cell>
          <cell r="N4" t="str">
            <v>DKADU PLANT  - DIRECT ENGINEERING</v>
          </cell>
          <cell r="Q4">
            <v>5340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X4" t="str">
            <v>1AAAA</v>
          </cell>
          <cell r="Y4" t="str">
            <v>DKADU PLANT  - DIR. ENG.  PROCESS</v>
          </cell>
          <cell r="AF4">
            <v>0</v>
          </cell>
          <cell r="AI4" t="str">
            <v>1ABAAA</v>
          </cell>
          <cell r="AJ4" t="str">
            <v>DEMETHANISER FEED DRUM</v>
          </cell>
          <cell r="AK4">
            <v>1</v>
          </cell>
          <cell r="AL4" t="str">
            <v>EA</v>
          </cell>
          <cell r="AO4">
            <v>461000</v>
          </cell>
          <cell r="AQ4">
            <v>461000</v>
          </cell>
        </row>
        <row r="5">
          <cell r="B5" t="str">
            <v>1AB--</v>
          </cell>
          <cell r="C5" t="str">
            <v>DKADU PLANT  FABRICATION/DELIVERY</v>
          </cell>
          <cell r="F5">
            <v>0</v>
          </cell>
          <cell r="G5">
            <v>0</v>
          </cell>
          <cell r="H5">
            <v>28083700</v>
          </cell>
          <cell r="I5">
            <v>0</v>
          </cell>
          <cell r="J5">
            <v>28083700</v>
          </cell>
          <cell r="M5" t="str">
            <v>1AAH-</v>
          </cell>
          <cell r="N5" t="str">
            <v>DKADU PLANT  EQUIPMENT SPECIFICATION</v>
          </cell>
          <cell r="Q5">
            <v>910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 t="str">
            <v>1AAAB</v>
          </cell>
          <cell r="Y5" t="str">
            <v>DKADU PLANT  - DIR. ENG.  PERMITS</v>
          </cell>
          <cell r="AF5">
            <v>0</v>
          </cell>
          <cell r="AI5" t="str">
            <v>1ABAAB</v>
          </cell>
          <cell r="AJ5" t="str">
            <v>RECYCLE EXPANDER OUTLET DRUM</v>
          </cell>
          <cell r="AK5">
            <v>1</v>
          </cell>
          <cell r="AL5" t="str">
            <v>EA</v>
          </cell>
          <cell r="AO5">
            <v>610000</v>
          </cell>
          <cell r="AQ5">
            <v>610000</v>
          </cell>
        </row>
        <row r="6">
          <cell r="B6" t="str">
            <v>1AC--</v>
          </cell>
          <cell r="C6" t="str">
            <v>DKADU PLANT  CONSTRUCTION</v>
          </cell>
          <cell r="F6">
            <v>212160</v>
          </cell>
          <cell r="G6">
            <v>2551320</v>
          </cell>
          <cell r="H6">
            <v>0</v>
          </cell>
          <cell r="I6">
            <v>0</v>
          </cell>
          <cell r="J6">
            <v>2551320</v>
          </cell>
          <cell r="M6" t="str">
            <v>1AAI-</v>
          </cell>
          <cell r="N6" t="str">
            <v>DKADU PLANT  - ENGINEERING PROCUREMENT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 t="str">
            <v>1AAAC</v>
          </cell>
          <cell r="Y6" t="str">
            <v>DKADU PLANT  - DIR. ENG.  CIVIL/STRUCTURAL</v>
          </cell>
          <cell r="AF6">
            <v>0</v>
          </cell>
          <cell r="AI6" t="str">
            <v>1ABAAC</v>
          </cell>
          <cell r="AJ6" t="str">
            <v>RECYCLE EXPANDER INLET DRUM</v>
          </cell>
          <cell r="AK6">
            <v>1</v>
          </cell>
          <cell r="AL6" t="str">
            <v>EA</v>
          </cell>
          <cell r="AO6">
            <v>827000</v>
          </cell>
          <cell r="AQ6">
            <v>827000</v>
          </cell>
        </row>
        <row r="7">
          <cell r="B7" t="str">
            <v>1AD--</v>
          </cell>
          <cell r="C7" t="str">
            <v>DKADU PLANT  COMMISSIONING, STARTUP &amp; TRAINING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M7" t="str">
            <v>1AAJ-</v>
          </cell>
          <cell r="N7" t="str">
            <v>DKADU PLANT  - INDIRECT ENGINEERING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 t="str">
            <v>1AAAD</v>
          </cell>
          <cell r="Y7" t="str">
            <v>DKADU PLANT  - DIR. ENG.  MECHANICAL</v>
          </cell>
          <cell r="Z7">
            <v>60</v>
          </cell>
          <cell r="AA7" t="str">
            <v>EA</v>
          </cell>
          <cell r="AB7">
            <v>5340</v>
          </cell>
          <cell r="AF7">
            <v>0</v>
          </cell>
          <cell r="AI7" t="str">
            <v>1ABAAD</v>
          </cell>
          <cell r="AJ7" t="str">
            <v>LP BOOSTER COMPRESSOR KNOCK-OUT DRUM</v>
          </cell>
          <cell r="AK7">
            <v>1</v>
          </cell>
          <cell r="AL7" t="str">
            <v>EA</v>
          </cell>
          <cell r="AO7">
            <v>43000</v>
          </cell>
          <cell r="AQ7">
            <v>43000</v>
          </cell>
        </row>
        <row r="8">
          <cell r="B8" t="str">
            <v>1A---</v>
          </cell>
          <cell r="C8" t="str">
            <v xml:space="preserve">SUBTOTAL DKADU PLANT </v>
          </cell>
          <cell r="F8">
            <v>218410</v>
          </cell>
          <cell r="G8">
            <v>2551320</v>
          </cell>
          <cell r="H8">
            <v>28083700</v>
          </cell>
          <cell r="I8">
            <v>0</v>
          </cell>
          <cell r="J8">
            <v>30635020</v>
          </cell>
          <cell r="M8" t="str">
            <v>1AA--</v>
          </cell>
          <cell r="N8" t="str">
            <v>SUBTOTAL DKADU PLANT  - ENGINEERING/PROCUREMENT</v>
          </cell>
          <cell r="Q8">
            <v>6250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 t="str">
            <v>1AAAE</v>
          </cell>
          <cell r="Y8" t="str">
            <v>DKADU PLANT  - DIR. ENG.  PIPING</v>
          </cell>
          <cell r="AF8">
            <v>0</v>
          </cell>
          <cell r="AI8" t="str">
            <v>1ABAAE</v>
          </cell>
          <cell r="AJ8" t="str">
            <v>RAW NGL SURGE DRUM</v>
          </cell>
          <cell r="AK8">
            <v>1</v>
          </cell>
          <cell r="AL8" t="str">
            <v>EA</v>
          </cell>
          <cell r="AO8">
            <v>96000</v>
          </cell>
          <cell r="AQ8">
            <v>96000</v>
          </cell>
        </row>
        <row r="9">
          <cell r="X9" t="str">
            <v>1AAAF</v>
          </cell>
          <cell r="Y9" t="str">
            <v>DKADU PLANT  - DIR. ENG.  ELECTRICAL</v>
          </cell>
          <cell r="AF9">
            <v>0</v>
          </cell>
          <cell r="AI9" t="str">
            <v>1ABAAF</v>
          </cell>
          <cell r="AJ9" t="str">
            <v>RECYCLE COMPRESSORS SUCTION SCRUBBERS</v>
          </cell>
          <cell r="AK9">
            <v>3</v>
          </cell>
          <cell r="AL9" t="str">
            <v>EA</v>
          </cell>
          <cell r="AO9">
            <v>286000</v>
          </cell>
          <cell r="AQ9">
            <v>286000</v>
          </cell>
        </row>
        <row r="10">
          <cell r="B10" t="str">
            <v>1BA--</v>
          </cell>
          <cell r="C10" t="str">
            <v>NGL-4 PLANT  ENGINEERING/PROCUREMENT</v>
          </cell>
          <cell r="F10">
            <v>10006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 t="str">
            <v>1ABA-</v>
          </cell>
          <cell r="N10" t="str">
            <v>DKADU PLANT  - FAB/DELIVERY - MAJOR EQUIPMENT</v>
          </cell>
          <cell r="Q10">
            <v>0</v>
          </cell>
          <cell r="R10">
            <v>0</v>
          </cell>
          <cell r="S10">
            <v>28083700</v>
          </cell>
          <cell r="T10">
            <v>0</v>
          </cell>
          <cell r="U10">
            <v>28083700</v>
          </cell>
          <cell r="X10" t="str">
            <v>1AAAG</v>
          </cell>
          <cell r="Y10" t="str">
            <v>DKADU PLANT  - DIR. ENG.  INSTRUMENTATION</v>
          </cell>
          <cell r="AF10">
            <v>0</v>
          </cell>
          <cell r="AI10" t="str">
            <v>1ABAAX</v>
          </cell>
          <cell r="AJ10" t="str">
            <v>OTHER PRESSURE VESSELS</v>
          </cell>
          <cell r="AK10">
            <v>4</v>
          </cell>
          <cell r="AL10" t="str">
            <v>EA</v>
          </cell>
          <cell r="AO10">
            <v>135000</v>
          </cell>
          <cell r="AQ10">
            <v>135000</v>
          </cell>
        </row>
        <row r="11">
          <cell r="B11" t="str">
            <v>1BB--</v>
          </cell>
          <cell r="C11" t="str">
            <v>NGL-4 PLANT  FABRICATION/DELIVERY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M11" t="str">
            <v>1ABB-</v>
          </cell>
          <cell r="N11" t="str">
            <v>DKADU PLANT  - FAB/DELIVERY - BULKS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X11" t="str">
            <v>1AAAH</v>
          </cell>
          <cell r="Y11" t="str">
            <v>DKADU PLANT  - DIR. ENG.  ARCHITECTURAL</v>
          </cell>
          <cell r="AF11">
            <v>0</v>
          </cell>
          <cell r="AI11" t="str">
            <v>1ABAA-</v>
          </cell>
          <cell r="AJ11" t="str">
            <v>SUBTOTAL PRESSURE VESSELS</v>
          </cell>
          <cell r="AK11">
            <v>12</v>
          </cell>
          <cell r="AL11">
            <v>0</v>
          </cell>
          <cell r="AM11">
            <v>0</v>
          </cell>
          <cell r="AN11">
            <v>0</v>
          </cell>
          <cell r="AO11">
            <v>2458000</v>
          </cell>
          <cell r="AP11">
            <v>0</v>
          </cell>
          <cell r="AQ11">
            <v>2458000</v>
          </cell>
        </row>
        <row r="12">
          <cell r="B12" t="str">
            <v>1BC--</v>
          </cell>
          <cell r="C12" t="str">
            <v>NGL-4 PLANT  CONSTRUCTION</v>
          </cell>
          <cell r="F12">
            <v>376990</v>
          </cell>
          <cell r="G12">
            <v>5042400</v>
          </cell>
          <cell r="H12">
            <v>0</v>
          </cell>
          <cell r="I12">
            <v>0</v>
          </cell>
          <cell r="J12">
            <v>5042400</v>
          </cell>
          <cell r="M12" t="str">
            <v>1ABC-</v>
          </cell>
          <cell r="N12" t="str">
            <v>DKADU  - FAB/DELIVERY - ENGINEERING SPECIALTIES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X12" t="str">
            <v>1AAAI</v>
          </cell>
          <cell r="Y12" t="str">
            <v>DKADU  - DIR. ENG.  PIPELINES</v>
          </cell>
          <cell r="Z12" t="str">
            <v>N/A</v>
          </cell>
          <cell r="AA12" t="str">
            <v>N/A</v>
          </cell>
          <cell r="AB12" t="str">
            <v>N/A</v>
          </cell>
          <cell r="AC12" t="str">
            <v>N/A</v>
          </cell>
          <cell r="AD12" t="str">
            <v>N/A</v>
          </cell>
          <cell r="AE12" t="str">
            <v>N/A</v>
          </cell>
          <cell r="AF12" t="str">
            <v>N/A</v>
          </cell>
        </row>
        <row r="13">
          <cell r="B13" t="str">
            <v>1BD--</v>
          </cell>
          <cell r="C13" t="str">
            <v>NGL-4 PLANT  COMMISSIONING, STARTUP &amp; TRAINING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M13" t="str">
            <v>1AB--</v>
          </cell>
          <cell r="N13" t="str">
            <v>SUBTOTAL DKADU  - FABRICATION/DELIVERY</v>
          </cell>
          <cell r="Q13">
            <v>0</v>
          </cell>
          <cell r="R13">
            <v>0</v>
          </cell>
          <cell r="S13">
            <v>28083700</v>
          </cell>
          <cell r="T13">
            <v>0</v>
          </cell>
          <cell r="U13">
            <v>28083700</v>
          </cell>
          <cell r="X13" t="str">
            <v>1AAA-</v>
          </cell>
          <cell r="Y13" t="str">
            <v>SUBTOTAL - DKADU  - DIRECT ENGINEERING</v>
          </cell>
          <cell r="Z13">
            <v>60</v>
          </cell>
          <cell r="AA13" t="str">
            <v>N/A</v>
          </cell>
          <cell r="AB13">
            <v>5340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I13" t="str">
            <v>1ABABA</v>
          </cell>
          <cell r="AJ13" t="str">
            <v>HP DEMETHANISER COLUMN</v>
          </cell>
          <cell r="AK13">
            <v>1</v>
          </cell>
          <cell r="AL13" t="str">
            <v>EA</v>
          </cell>
          <cell r="AO13">
            <v>2277000</v>
          </cell>
          <cell r="AQ13">
            <v>2277000</v>
          </cell>
        </row>
        <row r="14">
          <cell r="B14" t="str">
            <v>1B---</v>
          </cell>
          <cell r="C14" t="str">
            <v xml:space="preserve">SUBTOTAL NGL-4 PLANT </v>
          </cell>
          <cell r="F14">
            <v>386996</v>
          </cell>
          <cell r="G14">
            <v>5042400</v>
          </cell>
          <cell r="H14">
            <v>0</v>
          </cell>
          <cell r="I14">
            <v>0</v>
          </cell>
          <cell r="J14">
            <v>5042400</v>
          </cell>
          <cell r="AI14" t="str">
            <v>1ABABB</v>
          </cell>
          <cell r="AJ14" t="str">
            <v>LP DEMETHANISER COLUMN</v>
          </cell>
          <cell r="AK14">
            <v>1</v>
          </cell>
          <cell r="AL14" t="str">
            <v>EA</v>
          </cell>
          <cell r="AO14">
            <v>992000</v>
          </cell>
          <cell r="AQ14">
            <v>992000</v>
          </cell>
        </row>
        <row r="15">
          <cell r="M15" t="str">
            <v>1ACA-</v>
          </cell>
          <cell r="N15" t="str">
            <v>DKADU  - CONSTRUCTION - CIVIL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 t="str">
            <v>1AAHA</v>
          </cell>
          <cell r="Y15" t="str">
            <v>DKADU  - EQUIP. SPECS - PRESSURE VESSELS</v>
          </cell>
          <cell r="Z15">
            <v>12</v>
          </cell>
          <cell r="AA15" t="str">
            <v>EA</v>
          </cell>
          <cell r="AB15">
            <v>130</v>
          </cell>
          <cell r="AF15">
            <v>0</v>
          </cell>
          <cell r="AI15" t="str">
            <v>1ABABX</v>
          </cell>
          <cell r="AJ15" t="str">
            <v>OTHER COLUMNS</v>
          </cell>
          <cell r="AQ15">
            <v>0</v>
          </cell>
        </row>
        <row r="16">
          <cell r="B16" t="str">
            <v>1CA--</v>
          </cell>
          <cell r="C16" t="str">
            <v>NFGP UPGRADE  ENGINEERING/PROCUREMENT</v>
          </cell>
          <cell r="F16">
            <v>3072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M16" t="str">
            <v>1ACB-</v>
          </cell>
          <cell r="N16" t="str">
            <v>DKADU  - CONSTRUCTION - MAJOR EQUIPMENT</v>
          </cell>
          <cell r="Q16">
            <v>212160</v>
          </cell>
          <cell r="R16">
            <v>2551320</v>
          </cell>
          <cell r="S16">
            <v>0</v>
          </cell>
          <cell r="T16">
            <v>0</v>
          </cell>
          <cell r="U16">
            <v>2551320</v>
          </cell>
          <cell r="X16" t="str">
            <v>1AAHB</v>
          </cell>
          <cell r="Y16" t="str">
            <v>DKADU  - EQUIP. SPECS - COLUMNS</v>
          </cell>
          <cell r="Z16">
            <v>2</v>
          </cell>
          <cell r="AA16" t="str">
            <v>EA</v>
          </cell>
          <cell r="AB16">
            <v>120</v>
          </cell>
          <cell r="AF16">
            <v>0</v>
          </cell>
          <cell r="AI16" t="str">
            <v>1ABAB</v>
          </cell>
          <cell r="AJ16" t="str">
            <v>SUBTOTAL COLUMNS</v>
          </cell>
          <cell r="AK16">
            <v>2</v>
          </cell>
          <cell r="AL16">
            <v>0</v>
          </cell>
          <cell r="AM16">
            <v>0</v>
          </cell>
          <cell r="AN16">
            <v>0</v>
          </cell>
          <cell r="AO16">
            <v>3269000</v>
          </cell>
          <cell r="AP16">
            <v>0</v>
          </cell>
          <cell r="AQ16">
            <v>3269000</v>
          </cell>
        </row>
        <row r="17">
          <cell r="B17" t="str">
            <v>1CB--</v>
          </cell>
          <cell r="C17" t="str">
            <v>NFGP UPGRADE  FABRICATION/DELIVERY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M17" t="str">
            <v>1ACC-</v>
          </cell>
          <cell r="N17" t="str">
            <v>DKADU  - CONSTRUCTION - BULKS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 t="str">
            <v>1AAHC</v>
          </cell>
          <cell r="Y17" t="str">
            <v>DKADU  - EQUIP. SPECS - REACTORS</v>
          </cell>
          <cell r="AF17">
            <v>0</v>
          </cell>
        </row>
        <row r="18">
          <cell r="B18" t="str">
            <v>1CC--</v>
          </cell>
          <cell r="C18" t="str">
            <v>NFGP UPGRADE  CONSTRUCTION</v>
          </cell>
          <cell r="F18">
            <v>48970</v>
          </cell>
          <cell r="G18">
            <v>859300</v>
          </cell>
          <cell r="H18">
            <v>0</v>
          </cell>
          <cell r="I18">
            <v>0</v>
          </cell>
          <cell r="J18">
            <v>859300</v>
          </cell>
          <cell r="M18" t="str">
            <v>1ACD-</v>
          </cell>
          <cell r="N18" t="str">
            <v>DKADU  - CONSTRUCTION - CONSTRUCTION SPECIALTIES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 t="str">
            <v>1AAHD</v>
          </cell>
          <cell r="Y18" t="str">
            <v>DKADU  - EQUIP. SPECS - FIELD ERECTED TANKS</v>
          </cell>
          <cell r="Z18" t="str">
            <v>N/A</v>
          </cell>
          <cell r="AA18" t="str">
            <v>N/A</v>
          </cell>
          <cell r="AB18" t="str">
            <v>N/A</v>
          </cell>
          <cell r="AC18" t="str">
            <v>N/A</v>
          </cell>
          <cell r="AD18" t="str">
            <v>N/A</v>
          </cell>
          <cell r="AE18" t="str">
            <v>N/A</v>
          </cell>
          <cell r="AF18" t="str">
            <v>N/A</v>
          </cell>
          <cell r="AI18" t="str">
            <v>1ABAEA</v>
          </cell>
          <cell r="AJ18" t="str">
            <v>DEMETHANIZER BOTTOM BOOSTER PUMP W/ DRIVERS</v>
          </cell>
          <cell r="AK18">
            <v>3</v>
          </cell>
          <cell r="AL18" t="str">
            <v>EA</v>
          </cell>
          <cell r="AO18">
            <v>390000</v>
          </cell>
          <cell r="AQ18">
            <v>390000</v>
          </cell>
        </row>
        <row r="19">
          <cell r="B19" t="str">
            <v>1CD--</v>
          </cell>
          <cell r="C19" t="str">
            <v>NFGP UPGRADE  COMMISSIONING, STARTUP &amp; TRAINING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M19" t="str">
            <v>1ACE-</v>
          </cell>
          <cell r="N19" t="str">
            <v>DKADU  - CONSTRUCTION - OTHER DIRECT WORK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 t="str">
            <v>1AAHE</v>
          </cell>
          <cell r="Y19" t="str">
            <v>DKADU  - EQUIP. SPECS - PUMPS</v>
          </cell>
          <cell r="Z19">
            <v>7</v>
          </cell>
          <cell r="AA19" t="str">
            <v>EA</v>
          </cell>
          <cell r="AB19">
            <v>150</v>
          </cell>
          <cell r="AF19">
            <v>0</v>
          </cell>
          <cell r="AI19" t="str">
            <v>1ABAEB</v>
          </cell>
          <cell r="AJ19" t="str">
            <v>NGL PIPELINE PUMP W/ DRIVERS</v>
          </cell>
          <cell r="AK19">
            <v>3</v>
          </cell>
          <cell r="AL19" t="str">
            <v>EA</v>
          </cell>
          <cell r="AO19">
            <v>561000</v>
          </cell>
          <cell r="AQ19">
            <v>561000</v>
          </cell>
        </row>
        <row r="20">
          <cell r="B20" t="str">
            <v>1C---</v>
          </cell>
          <cell r="C20" t="str">
            <v xml:space="preserve">SUBTOTAL NFGP UPGRADE </v>
          </cell>
          <cell r="F20">
            <v>52042</v>
          </cell>
          <cell r="G20">
            <v>859300</v>
          </cell>
          <cell r="H20">
            <v>0</v>
          </cell>
          <cell r="I20">
            <v>0</v>
          </cell>
          <cell r="J20">
            <v>859300</v>
          </cell>
          <cell r="M20" t="str">
            <v>1ACF-</v>
          </cell>
          <cell r="N20" t="str">
            <v>DKADU  - CONSTRUCTION - INDIRECTS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X20" t="str">
            <v>1AAHF</v>
          </cell>
          <cell r="Y20" t="str">
            <v>DKADU  - EQUIP. SPECS - HEAT EXCHANGERS - S &amp; T</v>
          </cell>
          <cell r="Z20">
            <v>18</v>
          </cell>
          <cell r="AA20" t="str">
            <v>EA</v>
          </cell>
          <cell r="AB20">
            <v>160</v>
          </cell>
          <cell r="AF20">
            <v>0</v>
          </cell>
          <cell r="AI20" t="str">
            <v>1ABAEX</v>
          </cell>
          <cell r="AJ20" t="str">
            <v>OTHER PUMPS</v>
          </cell>
          <cell r="AK20">
            <v>1</v>
          </cell>
          <cell r="AL20" t="str">
            <v>EA</v>
          </cell>
          <cell r="AO20">
            <v>6000</v>
          </cell>
          <cell r="AQ20">
            <v>6000</v>
          </cell>
        </row>
        <row r="21">
          <cell r="M21" t="str">
            <v>1AC--</v>
          </cell>
          <cell r="N21" t="str">
            <v>SUBTOTAL DKADU PLANT  - CONSTRUCTION</v>
          </cell>
          <cell r="Q21">
            <v>212160</v>
          </cell>
          <cell r="R21">
            <v>2551320</v>
          </cell>
          <cell r="S21">
            <v>0</v>
          </cell>
          <cell r="T21">
            <v>0</v>
          </cell>
          <cell r="U21">
            <v>2551320</v>
          </cell>
          <cell r="X21" t="str">
            <v>1AAHG</v>
          </cell>
          <cell r="Y21" t="str">
            <v>DKADU PLANT  - EQUIP. SPECS - HEAT EXCHANGERS - FINNED</v>
          </cell>
          <cell r="AF21">
            <v>0</v>
          </cell>
          <cell r="AI21" t="str">
            <v>1ABAE-</v>
          </cell>
          <cell r="AJ21" t="str">
            <v>SUBTOTAL PUMPS</v>
          </cell>
          <cell r="AK21">
            <v>7</v>
          </cell>
          <cell r="AL21">
            <v>0</v>
          </cell>
          <cell r="AM21">
            <v>0</v>
          </cell>
          <cell r="AN21">
            <v>0</v>
          </cell>
          <cell r="AO21">
            <v>957000</v>
          </cell>
          <cell r="AP21">
            <v>0</v>
          </cell>
          <cell r="AQ21">
            <v>957000</v>
          </cell>
        </row>
        <row r="22">
          <cell r="B22" t="str">
            <v>1DA--</v>
          </cell>
          <cell r="C22" t="str">
            <v>PIPELINE ENGINEERING/PROCUREMENT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X22" t="str">
            <v>1AAHH</v>
          </cell>
          <cell r="Y22" t="str">
            <v>DKADU PLANT  - EQUIP. SPECS - EXTRUDERS</v>
          </cell>
          <cell r="Z22" t="str">
            <v>N/A</v>
          </cell>
          <cell r="AA22" t="str">
            <v>N/A</v>
          </cell>
          <cell r="AB22" t="str">
            <v>N/A</v>
          </cell>
          <cell r="AC22" t="str">
            <v>N/A</v>
          </cell>
          <cell r="AD22" t="str">
            <v>N/A</v>
          </cell>
          <cell r="AE22" t="str">
            <v>N/A</v>
          </cell>
          <cell r="AF22" t="str">
            <v>N/A</v>
          </cell>
        </row>
        <row r="23">
          <cell r="B23" t="str">
            <v>1DB--</v>
          </cell>
          <cell r="C23" t="str">
            <v>PIPELINE  FABRICATION/DELIVERY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M23" t="str">
            <v>1ADA-</v>
          </cell>
          <cell r="N23" t="str">
            <v>DKADU PLANT  - COMMISSIONING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 t="str">
            <v>1AAHI</v>
          </cell>
          <cell r="Y23" t="str">
            <v>DKADU PLANT  - EQUIP. SPECS - COMPRESSORS</v>
          </cell>
          <cell r="Z23">
            <v>15</v>
          </cell>
          <cell r="AA23" t="str">
            <v>EA</v>
          </cell>
          <cell r="AB23">
            <v>250</v>
          </cell>
          <cell r="AF23">
            <v>0</v>
          </cell>
          <cell r="AI23" t="str">
            <v>1ABAFA</v>
          </cell>
          <cell r="AJ23" t="str">
            <v>DEMETHANIZER FEED CHILLER W/ OH REFLUX COOLER</v>
          </cell>
          <cell r="AK23">
            <v>2</v>
          </cell>
          <cell r="AL23" t="str">
            <v>EA</v>
          </cell>
          <cell r="AO23">
            <v>2298000</v>
          </cell>
          <cell r="AQ23">
            <v>2298000</v>
          </cell>
        </row>
        <row r="24">
          <cell r="B24" t="str">
            <v>1DC--</v>
          </cell>
          <cell r="C24" t="str">
            <v>PIPELINE CONSTRUCTION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M24" t="str">
            <v>1ADB-</v>
          </cell>
          <cell r="N24" t="str">
            <v>DKADU PLANT  -STARTUP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X24" t="str">
            <v>1AAHJ</v>
          </cell>
          <cell r="Y24" t="str">
            <v>DKADU PLANT  - EQUIP. SPECS - GENERATORS</v>
          </cell>
          <cell r="Z24" t="str">
            <v>N/A</v>
          </cell>
          <cell r="AA24" t="str">
            <v>N/A</v>
          </cell>
          <cell r="AB24" t="str">
            <v>N/A</v>
          </cell>
          <cell r="AC24" t="str">
            <v>N/A</v>
          </cell>
          <cell r="AD24" t="str">
            <v>N/A</v>
          </cell>
          <cell r="AE24" t="str">
            <v>N/A</v>
          </cell>
          <cell r="AF24" t="str">
            <v>N/A</v>
          </cell>
          <cell r="AI24" t="str">
            <v>1ABAFB</v>
          </cell>
          <cell r="AJ24" t="str">
            <v>RECYCLE GAS PREHEATER</v>
          </cell>
          <cell r="AK24">
            <v>1</v>
          </cell>
          <cell r="AL24" t="str">
            <v>EA</v>
          </cell>
          <cell r="AO24">
            <v>1149000</v>
          </cell>
          <cell r="AQ24">
            <v>1149000</v>
          </cell>
        </row>
        <row r="25">
          <cell r="B25" t="str">
            <v>1DD--</v>
          </cell>
          <cell r="C25" t="str">
            <v>PIPELINE COMMISSIONING, STARTUP &amp; TRAINING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M25" t="str">
            <v>1ADC-</v>
          </cell>
          <cell r="N25" t="str">
            <v>DKADU PLANT  -TRAINING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X25" t="str">
            <v>1AAHK</v>
          </cell>
          <cell r="Y25" t="str">
            <v>DKADU PLANT  - EQUIP. SPECS - MOTORS &amp; DRIVERS</v>
          </cell>
          <cell r="AF25">
            <v>0</v>
          </cell>
          <cell r="AI25" t="str">
            <v>1ABAFC</v>
          </cell>
          <cell r="AJ25" t="str">
            <v>RECYCLE GAS/GAS EXCHANGERS</v>
          </cell>
          <cell r="AK25">
            <v>2</v>
          </cell>
          <cell r="AL25" t="str">
            <v>EA</v>
          </cell>
          <cell r="AO25">
            <v>385000</v>
          </cell>
          <cell r="AQ25">
            <v>385000</v>
          </cell>
        </row>
        <row r="26">
          <cell r="B26" t="str">
            <v>1D---</v>
          </cell>
          <cell r="C26" t="str">
            <v>SUBTOTAL PIPELINE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M26" t="str">
            <v>1AD--</v>
          </cell>
          <cell r="N26" t="str">
            <v>SUBTOTAL DKADU PLANT  - COMMISSIONING, STARTUP &amp; TRAINING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X26" t="str">
            <v>1AAHL</v>
          </cell>
          <cell r="Y26" t="str">
            <v>DKADU PLANT  - EQUIP. SPECS - FIRED EQUIPMENT</v>
          </cell>
          <cell r="Z26" t="str">
            <v>N/A</v>
          </cell>
          <cell r="AA26" t="str">
            <v>N/A</v>
          </cell>
          <cell r="AB26" t="str">
            <v>N/A</v>
          </cell>
          <cell r="AC26" t="str">
            <v>N/A</v>
          </cell>
          <cell r="AD26" t="str">
            <v>N/A</v>
          </cell>
          <cell r="AE26" t="str">
            <v>N/A</v>
          </cell>
          <cell r="AF26" t="str">
            <v>N/A</v>
          </cell>
          <cell r="AI26" t="str">
            <v>1ABAFD</v>
          </cell>
          <cell r="AJ26" t="str">
            <v>LP GAS/GAS EXCHANGERS</v>
          </cell>
          <cell r="AK26">
            <v>4</v>
          </cell>
          <cell r="AL26" t="str">
            <v>EA</v>
          </cell>
          <cell r="AO26">
            <v>1935000</v>
          </cell>
          <cell r="AQ26">
            <v>1935000</v>
          </cell>
        </row>
        <row r="27">
          <cell r="X27" t="str">
            <v>1AAHM</v>
          </cell>
          <cell r="Y27" t="str">
            <v>DKADU PLANT  - EQUIP. SPECS - BLOWERS, FANS</v>
          </cell>
          <cell r="Z27" t="str">
            <v>N/A</v>
          </cell>
          <cell r="AA27" t="str">
            <v>N/A</v>
          </cell>
          <cell r="AB27" t="str">
            <v>N/A</v>
          </cell>
          <cell r="AC27" t="str">
            <v>N/A</v>
          </cell>
          <cell r="AD27" t="str">
            <v>N/A</v>
          </cell>
          <cell r="AE27" t="str">
            <v>N/A</v>
          </cell>
          <cell r="AF27" t="str">
            <v>N/A</v>
          </cell>
          <cell r="AI27" t="str">
            <v>1ABAFE</v>
          </cell>
          <cell r="AJ27" t="str">
            <v>LP DEMETHANIZER REBOILER</v>
          </cell>
          <cell r="AK27">
            <v>1</v>
          </cell>
          <cell r="AL27" t="str">
            <v>EA</v>
          </cell>
          <cell r="AO27">
            <v>610000</v>
          </cell>
          <cell r="AQ27">
            <v>610000</v>
          </cell>
        </row>
        <row r="28">
          <cell r="B28" t="str">
            <v>1EA--</v>
          </cell>
          <cell r="C28" t="str">
            <v>TANK ENGINEERING/PROCUREMENT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X28" t="str">
            <v>1AAHN</v>
          </cell>
          <cell r="Y28" t="str">
            <v>DKADU PLANT  - EQUIP. SPECS - FILTERS</v>
          </cell>
          <cell r="Z28" t="str">
            <v>N/A</v>
          </cell>
          <cell r="AA28" t="str">
            <v>N/A</v>
          </cell>
          <cell r="AB28" t="str">
            <v>N/A</v>
          </cell>
          <cell r="AC28" t="str">
            <v>N/A</v>
          </cell>
          <cell r="AD28" t="str">
            <v>N/A</v>
          </cell>
          <cell r="AE28" t="str">
            <v>N/A</v>
          </cell>
          <cell r="AF28" t="str">
            <v>N/A</v>
          </cell>
          <cell r="AI28" t="str">
            <v>1ABAFF</v>
          </cell>
          <cell r="AJ28" t="str">
            <v>UPPER SIDE REBOILER</v>
          </cell>
          <cell r="AK28">
            <v>1</v>
          </cell>
          <cell r="AL28" t="str">
            <v>EA</v>
          </cell>
          <cell r="AO28">
            <v>792000</v>
          </cell>
          <cell r="AQ28">
            <v>792000</v>
          </cell>
        </row>
        <row r="29">
          <cell r="B29" t="str">
            <v>1EB--</v>
          </cell>
          <cell r="C29" t="str">
            <v>TANK       FABRICATION/DELIVERY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X29" t="str">
            <v>1AAHO</v>
          </cell>
          <cell r="Y29" t="str">
            <v>DKADU PLANT  - EQUIP. SPECS - FLARES</v>
          </cell>
          <cell r="Z29" t="str">
            <v>N/A</v>
          </cell>
          <cell r="AA29" t="str">
            <v>N/A</v>
          </cell>
          <cell r="AB29" t="str">
            <v>N/A</v>
          </cell>
          <cell r="AC29" t="str">
            <v>N/A</v>
          </cell>
          <cell r="AD29" t="str">
            <v>N/A</v>
          </cell>
          <cell r="AE29" t="str">
            <v>N/A</v>
          </cell>
          <cell r="AF29" t="str">
            <v>N/A</v>
          </cell>
          <cell r="AI29" t="str">
            <v>1ABAFG</v>
          </cell>
          <cell r="AJ29" t="str">
            <v>RECYCLE COMPRESSOR AFTER COOLER</v>
          </cell>
          <cell r="AK29">
            <v>3</v>
          </cell>
          <cell r="AL29" t="str">
            <v>EA</v>
          </cell>
          <cell r="AO29">
            <v>1138000</v>
          </cell>
          <cell r="AQ29">
            <v>1138000</v>
          </cell>
        </row>
        <row r="30">
          <cell r="B30" t="str">
            <v>1EC--</v>
          </cell>
          <cell r="C30" t="str">
            <v>TANK CONSTRUCTION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X30" t="str">
            <v>1AAHP</v>
          </cell>
          <cell r="Y30" t="str">
            <v>DKADU PLANT  - EQUIP. SPECS - SOLIDS HANDLING EQUIPMENT</v>
          </cell>
          <cell r="Z30" t="str">
            <v>N/A</v>
          </cell>
          <cell r="AA30" t="str">
            <v>N/A</v>
          </cell>
          <cell r="AB30" t="str">
            <v>N/A</v>
          </cell>
          <cell r="AC30" t="str">
            <v>N/A</v>
          </cell>
          <cell r="AD30" t="str">
            <v>N/A</v>
          </cell>
          <cell r="AE30" t="str">
            <v>N/A</v>
          </cell>
          <cell r="AF30" t="str">
            <v>N/A</v>
          </cell>
          <cell r="AI30" t="str">
            <v>1ABAFX</v>
          </cell>
          <cell r="AJ30" t="str">
            <v>OTHER SHELL &amp; TUBE EXCHANGERS</v>
          </cell>
          <cell r="AK30">
            <v>4</v>
          </cell>
          <cell r="AL30" t="str">
            <v>EA</v>
          </cell>
          <cell r="AO30">
            <v>862000</v>
          </cell>
          <cell r="AQ30">
            <v>862000</v>
          </cell>
        </row>
        <row r="31">
          <cell r="B31" t="str">
            <v>1ED--</v>
          </cell>
          <cell r="C31" t="str">
            <v>TANK COMMISSIONING, STARTUP &amp; TRAINING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X31" t="str">
            <v>1AAHQ</v>
          </cell>
          <cell r="Y31" t="str">
            <v>DKADU PLANT  - EQUIP. SPECS - PACKAGED EQUIPMENT</v>
          </cell>
          <cell r="Z31" t="str">
            <v>N/A</v>
          </cell>
          <cell r="AA31" t="str">
            <v>N/A</v>
          </cell>
          <cell r="AB31" t="str">
            <v>N/A</v>
          </cell>
          <cell r="AC31" t="str">
            <v>N/A</v>
          </cell>
          <cell r="AD31" t="str">
            <v>N/A</v>
          </cell>
          <cell r="AE31" t="str">
            <v>N/A</v>
          </cell>
          <cell r="AF31" t="str">
            <v>N/A</v>
          </cell>
          <cell r="AI31" t="str">
            <v>1ABAF-</v>
          </cell>
          <cell r="AJ31" t="str">
            <v>SUBTOTAL HEAT EXCHANGERS - SHELL &amp; TUBE</v>
          </cell>
          <cell r="AK31">
            <v>18</v>
          </cell>
          <cell r="AL31">
            <v>0</v>
          </cell>
          <cell r="AM31">
            <v>0</v>
          </cell>
          <cell r="AN31">
            <v>0</v>
          </cell>
          <cell r="AO31">
            <v>9169000</v>
          </cell>
          <cell r="AP31">
            <v>0</v>
          </cell>
          <cell r="AQ31">
            <v>9169000</v>
          </cell>
        </row>
        <row r="32">
          <cell r="B32" t="str">
            <v>1E---</v>
          </cell>
          <cell r="C32" t="str">
            <v>SUBTOTAL TANK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X32" t="str">
            <v>1AAHX</v>
          </cell>
          <cell r="Y32" t="str">
            <v>DKADU PLANT  - EQUIP. SPECS - OTHERS</v>
          </cell>
          <cell r="Z32">
            <v>6</v>
          </cell>
          <cell r="AA32" t="str">
            <v>EA</v>
          </cell>
          <cell r="AB32">
            <v>100</v>
          </cell>
          <cell r="AF32">
            <v>0</v>
          </cell>
        </row>
        <row r="33">
          <cell r="X33" t="str">
            <v>1AAH-</v>
          </cell>
          <cell r="Y33" t="str">
            <v xml:space="preserve">SUBTOTAL - DKADU PLANT  - EQUIP. SPECS </v>
          </cell>
          <cell r="Z33">
            <v>60</v>
          </cell>
          <cell r="AA33" t="str">
            <v>N/A</v>
          </cell>
          <cell r="AB33">
            <v>910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I33" t="str">
            <v>1ABAGX</v>
          </cell>
          <cell r="AJ33" t="str">
            <v>OTHER EXCHANGERS - FINNED</v>
          </cell>
          <cell r="AQ33">
            <v>0</v>
          </cell>
        </row>
        <row r="34">
          <cell r="AI34" t="str">
            <v>1ABAG-</v>
          </cell>
          <cell r="AJ34" t="str">
            <v>SUBTOTAL - HEAT EXCHANGERS - FINNED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</row>
        <row r="35">
          <cell r="B35" t="str">
            <v>1----</v>
          </cell>
          <cell r="C35" t="str">
            <v>TOTAL NGL-4 PROJECT</v>
          </cell>
          <cell r="F35">
            <v>657448</v>
          </cell>
          <cell r="G35">
            <v>8453020</v>
          </cell>
          <cell r="H35">
            <v>28083700</v>
          </cell>
          <cell r="I35">
            <v>0</v>
          </cell>
          <cell r="J35">
            <v>36536720</v>
          </cell>
        </row>
        <row r="40">
          <cell r="W40" t="str">
            <v>LEVEL 2 DKADU PLANT PG.2</v>
          </cell>
          <cell r="X40" t="str">
            <v>WBS CODE</v>
          </cell>
          <cell r="Y40" t="str">
            <v>DESCRIPTION</v>
          </cell>
          <cell r="Z40" t="str">
            <v>QUANTITY</v>
          </cell>
          <cell r="AA40" t="str">
            <v>UNITS</v>
          </cell>
          <cell r="AB40" t="str">
            <v>TOTAL MANHOURS</v>
          </cell>
          <cell r="AC40" t="str">
            <v>TOTAL LABOR COST</v>
          </cell>
          <cell r="AD40" t="str">
            <v>TOTAL MAT'L COST</v>
          </cell>
          <cell r="AE40" t="str">
            <v>TOTAL S/C COST</v>
          </cell>
          <cell r="AF40" t="str">
            <v>TOTAL COST</v>
          </cell>
          <cell r="AH40" t="str">
            <v>LEVEL 3 DKADU PLANT PG 2</v>
          </cell>
          <cell r="AI40" t="str">
            <v>WBS CODE</v>
          </cell>
          <cell r="AJ40" t="str">
            <v>DESCRIPTION</v>
          </cell>
          <cell r="AK40" t="str">
            <v>QUANTITY</v>
          </cell>
          <cell r="AL40" t="str">
            <v>UNITS</v>
          </cell>
          <cell r="AM40" t="str">
            <v>TOTAL MANHOURS</v>
          </cell>
          <cell r="AN40" t="str">
            <v>TOTAL LABOR COST</v>
          </cell>
          <cell r="AO40" t="str">
            <v>TOTAL MAT'L COST</v>
          </cell>
          <cell r="AP40" t="str">
            <v>TOTAL S/C COST</v>
          </cell>
          <cell r="AQ40" t="str">
            <v>TOTAL COST</v>
          </cell>
        </row>
        <row r="42">
          <cell r="X42" t="str">
            <v>1AAIA</v>
          </cell>
          <cell r="Y42" t="str">
            <v>DKADU PLANT  - PROCUREMENT PRESSURE VESSELS</v>
          </cell>
          <cell r="AF42">
            <v>0</v>
          </cell>
          <cell r="AI42" t="str">
            <v>1ABAIA</v>
          </cell>
          <cell r="AJ42" t="str">
            <v>GAS RECYCLE COMPRESSORS W/TURBINES</v>
          </cell>
          <cell r="AK42">
            <v>3</v>
          </cell>
          <cell r="AL42" t="str">
            <v>EA</v>
          </cell>
          <cell r="AO42">
            <v>0</v>
          </cell>
          <cell r="AQ42">
            <v>0</v>
          </cell>
        </row>
        <row r="43">
          <cell r="X43" t="str">
            <v>1AAIB</v>
          </cell>
          <cell r="Y43" t="str">
            <v>DKADU PLANT  - PROCUREMENT   COLUMNS</v>
          </cell>
          <cell r="AF43">
            <v>0</v>
          </cell>
          <cell r="AI43" t="str">
            <v>1ABAIB</v>
          </cell>
          <cell r="AJ43" t="str">
            <v>RECYCLE EXPANDER COMP. W/DRIVERS</v>
          </cell>
          <cell r="AK43">
            <v>1</v>
          </cell>
          <cell r="AL43" t="str">
            <v>EA</v>
          </cell>
          <cell r="AO43">
            <v>1544000</v>
          </cell>
          <cell r="AQ43">
            <v>1544000</v>
          </cell>
        </row>
        <row r="44">
          <cell r="X44" t="str">
            <v>1AAIC</v>
          </cell>
          <cell r="Y44" t="str">
            <v>DKADU PLANT  - PROCUREMENT   REACTORS</v>
          </cell>
          <cell r="AF44">
            <v>0</v>
          </cell>
          <cell r="AI44" t="str">
            <v>1ABAIC</v>
          </cell>
          <cell r="AJ44" t="str">
            <v>INJECTION COMPRESSORS</v>
          </cell>
          <cell r="AK44">
            <v>2</v>
          </cell>
          <cell r="AL44" t="str">
            <v>EA</v>
          </cell>
          <cell r="AO44">
            <v>7338000</v>
          </cell>
          <cell r="AQ44">
            <v>7338000</v>
          </cell>
        </row>
        <row r="45">
          <cell r="X45" t="str">
            <v>1AAID</v>
          </cell>
          <cell r="Y45" t="str">
            <v>DKADU PLANT  - PROCUREMENT   FIELD ERECTED TANKS</v>
          </cell>
          <cell r="Z45" t="str">
            <v>N/A</v>
          </cell>
          <cell r="AA45" t="str">
            <v>N/A</v>
          </cell>
          <cell r="AB45" t="str">
            <v>N/A</v>
          </cell>
          <cell r="AC45" t="str">
            <v>N/A</v>
          </cell>
          <cell r="AD45" t="str">
            <v>N/A</v>
          </cell>
          <cell r="AE45" t="str">
            <v>N/A</v>
          </cell>
          <cell r="AF45" t="str">
            <v>N/A</v>
          </cell>
          <cell r="AI45" t="str">
            <v>1ABAID</v>
          </cell>
          <cell r="AJ45" t="str">
            <v>LP BOOSTER COMPRESSORS</v>
          </cell>
          <cell r="AK45">
            <v>2</v>
          </cell>
          <cell r="AL45" t="str">
            <v>EA</v>
          </cell>
          <cell r="AO45">
            <v>2963000</v>
          </cell>
          <cell r="AQ45">
            <v>2963000</v>
          </cell>
        </row>
        <row r="46">
          <cell r="X46" t="str">
            <v>1AAIE</v>
          </cell>
          <cell r="Y46" t="str">
            <v>DKADU PLANT  - PROCUREMENT   PUMPS</v>
          </cell>
          <cell r="AF46">
            <v>0</v>
          </cell>
          <cell r="AI46" t="str">
            <v>1ABAIX</v>
          </cell>
          <cell r="AJ46" t="str">
            <v>OTHER COMPRESSORS</v>
          </cell>
          <cell r="AK46">
            <v>1</v>
          </cell>
          <cell r="AL46" t="str">
            <v>EA</v>
          </cell>
          <cell r="AO46">
            <v>143000</v>
          </cell>
          <cell r="AQ46">
            <v>143000</v>
          </cell>
        </row>
        <row r="47">
          <cell r="X47" t="str">
            <v>1AAIF</v>
          </cell>
          <cell r="Y47" t="str">
            <v>DKADU PLANT  - PROCUREMENT   HEAT EXCHANGERS - S &amp; T</v>
          </cell>
          <cell r="AF47">
            <v>0</v>
          </cell>
          <cell r="AI47" t="str">
            <v>1ABAI</v>
          </cell>
          <cell r="AJ47" t="str">
            <v>SUBTOTAL - COMPRESSORS</v>
          </cell>
          <cell r="AK47">
            <v>9</v>
          </cell>
          <cell r="AL47">
            <v>0</v>
          </cell>
          <cell r="AM47">
            <v>0</v>
          </cell>
          <cell r="AN47">
            <v>0</v>
          </cell>
          <cell r="AO47">
            <v>11988000</v>
          </cell>
          <cell r="AP47">
            <v>0</v>
          </cell>
          <cell r="AQ47">
            <v>11988000</v>
          </cell>
        </row>
        <row r="48">
          <cell r="X48" t="str">
            <v>1AAIG</v>
          </cell>
          <cell r="Y48" t="str">
            <v>DKADU PLANT  - PROCUREMENT   HEAT EXCHANGERS - FINNED</v>
          </cell>
          <cell r="AF48">
            <v>0</v>
          </cell>
        </row>
        <row r="49">
          <cell r="X49" t="str">
            <v>1AAIH</v>
          </cell>
          <cell r="Y49" t="str">
            <v>DKADU PLANT  - PROCUREMENT   EXTRUDERS</v>
          </cell>
          <cell r="Z49" t="str">
            <v>N/A</v>
          </cell>
          <cell r="AA49" t="str">
            <v>N/A</v>
          </cell>
          <cell r="AB49" t="str">
            <v>N/A</v>
          </cell>
          <cell r="AC49" t="str">
            <v>N/A</v>
          </cell>
          <cell r="AD49" t="str">
            <v>N/A</v>
          </cell>
          <cell r="AE49" t="str">
            <v>N/A</v>
          </cell>
          <cell r="AF49" t="str">
            <v>N/A</v>
          </cell>
          <cell r="AI49" t="str">
            <v>1ABAKA</v>
          </cell>
          <cell r="AJ49" t="str">
            <v>GAS TURBINE DRIVERS</v>
          </cell>
          <cell r="AQ49">
            <v>0</v>
          </cell>
        </row>
        <row r="50">
          <cell r="X50" t="str">
            <v>1AAII</v>
          </cell>
          <cell r="Y50" t="str">
            <v>DKADU PLANT  - PROCUREMENT   COMPRESSORS</v>
          </cell>
          <cell r="AF50">
            <v>0</v>
          </cell>
          <cell r="AI50" t="str">
            <v>1ABAKX</v>
          </cell>
          <cell r="AJ50" t="str">
            <v>OTHER DRIVERS</v>
          </cell>
          <cell r="AQ50">
            <v>0</v>
          </cell>
        </row>
        <row r="51">
          <cell r="X51" t="str">
            <v>1AAIJ</v>
          </cell>
          <cell r="Y51" t="str">
            <v>DKADU PLANT  - PROCUREMENT   GENERATORS</v>
          </cell>
          <cell r="Z51" t="str">
            <v>N/A</v>
          </cell>
          <cell r="AA51" t="str">
            <v>N/A</v>
          </cell>
          <cell r="AB51" t="str">
            <v>N/A</v>
          </cell>
          <cell r="AC51" t="str">
            <v>N/A</v>
          </cell>
          <cell r="AD51" t="str">
            <v>N/A</v>
          </cell>
          <cell r="AE51" t="str">
            <v>N/A</v>
          </cell>
          <cell r="AF51" t="str">
            <v>N/A</v>
          </cell>
          <cell r="AI51" t="str">
            <v>1ABAK-</v>
          </cell>
          <cell r="AJ51" t="str">
            <v>SUBTOTAL MOTORS &amp; DRIVERS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</row>
        <row r="52">
          <cell r="X52" t="str">
            <v>1AAIK</v>
          </cell>
          <cell r="Y52" t="str">
            <v>DKADU PLANT  - PROCUREMENT   MOTORS &amp; DRIVERS</v>
          </cell>
          <cell r="AF52">
            <v>0</v>
          </cell>
        </row>
        <row r="53">
          <cell r="X53" t="str">
            <v>1AAIL</v>
          </cell>
          <cell r="Y53" t="str">
            <v>DKADU PLANT  - PROCUREMENT   FIRED EQUIPMENT</v>
          </cell>
          <cell r="Z53" t="str">
            <v>N/A</v>
          </cell>
          <cell r="AA53" t="str">
            <v>N/A</v>
          </cell>
          <cell r="AB53" t="str">
            <v>N/A</v>
          </cell>
          <cell r="AC53" t="str">
            <v>N/A</v>
          </cell>
          <cell r="AD53" t="str">
            <v>N/A</v>
          </cell>
          <cell r="AE53" t="str">
            <v>N/A</v>
          </cell>
          <cell r="AF53" t="str">
            <v>N/A</v>
          </cell>
          <cell r="AI53" t="str">
            <v>1ABAXA</v>
          </cell>
          <cell r="AJ53" t="str">
            <v>METHANOL INJECTION SKID</v>
          </cell>
          <cell r="AK53">
            <v>1</v>
          </cell>
          <cell r="AL53" t="str">
            <v>LOT</v>
          </cell>
          <cell r="AO53">
            <v>176000</v>
          </cell>
          <cell r="AQ53">
            <v>176000</v>
          </cell>
        </row>
        <row r="54">
          <cell r="X54" t="str">
            <v>1AAIM</v>
          </cell>
          <cell r="Y54" t="str">
            <v>DKADU PLANT  - PROCUREMENT   BLOWERS &amp; FANS</v>
          </cell>
          <cell r="Z54" t="str">
            <v>N/A</v>
          </cell>
          <cell r="AA54" t="str">
            <v>N/A</v>
          </cell>
          <cell r="AB54" t="str">
            <v>N/A</v>
          </cell>
          <cell r="AC54" t="str">
            <v>N/A</v>
          </cell>
          <cell r="AD54" t="str">
            <v>N/A</v>
          </cell>
          <cell r="AE54" t="str">
            <v>N/A</v>
          </cell>
          <cell r="AF54" t="str">
            <v>N/A</v>
          </cell>
          <cell r="AI54" t="str">
            <v>1ABAXX</v>
          </cell>
          <cell r="AJ54" t="str">
            <v>OTHER EQUIPMENT</v>
          </cell>
          <cell r="AK54">
            <v>4</v>
          </cell>
          <cell r="AL54" t="str">
            <v>EA</v>
          </cell>
          <cell r="AO54">
            <v>66700</v>
          </cell>
          <cell r="AQ54">
            <v>66700</v>
          </cell>
        </row>
        <row r="55">
          <cell r="X55" t="str">
            <v>1AAIN</v>
          </cell>
          <cell r="Y55" t="str">
            <v>DKADU PLANT  - PROCUREMENT   FILTERS</v>
          </cell>
          <cell r="Z55" t="str">
            <v>N/A</v>
          </cell>
          <cell r="AA55" t="str">
            <v>N/A</v>
          </cell>
          <cell r="AB55" t="str">
            <v>N/A</v>
          </cell>
          <cell r="AC55" t="str">
            <v>N/A</v>
          </cell>
          <cell r="AD55" t="str">
            <v>N/A</v>
          </cell>
          <cell r="AE55" t="str">
            <v>N/A</v>
          </cell>
          <cell r="AF55" t="str">
            <v>N/A</v>
          </cell>
          <cell r="AI55" t="str">
            <v>1ABAX-</v>
          </cell>
          <cell r="AJ55" t="str">
            <v>SUBTOTAL OTHER EQUIPMENT</v>
          </cell>
          <cell r="AK55">
            <v>5</v>
          </cell>
          <cell r="AL55">
            <v>0</v>
          </cell>
          <cell r="AM55">
            <v>0</v>
          </cell>
          <cell r="AN55">
            <v>0</v>
          </cell>
          <cell r="AO55">
            <v>242700</v>
          </cell>
          <cell r="AP55">
            <v>0</v>
          </cell>
          <cell r="AQ55">
            <v>242700</v>
          </cell>
        </row>
        <row r="56">
          <cell r="X56" t="str">
            <v>1AAIO</v>
          </cell>
          <cell r="Y56" t="str">
            <v>DKADU PLANT  - PROCUREMENT   FLARES</v>
          </cell>
          <cell r="Z56" t="str">
            <v>N/A</v>
          </cell>
          <cell r="AA56" t="str">
            <v>N/A</v>
          </cell>
          <cell r="AB56" t="str">
            <v>N/A</v>
          </cell>
          <cell r="AC56" t="str">
            <v>N/A</v>
          </cell>
          <cell r="AD56" t="str">
            <v>N/A</v>
          </cell>
          <cell r="AE56" t="str">
            <v>N/A</v>
          </cell>
          <cell r="AF56" t="str">
            <v>N/A</v>
          </cell>
        </row>
        <row r="57">
          <cell r="X57" t="str">
            <v>1AAIP</v>
          </cell>
          <cell r="Y57" t="str">
            <v>DKADU PLANT  - PROCUREMENT   SOLIDS HANDLING EQUIPMENT</v>
          </cell>
          <cell r="Z57" t="str">
            <v>N/A</v>
          </cell>
          <cell r="AA57" t="str">
            <v>N/A</v>
          </cell>
          <cell r="AB57" t="str">
            <v>N/A</v>
          </cell>
          <cell r="AC57" t="str">
            <v>N/A</v>
          </cell>
          <cell r="AD57" t="str">
            <v>N/A</v>
          </cell>
          <cell r="AE57" t="str">
            <v>N/A</v>
          </cell>
          <cell r="AF57" t="str">
            <v>N/A</v>
          </cell>
        </row>
        <row r="58">
          <cell r="X58" t="str">
            <v>1AAIQ</v>
          </cell>
          <cell r="Y58" t="str">
            <v>DKADU PLANT  - PROCUREMENT   PACKAGED EQUIPMENT</v>
          </cell>
          <cell r="Z58" t="str">
            <v>N/A</v>
          </cell>
          <cell r="AA58" t="str">
            <v>N/A</v>
          </cell>
          <cell r="AB58" t="str">
            <v>N/A</v>
          </cell>
          <cell r="AC58" t="str">
            <v>N/A</v>
          </cell>
          <cell r="AD58" t="str">
            <v>N/A</v>
          </cell>
          <cell r="AE58" t="str">
            <v>N/A</v>
          </cell>
          <cell r="AF58" t="str">
            <v>N/A</v>
          </cell>
        </row>
        <row r="59">
          <cell r="X59" t="str">
            <v>1AAIT</v>
          </cell>
          <cell r="Y59" t="str">
            <v>DKADU PLANT  - PROCUREMENT   BULKS</v>
          </cell>
          <cell r="AF59">
            <v>0</v>
          </cell>
        </row>
        <row r="60">
          <cell r="X60" t="str">
            <v>1AAIX</v>
          </cell>
          <cell r="Y60" t="str">
            <v>DKADU PLANT  - PROCUREMENT   OTHER</v>
          </cell>
          <cell r="AF60">
            <v>0</v>
          </cell>
        </row>
        <row r="61">
          <cell r="X61" t="str">
            <v>1AAI-</v>
          </cell>
          <cell r="Y61" t="str">
            <v>SUBTOTAL - DKADU PLANT  - PROCUREMENT</v>
          </cell>
          <cell r="Z61">
            <v>0</v>
          </cell>
          <cell r="AA61" t="str">
            <v>N/A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3">
          <cell r="X63" t="str">
            <v>1AAJA</v>
          </cell>
          <cell r="Y63" t="str">
            <v>DKADU PLANT  - INDIRECT ENG'G CONTRACTS</v>
          </cell>
          <cell r="AF63">
            <v>0</v>
          </cell>
        </row>
        <row r="64">
          <cell r="X64" t="str">
            <v>1AAJB</v>
          </cell>
          <cell r="Y64" t="str">
            <v>DKADU PLANT  - INDIRECT ENG'G PROJECT MANAGEMENT</v>
          </cell>
          <cell r="AF64">
            <v>0</v>
          </cell>
        </row>
        <row r="65">
          <cell r="X65" t="str">
            <v>1AAJC</v>
          </cell>
          <cell r="Y65" t="str">
            <v>DKADU PLANT  - INDIRECT ENG'G ENGINEERING/NON-TECH</v>
          </cell>
          <cell r="AF65">
            <v>0</v>
          </cell>
        </row>
        <row r="66">
          <cell r="X66" t="str">
            <v>1AAJX</v>
          </cell>
          <cell r="Y66" t="str">
            <v>DKADU PLANT  - INDIRECT ENG'G OTHER</v>
          </cell>
          <cell r="AF66">
            <v>0</v>
          </cell>
        </row>
        <row r="67">
          <cell r="X67" t="str">
            <v>1AAJ-</v>
          </cell>
          <cell r="Y67" t="str">
            <v>SUBTOTAL - DKADU PLANT  - INDIRECT ENGINEERING</v>
          </cell>
          <cell r="Z67">
            <v>0</v>
          </cell>
          <cell r="AA67" t="str">
            <v>N/A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78">
          <cell r="W78" t="str">
            <v>LEVEL 2 DKADU PLANT PG.3</v>
          </cell>
          <cell r="X78" t="str">
            <v>WBS CODE</v>
          </cell>
          <cell r="Y78" t="str">
            <v>DESCRIPTION</v>
          </cell>
          <cell r="Z78" t="str">
            <v>QUANTITY</v>
          </cell>
          <cell r="AA78" t="str">
            <v>UNITS</v>
          </cell>
          <cell r="AB78" t="str">
            <v>TOTAL MANHOURS</v>
          </cell>
          <cell r="AC78" t="str">
            <v>TOTAL LABOR COST</v>
          </cell>
          <cell r="AD78" t="str">
            <v>TOTAL MAT'L COST</v>
          </cell>
          <cell r="AE78" t="str">
            <v>TOTAL S/C COST</v>
          </cell>
          <cell r="AF78" t="str">
            <v>TOTAL COST</v>
          </cell>
        </row>
        <row r="80">
          <cell r="X80" t="str">
            <v>1ABAA</v>
          </cell>
          <cell r="Y80" t="str">
            <v>DKADU PLANT  - FAB/DELIVERY MAJOR EQUIP PRESSURE VESSELS</v>
          </cell>
          <cell r="Z80">
            <v>12</v>
          </cell>
          <cell r="AA80">
            <v>0</v>
          </cell>
          <cell r="AB80">
            <v>0</v>
          </cell>
          <cell r="AC80">
            <v>0</v>
          </cell>
          <cell r="AD80">
            <v>2458000</v>
          </cell>
          <cell r="AE80">
            <v>0</v>
          </cell>
          <cell r="AF80">
            <v>2458000</v>
          </cell>
        </row>
        <row r="81">
          <cell r="X81" t="str">
            <v>1ABAB</v>
          </cell>
          <cell r="Y81" t="str">
            <v>DKADU PLANT  - FAB/DELIVERY MAJOR EQUIP COLUMNS</v>
          </cell>
          <cell r="Z81">
            <v>2</v>
          </cell>
          <cell r="AA81">
            <v>0</v>
          </cell>
          <cell r="AB81">
            <v>0</v>
          </cell>
          <cell r="AC81">
            <v>0</v>
          </cell>
          <cell r="AD81">
            <v>3269000</v>
          </cell>
          <cell r="AE81">
            <v>0</v>
          </cell>
          <cell r="AF81">
            <v>3269000</v>
          </cell>
        </row>
        <row r="82">
          <cell r="X82" t="str">
            <v>1ABAC</v>
          </cell>
          <cell r="Y82" t="str">
            <v>DKADU PLANT  - FAB/DELIVERY MAJOR EQUIP REACTORS</v>
          </cell>
          <cell r="Z82" t="str">
            <v>N/A</v>
          </cell>
          <cell r="AA82" t="str">
            <v>N/A</v>
          </cell>
          <cell r="AB82" t="str">
            <v>N/A</v>
          </cell>
          <cell r="AC82" t="str">
            <v>N/A</v>
          </cell>
          <cell r="AD82" t="str">
            <v>N/A</v>
          </cell>
          <cell r="AE82" t="str">
            <v>N/A</v>
          </cell>
          <cell r="AF82" t="str">
            <v>N/A</v>
          </cell>
        </row>
        <row r="83">
          <cell r="X83" t="str">
            <v>1ABAD</v>
          </cell>
          <cell r="Y83" t="str">
            <v>DKADU PLANT  - FAB/DELIVERY MAJOR EQUIP FIELD ERECTED TANKS</v>
          </cell>
          <cell r="Z83" t="str">
            <v>N/A</v>
          </cell>
          <cell r="AA83" t="str">
            <v>N/A</v>
          </cell>
          <cell r="AB83" t="str">
            <v>N/A</v>
          </cell>
          <cell r="AC83" t="str">
            <v>N/A</v>
          </cell>
          <cell r="AD83" t="str">
            <v>N/A</v>
          </cell>
          <cell r="AE83" t="str">
            <v>N/A</v>
          </cell>
          <cell r="AF83" t="str">
            <v>N/A</v>
          </cell>
        </row>
        <row r="84">
          <cell r="X84" t="str">
            <v>1ABAE</v>
          </cell>
          <cell r="Y84" t="str">
            <v>DKADU PLANT  - FAB/DELIVERY MAJOR EQUIP PUMPS</v>
          </cell>
          <cell r="Z84">
            <v>7</v>
          </cell>
          <cell r="AA84">
            <v>0</v>
          </cell>
          <cell r="AB84">
            <v>0</v>
          </cell>
          <cell r="AC84">
            <v>0</v>
          </cell>
          <cell r="AD84">
            <v>957000</v>
          </cell>
          <cell r="AE84">
            <v>0</v>
          </cell>
          <cell r="AF84">
            <v>957000</v>
          </cell>
        </row>
        <row r="85">
          <cell r="X85" t="str">
            <v>1ABAF</v>
          </cell>
          <cell r="Y85" t="str">
            <v>DKADU PLANT  - FAB/DELIVERY MAJOR EQUIP HEAT EXCHANGERS S&amp;T</v>
          </cell>
          <cell r="Z85">
            <v>18</v>
          </cell>
          <cell r="AA85">
            <v>0</v>
          </cell>
          <cell r="AB85">
            <v>0</v>
          </cell>
          <cell r="AC85">
            <v>0</v>
          </cell>
          <cell r="AD85">
            <v>9169000</v>
          </cell>
          <cell r="AE85">
            <v>0</v>
          </cell>
          <cell r="AF85">
            <v>9169000</v>
          </cell>
        </row>
        <row r="86">
          <cell r="X86" t="str">
            <v>1ABAG</v>
          </cell>
          <cell r="Y86" t="str">
            <v>DKADU PLANT  - FAB/DELIVERY MAJOR EQUIP HEAT EXCHANGERS FINNED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X87" t="str">
            <v>1ABAH</v>
          </cell>
          <cell r="Y87" t="str">
            <v>DKADU PLANT  - FAB/DELIVERY MAJOR EQUIP EXTRUDERS</v>
          </cell>
          <cell r="Z87" t="str">
            <v>N/A</v>
          </cell>
          <cell r="AA87" t="str">
            <v>N/A</v>
          </cell>
          <cell r="AB87" t="str">
            <v>N/A</v>
          </cell>
          <cell r="AC87" t="str">
            <v>N/A</v>
          </cell>
          <cell r="AD87" t="str">
            <v>N/A</v>
          </cell>
          <cell r="AE87" t="str">
            <v>N/A</v>
          </cell>
          <cell r="AF87" t="str">
            <v>N/A</v>
          </cell>
        </row>
        <row r="88">
          <cell r="X88" t="str">
            <v>1ABAI</v>
          </cell>
          <cell r="Y88" t="str">
            <v>DKADU PLANT  - FAB/DELIVERY MAJOR EQUIP COMPRESSORS</v>
          </cell>
          <cell r="Z88">
            <v>9</v>
          </cell>
          <cell r="AA88">
            <v>0</v>
          </cell>
          <cell r="AB88">
            <v>0</v>
          </cell>
          <cell r="AC88">
            <v>0</v>
          </cell>
          <cell r="AD88">
            <v>11988000</v>
          </cell>
          <cell r="AE88">
            <v>0</v>
          </cell>
          <cell r="AF88">
            <v>11988000</v>
          </cell>
        </row>
        <row r="89">
          <cell r="X89" t="str">
            <v>1ABAJ</v>
          </cell>
          <cell r="Y89" t="str">
            <v>DKADU PLANT  - FAB/DELIVERY MAJOR EQUIP GENERATORS</v>
          </cell>
          <cell r="Z89" t="str">
            <v>N/A</v>
          </cell>
          <cell r="AA89" t="str">
            <v>N/A</v>
          </cell>
          <cell r="AB89" t="str">
            <v>N/A</v>
          </cell>
          <cell r="AC89" t="str">
            <v>N/A</v>
          </cell>
          <cell r="AD89" t="str">
            <v>N/A</v>
          </cell>
          <cell r="AE89" t="str">
            <v>N/A</v>
          </cell>
          <cell r="AF89" t="str">
            <v>N/A</v>
          </cell>
        </row>
        <row r="90">
          <cell r="X90" t="str">
            <v>1ABAK</v>
          </cell>
          <cell r="Y90" t="str">
            <v>DKADU PLANT  - FAB/DELIVERY MAJOR EQUIP MOTORS &amp; DRIVERS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</row>
        <row r="91">
          <cell r="X91" t="str">
            <v>1ABAL</v>
          </cell>
          <cell r="Y91" t="str">
            <v>DKADU PLANT  - FAB/DELIVERY MAJOR EQUIP FIRED EQUIPMENT</v>
          </cell>
          <cell r="Z91" t="str">
            <v>N/A</v>
          </cell>
          <cell r="AA91" t="str">
            <v>N/A</v>
          </cell>
          <cell r="AB91" t="str">
            <v>N/A</v>
          </cell>
          <cell r="AC91" t="str">
            <v>N/A</v>
          </cell>
          <cell r="AD91" t="str">
            <v>N/A</v>
          </cell>
          <cell r="AE91" t="str">
            <v>N/A</v>
          </cell>
          <cell r="AF91" t="str">
            <v>N/A</v>
          </cell>
        </row>
        <row r="92">
          <cell r="X92" t="str">
            <v>1ABAM</v>
          </cell>
          <cell r="Y92" t="str">
            <v>DKADU PLANT  - FAB/DELIVERY MAJOR EQUIP BLOWERS, FANS</v>
          </cell>
          <cell r="Z92" t="str">
            <v>N/A</v>
          </cell>
          <cell r="AA92" t="str">
            <v>N/A</v>
          </cell>
          <cell r="AB92" t="str">
            <v>N/A</v>
          </cell>
          <cell r="AC92" t="str">
            <v>N/A</v>
          </cell>
          <cell r="AD92" t="str">
            <v>N/A</v>
          </cell>
          <cell r="AE92" t="str">
            <v>N/A</v>
          </cell>
          <cell r="AF92" t="str">
            <v>N/A</v>
          </cell>
        </row>
        <row r="93">
          <cell r="X93" t="str">
            <v>1ABAN</v>
          </cell>
          <cell r="Y93" t="str">
            <v>DKADU PLANT  - FAB/DELIVERY MAJOR EQUIP FILTERS</v>
          </cell>
          <cell r="Z93" t="str">
            <v>N/A</v>
          </cell>
          <cell r="AA93" t="str">
            <v>N/A</v>
          </cell>
          <cell r="AB93" t="str">
            <v>N/A</v>
          </cell>
          <cell r="AC93" t="str">
            <v>N/A</v>
          </cell>
          <cell r="AD93" t="str">
            <v>N/A</v>
          </cell>
          <cell r="AE93" t="str">
            <v>N/A</v>
          </cell>
          <cell r="AF93" t="str">
            <v>N/A</v>
          </cell>
        </row>
        <row r="94">
          <cell r="X94" t="str">
            <v>1ABAO</v>
          </cell>
          <cell r="Y94" t="str">
            <v>DKADU PLANT  - FAB/DELIVERY MAJOR EQUIP FLARES</v>
          </cell>
          <cell r="Z94" t="str">
            <v>N/A</v>
          </cell>
          <cell r="AA94" t="str">
            <v>N/A</v>
          </cell>
          <cell r="AB94" t="str">
            <v>N/A</v>
          </cell>
          <cell r="AC94" t="str">
            <v>N/A</v>
          </cell>
          <cell r="AD94" t="str">
            <v>N/A</v>
          </cell>
          <cell r="AE94" t="str">
            <v>N/A</v>
          </cell>
          <cell r="AF94" t="str">
            <v>N/A</v>
          </cell>
        </row>
        <row r="95">
          <cell r="X95" t="str">
            <v>1ABAP</v>
          </cell>
          <cell r="Y95" t="str">
            <v>DKADU PLANT  - FAB/DELIVERY MAJOR EQUIP SOLIDS HANDLING EQUIPMENT</v>
          </cell>
          <cell r="Z95" t="str">
            <v>N/A</v>
          </cell>
          <cell r="AA95" t="str">
            <v>N/A</v>
          </cell>
          <cell r="AB95" t="str">
            <v>N/A</v>
          </cell>
          <cell r="AC95" t="str">
            <v>N/A</v>
          </cell>
          <cell r="AD95" t="str">
            <v>N/A</v>
          </cell>
          <cell r="AE95" t="str">
            <v>N/A</v>
          </cell>
          <cell r="AF95" t="str">
            <v>N/A</v>
          </cell>
        </row>
        <row r="96">
          <cell r="X96" t="str">
            <v>1ABAQ</v>
          </cell>
          <cell r="Y96" t="str">
            <v>DKADU PLANT  - FAB/DELIVERY MAJOR EQUIP PACKAGED EQUIPMENT</v>
          </cell>
          <cell r="Z96" t="str">
            <v>N/A</v>
          </cell>
          <cell r="AA96" t="str">
            <v>N/A</v>
          </cell>
          <cell r="AB96" t="str">
            <v>N/A</v>
          </cell>
          <cell r="AC96" t="str">
            <v>N/A</v>
          </cell>
          <cell r="AD96" t="str">
            <v>N/A</v>
          </cell>
          <cell r="AE96" t="str">
            <v>N/A</v>
          </cell>
          <cell r="AF96" t="str">
            <v>N/A</v>
          </cell>
        </row>
        <row r="97">
          <cell r="X97" t="str">
            <v>1ABAX</v>
          </cell>
          <cell r="Y97" t="str">
            <v>DKADU PLANT  - FAB/DELIVERY MAJOR EQUIP OTHER</v>
          </cell>
          <cell r="Z97">
            <v>5</v>
          </cell>
          <cell r="AA97">
            <v>0</v>
          </cell>
          <cell r="AB97">
            <v>0</v>
          </cell>
          <cell r="AC97">
            <v>0</v>
          </cell>
          <cell r="AD97">
            <v>242700</v>
          </cell>
          <cell r="AE97">
            <v>0</v>
          </cell>
          <cell r="AF97">
            <v>242700</v>
          </cell>
        </row>
        <row r="98">
          <cell r="X98" t="str">
            <v>1ABA-</v>
          </cell>
          <cell r="Y98" t="str">
            <v>SUBTOTAL - DKADU PLANT  - FAB/DELIVERY MAJOR EQUIP.</v>
          </cell>
          <cell r="Z98">
            <v>53</v>
          </cell>
          <cell r="AA98" t="str">
            <v>N/A</v>
          </cell>
          <cell r="AB98">
            <v>0</v>
          </cell>
          <cell r="AC98">
            <v>0</v>
          </cell>
          <cell r="AD98">
            <v>28083700</v>
          </cell>
          <cell r="AE98">
            <v>0</v>
          </cell>
          <cell r="AF98">
            <v>28083700</v>
          </cell>
        </row>
        <row r="100">
          <cell r="X100" t="str">
            <v>1ABBA</v>
          </cell>
          <cell r="Y100" t="str">
            <v>DKADU PLANT  - FAB/DELIVERY BULKS - IMBEDS</v>
          </cell>
          <cell r="AF100">
            <v>0</v>
          </cell>
        </row>
        <row r="101">
          <cell r="X101" t="str">
            <v>1ABBB</v>
          </cell>
          <cell r="Y101" t="str">
            <v>DKADU PLANT  - FAB/DELIVERY BULKS - STRUCTURAL</v>
          </cell>
          <cell r="AF101">
            <v>0</v>
          </cell>
        </row>
        <row r="102">
          <cell r="X102" t="str">
            <v>1ABBC</v>
          </cell>
          <cell r="Y102" t="str">
            <v>DKADU PLANT  - FAB/DELIVERY BULKS - PIPING</v>
          </cell>
          <cell r="AF102">
            <v>0</v>
          </cell>
        </row>
        <row r="103">
          <cell r="X103" t="str">
            <v>1ABBD</v>
          </cell>
          <cell r="Y103" t="str">
            <v>DKADU PLANT  - FAB/DELIVERY BULKS - ELECTRICAL</v>
          </cell>
          <cell r="AF103">
            <v>0</v>
          </cell>
        </row>
        <row r="104">
          <cell r="X104" t="str">
            <v>1ABBE</v>
          </cell>
          <cell r="Y104" t="str">
            <v>DKADU PLANT  - FAB/DELIVERY BULKS - INSTRUMENTATION</v>
          </cell>
          <cell r="AF104">
            <v>0</v>
          </cell>
        </row>
        <row r="105">
          <cell r="X105" t="str">
            <v>1ABBF</v>
          </cell>
          <cell r="Y105" t="str">
            <v>DKADU PLANT  - FAB/DELIVERY BULKS - PIPELINES</v>
          </cell>
          <cell r="Z105" t="str">
            <v>N/A</v>
          </cell>
          <cell r="AA105" t="str">
            <v>N/A</v>
          </cell>
          <cell r="AB105" t="str">
            <v>N/A</v>
          </cell>
          <cell r="AC105" t="str">
            <v>N/A</v>
          </cell>
          <cell r="AD105" t="str">
            <v>N/A</v>
          </cell>
          <cell r="AE105" t="str">
            <v>N/A</v>
          </cell>
          <cell r="AF105" t="str">
            <v>N/A</v>
          </cell>
        </row>
        <row r="106">
          <cell r="X106" t="str">
            <v>1ABB-</v>
          </cell>
          <cell r="Y106" t="str">
            <v>SUBTOTAL - DKADU PLANT  - FAB/DELIVERY BULKS</v>
          </cell>
          <cell r="Z106">
            <v>0</v>
          </cell>
          <cell r="AA106" t="str">
            <v>N/A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8">
          <cell r="X108" t="str">
            <v>1ABCA</v>
          </cell>
          <cell r="Y108" t="str">
            <v>DKADU PLANT  - FAB/DELIVERY ENG. SPECIALTIES - BUILDINGS</v>
          </cell>
          <cell r="AF108">
            <v>0</v>
          </cell>
        </row>
        <row r="109">
          <cell r="X109" t="str">
            <v>1ABCB</v>
          </cell>
          <cell r="Y109" t="str">
            <v>DKADU PLANT  - FAB/DELIVERY ENG. SPECIALTIES - GENERAL</v>
          </cell>
          <cell r="AF109">
            <v>0</v>
          </cell>
        </row>
        <row r="110">
          <cell r="X110" t="str">
            <v>1ABC-</v>
          </cell>
          <cell r="Y110" t="str">
            <v>SUBTOTAL - DKADU PLANT  - FAB/DELIVERY ENGINEERING SPECIALTIES</v>
          </cell>
          <cell r="Z110">
            <v>0</v>
          </cell>
          <cell r="AA110" t="str">
            <v>N/A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6">
          <cell r="W116" t="str">
            <v>LEVEL 2 DKADU PLANT PG.4</v>
          </cell>
          <cell r="X116" t="str">
            <v>WBS CODE</v>
          </cell>
          <cell r="Y116" t="str">
            <v>DESCRIPTION</v>
          </cell>
          <cell r="Z116" t="str">
            <v>QUANTITY</v>
          </cell>
          <cell r="AA116" t="str">
            <v>UNITS</v>
          </cell>
          <cell r="AB116" t="str">
            <v>TOTAL MANHOURS</v>
          </cell>
          <cell r="AC116" t="str">
            <v>TOTAL LABOR COST</v>
          </cell>
          <cell r="AD116" t="str">
            <v>TOTAL MAT'L COST</v>
          </cell>
          <cell r="AE116" t="str">
            <v>TOTAL S/C COST</v>
          </cell>
          <cell r="AF116" t="str">
            <v>TOTAL COST</v>
          </cell>
        </row>
        <row r="118">
          <cell r="X118" t="str">
            <v>1ACAA</v>
          </cell>
          <cell r="Y118" t="str">
            <v>DKADU PLANT  - CONSTRUCTION, CIVIL - SITE WORK</v>
          </cell>
          <cell r="AF118">
            <v>0</v>
          </cell>
        </row>
        <row r="119">
          <cell r="X119" t="str">
            <v>1ACAB</v>
          </cell>
          <cell r="Y119" t="str">
            <v>DKADU PLANT  - CONSTRUCTION, CIVIL - FOUNDATIONS</v>
          </cell>
          <cell r="AF119">
            <v>0</v>
          </cell>
        </row>
        <row r="120">
          <cell r="X120" t="str">
            <v>1ACA</v>
          </cell>
          <cell r="Y120" t="str">
            <v>SUBTOTAL - DKADU PLANT  - CONSTRUCTION, CIVIL</v>
          </cell>
          <cell r="Z120">
            <v>0</v>
          </cell>
          <cell r="AA120" t="str">
            <v>N/A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2">
          <cell r="X122" t="str">
            <v>1ACBA</v>
          </cell>
          <cell r="Y122" t="str">
            <v>DKADU PLANT  - CONSTRUCTION, MAJOR EQUIPMENT - PRESSURE VESSELS</v>
          </cell>
          <cell r="Z122">
            <v>433.39999999999992</v>
          </cell>
          <cell r="AA122" t="str">
            <v>TON</v>
          </cell>
          <cell r="AB122">
            <v>6730</v>
          </cell>
          <cell r="AC122">
            <v>174700</v>
          </cell>
          <cell r="AF122">
            <v>174700</v>
          </cell>
        </row>
        <row r="123">
          <cell r="X123" t="str">
            <v>1ACBB</v>
          </cell>
          <cell r="Y123" t="str">
            <v>DKADU PLANT  - CONSTRUCTION, MAJOR EQUIPMENT - COLUMNS</v>
          </cell>
          <cell r="Z123">
            <v>840.3</v>
          </cell>
          <cell r="AA123" t="str">
            <v>TON</v>
          </cell>
          <cell r="AB123">
            <v>24640</v>
          </cell>
          <cell r="AC123">
            <v>504600</v>
          </cell>
          <cell r="AF123">
            <v>504600</v>
          </cell>
        </row>
        <row r="124">
          <cell r="X124" t="str">
            <v>1ACBC</v>
          </cell>
          <cell r="Y124" t="str">
            <v>DKADU PLANT  - CONSTRUCTION, MAJOR EQUIPMENT - REACTORS</v>
          </cell>
          <cell r="AF124">
            <v>0</v>
          </cell>
        </row>
        <row r="125">
          <cell r="X125" t="str">
            <v>1ACBD</v>
          </cell>
          <cell r="Y125" t="str">
            <v>DKADU PLANT  - CONSTRUCTION, MAJOR EQUIPMENT - FIELD ERECTED TANKS</v>
          </cell>
          <cell r="Z125" t="str">
            <v>N/A</v>
          </cell>
          <cell r="AA125" t="str">
            <v>N/A</v>
          </cell>
          <cell r="AB125" t="str">
            <v>N/A</v>
          </cell>
          <cell r="AC125" t="str">
            <v>N/A</v>
          </cell>
          <cell r="AD125" t="str">
            <v>N/A</v>
          </cell>
          <cell r="AE125" t="str">
            <v>N/A</v>
          </cell>
          <cell r="AF125" t="str">
            <v>N/A</v>
          </cell>
        </row>
        <row r="126">
          <cell r="X126" t="str">
            <v>1ACBE</v>
          </cell>
          <cell r="Y126" t="str">
            <v>DKADU PLANT  - CONSTRUCTION, MAJOR EQUIPMENT - PUMPS</v>
          </cell>
          <cell r="Z126">
            <v>39.200000000000003</v>
          </cell>
          <cell r="AA126" t="str">
            <v>TON</v>
          </cell>
          <cell r="AB126">
            <v>4050</v>
          </cell>
          <cell r="AC126">
            <v>39300</v>
          </cell>
          <cell r="AF126">
            <v>39300</v>
          </cell>
        </row>
        <row r="127">
          <cell r="X127" t="str">
            <v>1ACBF</v>
          </cell>
          <cell r="Y127" t="str">
            <v>DKADU PLANT  - CONSTRUCTION, MAJOR EQUIPMENT - HEAT EXCHANGERS S&amp;T</v>
          </cell>
          <cell r="Z127">
            <v>1338.5</v>
          </cell>
          <cell r="AA127" t="str">
            <v>TON</v>
          </cell>
          <cell r="AB127">
            <v>56000</v>
          </cell>
          <cell r="AC127">
            <v>753200</v>
          </cell>
          <cell r="AF127">
            <v>753200</v>
          </cell>
        </row>
        <row r="128">
          <cell r="X128" t="str">
            <v>1ACBG</v>
          </cell>
          <cell r="Y128" t="str">
            <v>DKADU PLANT  - CONSTRUCTION, MAJOR EQUIPMENT - HEAT EXCHANGERS FINNED</v>
          </cell>
          <cell r="AF128">
            <v>0</v>
          </cell>
        </row>
        <row r="129">
          <cell r="X129" t="str">
            <v>1ACBH</v>
          </cell>
          <cell r="Y129" t="str">
            <v>DKADU PLANT  - CONSTRUCTION, MAJOR EQUIPMENT - EXTRUDERS</v>
          </cell>
          <cell r="Z129" t="str">
            <v>N/A</v>
          </cell>
          <cell r="AA129" t="str">
            <v>N/A</v>
          </cell>
          <cell r="AB129" t="str">
            <v>N/A</v>
          </cell>
          <cell r="AC129" t="str">
            <v>N/A</v>
          </cell>
          <cell r="AD129" t="str">
            <v>N/A</v>
          </cell>
          <cell r="AE129" t="str">
            <v>N/A</v>
          </cell>
          <cell r="AF129" t="str">
            <v>N/A</v>
          </cell>
        </row>
        <row r="130">
          <cell r="X130" t="str">
            <v>1ACBI</v>
          </cell>
          <cell r="Y130" t="str">
            <v>DKADU PLANT  - CONSTRUCTION, MAJOR EQUIPMENT - COMPRESSORS</v>
          </cell>
          <cell r="Z130">
            <v>1380.5</v>
          </cell>
          <cell r="AA130" t="str">
            <v>TON</v>
          </cell>
          <cell r="AB130">
            <v>108180</v>
          </cell>
          <cell r="AC130">
            <v>955100</v>
          </cell>
          <cell r="AF130">
            <v>955100</v>
          </cell>
        </row>
        <row r="131">
          <cell r="X131" t="str">
            <v>1ACBJ</v>
          </cell>
          <cell r="Y131" t="str">
            <v>DKADU PLANT  - CONSTRUCTION, MAJOR EQUIPMENT - GENERATORS</v>
          </cell>
          <cell r="Z131" t="str">
            <v>N/A</v>
          </cell>
          <cell r="AA131" t="str">
            <v>N/A</v>
          </cell>
          <cell r="AB131" t="str">
            <v>N/A</v>
          </cell>
          <cell r="AC131" t="str">
            <v>N/A</v>
          </cell>
          <cell r="AD131" t="str">
            <v>N/A</v>
          </cell>
          <cell r="AE131" t="str">
            <v>N/A</v>
          </cell>
          <cell r="AF131" t="str">
            <v>N/A</v>
          </cell>
        </row>
        <row r="132">
          <cell r="X132" t="str">
            <v>1ACBK</v>
          </cell>
          <cell r="Y132" t="str">
            <v>DKADU PLANT  - CONSTRUCTION, MAJOR EQUIPMENT - MOTORS &amp; DRIVERS</v>
          </cell>
          <cell r="AF132">
            <v>0</v>
          </cell>
        </row>
        <row r="133">
          <cell r="X133" t="str">
            <v>1ACBL</v>
          </cell>
          <cell r="Y133" t="str">
            <v>DKADU PLANT  - CONSTRUCTION, MAJOR EQUIPMENT - FIRED EQUIPMENT</v>
          </cell>
          <cell r="Z133" t="str">
            <v>N/A</v>
          </cell>
          <cell r="AA133" t="str">
            <v>N/A</v>
          </cell>
          <cell r="AB133" t="str">
            <v>N/A</v>
          </cell>
          <cell r="AC133" t="str">
            <v>N/A</v>
          </cell>
          <cell r="AD133" t="str">
            <v>N/A</v>
          </cell>
          <cell r="AE133" t="str">
            <v>N/A</v>
          </cell>
          <cell r="AF133" t="str">
            <v>N/A</v>
          </cell>
        </row>
        <row r="134">
          <cell r="X134" t="str">
            <v>1ACBM</v>
          </cell>
          <cell r="Y134" t="str">
            <v>DKADU PLANT  - CONSTRUCTION, MAJOR EQUIPMENT - BLOWERS, FANS</v>
          </cell>
          <cell r="Z134" t="str">
            <v>N/A</v>
          </cell>
          <cell r="AA134" t="str">
            <v>N/A</v>
          </cell>
          <cell r="AB134" t="str">
            <v>N/A</v>
          </cell>
          <cell r="AC134" t="str">
            <v>N/A</v>
          </cell>
          <cell r="AD134" t="str">
            <v>N/A</v>
          </cell>
          <cell r="AE134" t="str">
            <v>N/A</v>
          </cell>
          <cell r="AF134" t="str">
            <v>N/A</v>
          </cell>
        </row>
        <row r="135">
          <cell r="X135" t="str">
            <v>1ACBN</v>
          </cell>
          <cell r="Y135" t="str">
            <v>DKADU PLANT  - CONSTRUCTION, MAJOR EQUIPMENT - FILTERS</v>
          </cell>
          <cell r="Z135" t="str">
            <v>N/A</v>
          </cell>
          <cell r="AA135" t="str">
            <v>N/A</v>
          </cell>
          <cell r="AB135" t="str">
            <v>N/A</v>
          </cell>
          <cell r="AC135" t="str">
            <v>N/A</v>
          </cell>
          <cell r="AD135" t="str">
            <v>N/A</v>
          </cell>
          <cell r="AE135" t="str">
            <v>N/A</v>
          </cell>
          <cell r="AF135" t="str">
            <v>N/A</v>
          </cell>
        </row>
        <row r="136">
          <cell r="X136" t="str">
            <v>1ACBO</v>
          </cell>
          <cell r="Y136" t="str">
            <v>DKADU PLANT  - CONSTRUCTION, MAJOR EQUIPMENT - FLARES</v>
          </cell>
          <cell r="Z136" t="str">
            <v>N/A</v>
          </cell>
          <cell r="AA136" t="str">
            <v>N/A</v>
          </cell>
          <cell r="AB136" t="str">
            <v>N/A</v>
          </cell>
          <cell r="AC136" t="str">
            <v>N/A</v>
          </cell>
          <cell r="AD136" t="str">
            <v>N/A</v>
          </cell>
          <cell r="AE136" t="str">
            <v>N/A</v>
          </cell>
          <cell r="AF136" t="str">
            <v>N/A</v>
          </cell>
        </row>
        <row r="137">
          <cell r="X137" t="str">
            <v>1ACBP</v>
          </cell>
          <cell r="Y137" t="str">
            <v>DKADU PLANT  - CONSTRUCTION, MAJOR EQUIPMENT - SOLIDS HANDLING EQUIPMENT</v>
          </cell>
          <cell r="Z137" t="str">
            <v>N/A</v>
          </cell>
          <cell r="AA137" t="str">
            <v>N/A</v>
          </cell>
          <cell r="AB137" t="str">
            <v>N/A</v>
          </cell>
          <cell r="AC137" t="str">
            <v>N/A</v>
          </cell>
          <cell r="AD137" t="str">
            <v>N/A</v>
          </cell>
          <cell r="AE137" t="str">
            <v>N/A</v>
          </cell>
          <cell r="AF137" t="str">
            <v>N/A</v>
          </cell>
        </row>
        <row r="138">
          <cell r="X138" t="str">
            <v>1ACBQ</v>
          </cell>
          <cell r="Y138" t="str">
            <v>DKADU PLANT  - CONSTRUCTION, MAJOR EQUIPMENT - PACKAGED EQUIPMENT</v>
          </cell>
          <cell r="Z138" t="str">
            <v>N/A</v>
          </cell>
          <cell r="AA138" t="str">
            <v>N/A</v>
          </cell>
          <cell r="AB138" t="str">
            <v>N/A</v>
          </cell>
          <cell r="AC138" t="str">
            <v>N/A</v>
          </cell>
          <cell r="AD138" t="str">
            <v>N/A</v>
          </cell>
          <cell r="AE138" t="str">
            <v>N/A</v>
          </cell>
          <cell r="AF138" t="str">
            <v>N/A</v>
          </cell>
        </row>
        <row r="139">
          <cell r="X139" t="str">
            <v>1ACBX</v>
          </cell>
          <cell r="Y139" t="str">
            <v>DKADU PLANT  - CONSTRUCTION, MAJOR EQUIPMENT - OTHERS</v>
          </cell>
          <cell r="Z139">
            <v>80.099999999999994</v>
          </cell>
          <cell r="AA139" t="str">
            <v>TON</v>
          </cell>
          <cell r="AB139">
            <v>12560</v>
          </cell>
          <cell r="AC139">
            <v>124420</v>
          </cell>
          <cell r="AF139">
            <v>124420</v>
          </cell>
        </row>
        <row r="140">
          <cell r="X140" t="str">
            <v>1ACB-</v>
          </cell>
          <cell r="Y140" t="str">
            <v>SUBTOTAL - DKADU PLANT  - CONSTRUCTION, MAJOR EQUIPMENT</v>
          </cell>
          <cell r="Z140">
            <v>4112</v>
          </cell>
          <cell r="AA140" t="str">
            <v>N/A</v>
          </cell>
          <cell r="AB140">
            <v>212160</v>
          </cell>
          <cell r="AC140">
            <v>2551320</v>
          </cell>
          <cell r="AD140">
            <v>0</v>
          </cell>
          <cell r="AE140">
            <v>0</v>
          </cell>
          <cell r="AF140">
            <v>2551320</v>
          </cell>
        </row>
        <row r="142">
          <cell r="X142" t="str">
            <v>1ACCA</v>
          </cell>
          <cell r="Y142" t="str">
            <v>DKADU PLANT  - CONSTRUCTION, BULKS - STRUCTURAL</v>
          </cell>
          <cell r="AF142">
            <v>0</v>
          </cell>
        </row>
        <row r="143">
          <cell r="X143" t="str">
            <v>1ACCB</v>
          </cell>
          <cell r="Y143" t="str">
            <v>DKADU PLANT  - CONSTRUCTION, BULKS - PIPING</v>
          </cell>
          <cell r="AF143">
            <v>0</v>
          </cell>
        </row>
        <row r="144">
          <cell r="X144" t="str">
            <v>1ACCC</v>
          </cell>
          <cell r="Y144" t="str">
            <v>DKADU PLANT  - CONSTRUCTION, BULKS - ELECTRICAL</v>
          </cell>
          <cell r="AF144">
            <v>0</v>
          </cell>
        </row>
        <row r="145">
          <cell r="X145" t="str">
            <v>1ACCD</v>
          </cell>
          <cell r="Y145" t="str">
            <v>DKADU PLANT  - CONSTRUCTION, BULKS - INSTRUMENTATION</v>
          </cell>
          <cell r="AF145">
            <v>0</v>
          </cell>
        </row>
        <row r="146">
          <cell r="X146" t="str">
            <v>1ACCE</v>
          </cell>
          <cell r="Y146" t="str">
            <v>DKADU PLANT  - CONSTRUCTION, BULKS - PIPELINES</v>
          </cell>
          <cell r="Z146" t="str">
            <v>N/A</v>
          </cell>
          <cell r="AA146" t="str">
            <v>N/A</v>
          </cell>
          <cell r="AB146" t="str">
            <v>N/A</v>
          </cell>
          <cell r="AC146" t="str">
            <v>N/A</v>
          </cell>
          <cell r="AD146" t="str">
            <v>N/A</v>
          </cell>
          <cell r="AE146" t="str">
            <v>N/A</v>
          </cell>
          <cell r="AF146" t="str">
            <v>N/A</v>
          </cell>
        </row>
        <row r="147">
          <cell r="X147" t="str">
            <v>1ACC-</v>
          </cell>
          <cell r="Y147" t="str">
            <v xml:space="preserve">SUBTOTAL - DKADU PLANT  - CONSTRUCTION, BULKS </v>
          </cell>
          <cell r="Z147">
            <v>0</v>
          </cell>
          <cell r="AA147" t="str">
            <v>N/A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54">
          <cell r="W154" t="str">
            <v>LEVEL 2 DKADU PLANT PG 5</v>
          </cell>
          <cell r="X154" t="str">
            <v>WBS CODE</v>
          </cell>
          <cell r="Y154" t="str">
            <v>DESCRIPTION</v>
          </cell>
          <cell r="Z154" t="str">
            <v>QUANTITY</v>
          </cell>
          <cell r="AA154" t="str">
            <v>UNITS</v>
          </cell>
          <cell r="AB154" t="str">
            <v>TOTAL MANHOURS</v>
          </cell>
          <cell r="AC154" t="str">
            <v>TOTAL LABOR COST</v>
          </cell>
          <cell r="AD154" t="str">
            <v>TOTAL MAT'L COST</v>
          </cell>
          <cell r="AE154" t="str">
            <v>TOTAL S/C COST</v>
          </cell>
          <cell r="AF154" t="str">
            <v>TOTAL COST</v>
          </cell>
        </row>
        <row r="156">
          <cell r="X156" t="str">
            <v>1ACDA</v>
          </cell>
          <cell r="Y156" t="str">
            <v>DKADU PLANT  - CONSTRUCTION SPECIALTIES - BUILDINGS</v>
          </cell>
          <cell r="AF156">
            <v>0</v>
          </cell>
        </row>
        <row r="157">
          <cell r="X157" t="str">
            <v>1ACDB</v>
          </cell>
          <cell r="Y157" t="str">
            <v>DKADU PLANT  - CONSTRUCTION SPECIALTIES - GENERAL</v>
          </cell>
          <cell r="AF157">
            <v>0</v>
          </cell>
        </row>
        <row r="158">
          <cell r="X158" t="str">
            <v>1ACD-</v>
          </cell>
          <cell r="Y158" t="str">
            <v>SUBTOTAL - DKADU PLANT  - CONSTRUCTION SPECIALTIES</v>
          </cell>
          <cell r="Z158">
            <v>0</v>
          </cell>
          <cell r="AA158" t="str">
            <v>N/A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60">
          <cell r="X160" t="str">
            <v>1ACEA</v>
          </cell>
          <cell r="Y160" t="str">
            <v>DKADU PLANT  - CONSTRUCTION, OTHER DIRECT WORK - FIRE PROTECTION</v>
          </cell>
          <cell r="AF160">
            <v>0</v>
          </cell>
        </row>
        <row r="161">
          <cell r="X161" t="str">
            <v>1ACEB</v>
          </cell>
          <cell r="Y161" t="str">
            <v>DKADU PLANT  - CONSTRUCTION, OTHER DIRECT WORK - FIREPROOFING</v>
          </cell>
          <cell r="AF161">
            <v>0</v>
          </cell>
        </row>
        <row r="162">
          <cell r="X162" t="str">
            <v>1ACEC</v>
          </cell>
          <cell r="Y162" t="str">
            <v>DKADU PLANT  - CONSTRUCTION, OTHER DIRECT WORK - INSULATION</v>
          </cell>
          <cell r="AF162">
            <v>0</v>
          </cell>
        </row>
        <row r="163">
          <cell r="X163" t="str">
            <v>1ACED</v>
          </cell>
          <cell r="Y163" t="str">
            <v>DKADU PLANT  - CONSTRUCTION, OTHER DIRECT WORK - PAINTING</v>
          </cell>
          <cell r="AF163">
            <v>0</v>
          </cell>
        </row>
        <row r="164">
          <cell r="X164" t="str">
            <v>1ACEE</v>
          </cell>
          <cell r="Y164" t="str">
            <v>DKADU PLANT  - CONSTRUCTION, OTHER DIRECT WORK - SHUTDOWN</v>
          </cell>
          <cell r="AF164">
            <v>0</v>
          </cell>
        </row>
        <row r="165">
          <cell r="X165" t="str">
            <v>1ACEF</v>
          </cell>
          <cell r="Y165" t="str">
            <v>DKADU PLANT  - CONSTRUCTION, OTHER DIRECT WORK - PRE-COMMISSIONING</v>
          </cell>
          <cell r="AF165">
            <v>0</v>
          </cell>
        </row>
        <row r="166">
          <cell r="X166" t="str">
            <v>1ACEG</v>
          </cell>
          <cell r="Y166" t="str">
            <v>DKADU PLANT  - CONSTRUCTION, OTHER DIRECT WORK - ENVIRONMENTAL</v>
          </cell>
          <cell r="AF166">
            <v>0</v>
          </cell>
        </row>
        <row r="167">
          <cell r="X167" t="str">
            <v>1ACEX</v>
          </cell>
          <cell r="Y167" t="str">
            <v>DKADU PLANT  - CONSTRUCTION, OTHER DIRECT WORK - OTHER</v>
          </cell>
          <cell r="AF167">
            <v>0</v>
          </cell>
        </row>
        <row r="168">
          <cell r="X168" t="str">
            <v>1ACE</v>
          </cell>
          <cell r="Y168" t="str">
            <v xml:space="preserve">SUBTOTAL - DKADU PLANT  - CONSTRUCTION, OTHER DIRECT WORK - </v>
          </cell>
          <cell r="Z168">
            <v>0</v>
          </cell>
          <cell r="AA168" t="str">
            <v>N/A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70">
          <cell r="X170" t="str">
            <v>1ACFA</v>
          </cell>
          <cell r="Y170" t="str">
            <v>DKADU PLANT  - CONSTRUCTION INDIRECTS</v>
          </cell>
          <cell r="AF170">
            <v>0</v>
          </cell>
        </row>
        <row r="171">
          <cell r="X171" t="str">
            <v>1ACF</v>
          </cell>
          <cell r="Y171" t="str">
            <v>SUBTOTAL - DKADU PLANT  - CONSTRUCTION INDIRECTS</v>
          </cell>
          <cell r="Z171">
            <v>0</v>
          </cell>
          <cell r="AA171" t="str">
            <v>N/A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3">
          <cell r="X173" t="str">
            <v>1ADAA</v>
          </cell>
          <cell r="Y173" t="str">
            <v>DKADU PLANT  - COMMISSIONING - PROCESS</v>
          </cell>
          <cell r="AF173">
            <v>0</v>
          </cell>
        </row>
        <row r="174">
          <cell r="X174" t="str">
            <v>1ADAB</v>
          </cell>
          <cell r="Y174" t="str">
            <v>DKADU PLANT  - COMMISSIONING - UTILITIES</v>
          </cell>
          <cell r="AF174">
            <v>0</v>
          </cell>
        </row>
        <row r="175">
          <cell r="X175" t="str">
            <v>1ADA-</v>
          </cell>
          <cell r="Y175" t="str">
            <v>SUBTOTAL - DKADU PLANT  - COMMISSIONING</v>
          </cell>
          <cell r="Z175">
            <v>0</v>
          </cell>
          <cell r="AA175" t="str">
            <v>N/A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7">
          <cell r="X177" t="str">
            <v>1ADBA</v>
          </cell>
          <cell r="Y177" t="str">
            <v>DKADU PLANT  - STARTUP - PROCESS</v>
          </cell>
          <cell r="AF177">
            <v>0</v>
          </cell>
        </row>
        <row r="178">
          <cell r="X178" t="str">
            <v>1ADBB</v>
          </cell>
          <cell r="Y178" t="str">
            <v>DKADU PLANT  - STARTUP - UTILITIES</v>
          </cell>
          <cell r="AF178">
            <v>0</v>
          </cell>
        </row>
        <row r="179">
          <cell r="X179" t="str">
            <v>1ADB-</v>
          </cell>
          <cell r="Y179" t="str">
            <v>SUBTOTAL - DKADU PLANT  - STARTUP</v>
          </cell>
          <cell r="Z179">
            <v>0</v>
          </cell>
          <cell r="AA179" t="str">
            <v>N/A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1">
          <cell r="X181" t="str">
            <v>1ADCA</v>
          </cell>
          <cell r="Y181" t="str">
            <v>DKADU PLANT  - TRAINING</v>
          </cell>
          <cell r="AF181">
            <v>0</v>
          </cell>
        </row>
        <row r="182">
          <cell r="X182" t="str">
            <v>1ADC-</v>
          </cell>
          <cell r="Y182" t="str">
            <v>SUBTOTAL - DKADU PLANT  - TRAINING</v>
          </cell>
          <cell r="Z182">
            <v>0</v>
          </cell>
          <cell r="AA182" t="str">
            <v>N/A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92">
          <cell r="L192" t="str">
            <v>CYCLE &amp; LVL 1 NGL-4 PLANT</v>
          </cell>
          <cell r="M192" t="str">
            <v>WBS CODE</v>
          </cell>
          <cell r="N192" t="str">
            <v>DESCRIPTION</v>
          </cell>
          <cell r="O192" t="str">
            <v>QUANTITY</v>
          </cell>
          <cell r="P192" t="str">
            <v>UNITS</v>
          </cell>
          <cell r="Q192" t="str">
            <v>TOTAL MANHOURS</v>
          </cell>
          <cell r="R192" t="str">
            <v>TOTAL LABOR COST</v>
          </cell>
          <cell r="S192" t="str">
            <v>TOTAL MAT'L COST</v>
          </cell>
          <cell r="T192" t="str">
            <v>TOTAL S/C COST</v>
          </cell>
          <cell r="U192" t="str">
            <v>TOTAL COST</v>
          </cell>
          <cell r="W192" t="str">
            <v>LEVEL 2 NGL-4 PLANT PG.1</v>
          </cell>
          <cell r="X192" t="str">
            <v>WBS CODE</v>
          </cell>
          <cell r="Y192" t="str">
            <v>DESCRIPTION</v>
          </cell>
          <cell r="Z192" t="str">
            <v>QUANTITY</v>
          </cell>
          <cell r="AA192" t="str">
            <v>UNITS</v>
          </cell>
          <cell r="AB192" t="str">
            <v>TOTAL MANHOURS</v>
          </cell>
          <cell r="AC192" t="str">
            <v>TOTAL LABOR COST</v>
          </cell>
          <cell r="AD192" t="str">
            <v>TOTAL MAT'L COST</v>
          </cell>
          <cell r="AE192" t="str">
            <v>TOTAL S/C COST</v>
          </cell>
          <cell r="AF192" t="str">
            <v>TOTAL COST</v>
          </cell>
          <cell r="AH192" t="str">
            <v>LEVEL 3 NGL-4 PLANT PG 1</v>
          </cell>
          <cell r="AI192" t="str">
            <v>WBS CODE</v>
          </cell>
          <cell r="AJ192" t="str">
            <v>DESCRIPTION</v>
          </cell>
          <cell r="AK192" t="str">
            <v>QUANTITY</v>
          </cell>
          <cell r="AL192" t="str">
            <v>UNITS</v>
          </cell>
          <cell r="AM192" t="str">
            <v>TOTAL MANHOURS</v>
          </cell>
          <cell r="AN192" t="str">
            <v>TOTAL LABOR COST</v>
          </cell>
          <cell r="AO192" t="str">
            <v>TOTAL MAT'L COST</v>
          </cell>
          <cell r="AP192" t="str">
            <v>TOTAL S/C COST</v>
          </cell>
          <cell r="AQ192" t="str">
            <v>TOTAL COST</v>
          </cell>
        </row>
        <row r="194">
          <cell r="M194" t="str">
            <v>1BAA-</v>
          </cell>
          <cell r="N194" t="str">
            <v>NGL-4 PLANT  - DIRECT ENGINEERING</v>
          </cell>
          <cell r="Q194">
            <v>8136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X194" t="str">
            <v>1BAAA</v>
          </cell>
          <cell r="Y194" t="str">
            <v>NGL-4 PLANT  - DIR. ENG.  PROCESS</v>
          </cell>
          <cell r="AF194">
            <v>0</v>
          </cell>
          <cell r="AI194" t="str">
            <v>1BBAAA</v>
          </cell>
          <cell r="AJ194" t="str">
            <v>DEETHANIZER OVERHEAD ACCUMULATOR DRUM</v>
          </cell>
          <cell r="AQ194">
            <v>0</v>
          </cell>
        </row>
        <row r="195">
          <cell r="M195" t="str">
            <v>1BAH-</v>
          </cell>
          <cell r="N195" t="str">
            <v>NGL-4 PLANT  EQUIPMENT SPECIFICATION</v>
          </cell>
          <cell r="Q195">
            <v>1870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X195" t="str">
            <v>1BAAB</v>
          </cell>
          <cell r="Y195" t="str">
            <v>NGL-4 PLANT  - DIR. ENG.  PERMITS</v>
          </cell>
          <cell r="AF195">
            <v>0</v>
          </cell>
          <cell r="AI195" t="str">
            <v>1BBAAB</v>
          </cell>
          <cell r="AJ195" t="str">
            <v>PROPANE REFRIGERANT SURGE DRUMS</v>
          </cell>
          <cell r="AQ195">
            <v>0</v>
          </cell>
        </row>
        <row r="196">
          <cell r="M196" t="str">
            <v>1BAI-</v>
          </cell>
          <cell r="N196" t="str">
            <v>NGL-4 PLANT  - ENGINEERING PROCUREMENT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X196" t="str">
            <v>1BAAC</v>
          </cell>
          <cell r="Y196" t="str">
            <v>NGL-4 PLANT  - DIR. ENG.  CIVIL/STRUCTURAL</v>
          </cell>
          <cell r="AF196">
            <v>0</v>
          </cell>
          <cell r="AI196" t="str">
            <v>1BBAAC</v>
          </cell>
          <cell r="AJ196" t="str">
            <v>PROPANE REFRIGERANT 1ST STAGE SUCTION DRUMS</v>
          </cell>
          <cell r="AQ196">
            <v>0</v>
          </cell>
        </row>
        <row r="197">
          <cell r="M197" t="str">
            <v>1BAJ-</v>
          </cell>
          <cell r="N197" t="str">
            <v>NGL-4 PLANT  - INDIRECT ENGINEERING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X197" t="str">
            <v>1BAAD</v>
          </cell>
          <cell r="Y197" t="str">
            <v>NGL-4 PLANT  - DIR. ENG.  MECHANICAL</v>
          </cell>
          <cell r="Z197">
            <v>271</v>
          </cell>
          <cell r="AA197" t="str">
            <v>EA</v>
          </cell>
          <cell r="AB197">
            <v>8136</v>
          </cell>
          <cell r="AF197">
            <v>0</v>
          </cell>
          <cell r="AI197" t="str">
            <v>1BBAAD</v>
          </cell>
          <cell r="AJ197" t="str">
            <v>PROPANE REFRIGERANT 3RD STAGE SUCTION DRUMS</v>
          </cell>
          <cell r="AQ197">
            <v>0</v>
          </cell>
        </row>
        <row r="198">
          <cell r="M198" t="str">
            <v>1BA--</v>
          </cell>
          <cell r="N198" t="str">
            <v>SUBTOTAL NGL-4 PLANT  - ENGINEERING/PROCUREMENT</v>
          </cell>
          <cell r="Q198">
            <v>10006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X198" t="str">
            <v>1BAAE</v>
          </cell>
          <cell r="Y198" t="str">
            <v>NGL-4 PLANT  - DIR. ENG.  PIPING</v>
          </cell>
          <cell r="AF198">
            <v>0</v>
          </cell>
          <cell r="AI198" t="str">
            <v>1BBAAE</v>
          </cell>
          <cell r="AJ198" t="str">
            <v>PROPANE REFRIGERANT 4TH STAGE SUCTION DRUMS</v>
          </cell>
          <cell r="AQ198">
            <v>0</v>
          </cell>
        </row>
        <row r="199">
          <cell r="X199" t="str">
            <v>1BAAF</v>
          </cell>
          <cell r="Y199" t="str">
            <v>NGL-4 PLANT  - DIR. ENG.  ELECTRICAL</v>
          </cell>
          <cell r="AF199">
            <v>0</v>
          </cell>
          <cell r="AI199" t="str">
            <v>1BBAAF</v>
          </cell>
          <cell r="AJ199" t="str">
            <v>NFGP FEED DRUM</v>
          </cell>
          <cell r="AQ199">
            <v>0</v>
          </cell>
        </row>
        <row r="200">
          <cell r="M200" t="str">
            <v>1BBA-</v>
          </cell>
          <cell r="N200" t="str">
            <v>NGL-4 PLANT  - FAB/DELIVERY - MAJOR EQUIPMENT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X200" t="str">
            <v>1BAAG</v>
          </cell>
          <cell r="Y200" t="str">
            <v>NGL-4 PLANT  - DIR. ENG.  INSTRUMENTATION</v>
          </cell>
          <cell r="AF200">
            <v>0</v>
          </cell>
          <cell r="AI200" t="str">
            <v>1BBAAX</v>
          </cell>
          <cell r="AJ200" t="str">
            <v>OTHER PRESSURE VESSELS</v>
          </cell>
          <cell r="AQ200">
            <v>0</v>
          </cell>
        </row>
        <row r="201">
          <cell r="M201" t="str">
            <v>1BBB-</v>
          </cell>
          <cell r="N201" t="str">
            <v>NGL-4 PLANT  - FAB/DELIVERY - BULKS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X201" t="str">
            <v>1BAAH</v>
          </cell>
          <cell r="Y201" t="str">
            <v>NGL-4 PLANT  - DIR. ENG.  ARCHITECTURAL</v>
          </cell>
          <cell r="AF201">
            <v>0</v>
          </cell>
          <cell r="AI201" t="str">
            <v>1BBAA-</v>
          </cell>
          <cell r="AJ201" t="str">
            <v>SUBTOTAL PRESSURE VESSELS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</row>
        <row r="202">
          <cell r="M202" t="str">
            <v>1BBC-</v>
          </cell>
          <cell r="N202" t="str">
            <v>NGL-4 PLANT  - FAB/DELIVERY - ENGINEERING SPECIALTIES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X202" t="str">
            <v>1BAAI</v>
          </cell>
          <cell r="Y202" t="str">
            <v>NGL-4 PLANT  - DIR. ENG.  PIPELINES</v>
          </cell>
          <cell r="Z202" t="str">
            <v>N/A</v>
          </cell>
          <cell r="AA202" t="str">
            <v>N/A</v>
          </cell>
          <cell r="AB202" t="str">
            <v>N/A</v>
          </cell>
          <cell r="AC202" t="str">
            <v>N/A</v>
          </cell>
          <cell r="AD202" t="str">
            <v>N/A</v>
          </cell>
          <cell r="AE202" t="str">
            <v>N/A</v>
          </cell>
          <cell r="AF202" t="str">
            <v>N/A</v>
          </cell>
        </row>
        <row r="203">
          <cell r="M203" t="str">
            <v>1BB--</v>
          </cell>
          <cell r="N203" t="str">
            <v>SUBTOTAL NGL-4 PLANT  - FABRICATION/DELIVERY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X203" t="str">
            <v>1BAA-</v>
          </cell>
          <cell r="Y203" t="str">
            <v>SUBTOTAL - NGL-4 PLANT  - DIRECT ENGINEERING</v>
          </cell>
          <cell r="Z203">
            <v>271</v>
          </cell>
          <cell r="AA203" t="str">
            <v>N/A</v>
          </cell>
          <cell r="AB203">
            <v>8136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I203" t="str">
            <v>1BBABA</v>
          </cell>
          <cell r="AJ203" t="str">
            <v>DEETHANISER COLUMNS</v>
          </cell>
          <cell r="AQ203">
            <v>0</v>
          </cell>
        </row>
        <row r="204">
          <cell r="AI204" t="str">
            <v>1BBABB</v>
          </cell>
          <cell r="AJ204" t="str">
            <v>DEPROPANISER COLUMNS</v>
          </cell>
        </row>
        <row r="205">
          <cell r="M205" t="str">
            <v>1BCA-</v>
          </cell>
          <cell r="N205" t="str">
            <v>NGL-4 PLANT  - CONSTRUCTION - CIVIL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X205" t="str">
            <v>1BAHA</v>
          </cell>
          <cell r="Y205" t="str">
            <v>NGL-4 PLANT  - EQUIP. SPECS - PRESSURE VESSELS</v>
          </cell>
          <cell r="Z205">
            <v>53</v>
          </cell>
          <cell r="AA205" t="str">
            <v>EA</v>
          </cell>
          <cell r="AB205">
            <v>170</v>
          </cell>
          <cell r="AF205">
            <v>0</v>
          </cell>
          <cell r="AI205" t="str">
            <v>1BBABC</v>
          </cell>
          <cell r="AJ205" t="str">
            <v>DEBUTANISER COLUMNS</v>
          </cell>
          <cell r="AQ205">
            <v>0</v>
          </cell>
        </row>
        <row r="206">
          <cell r="M206" t="str">
            <v>1BCB-</v>
          </cell>
          <cell r="N206" t="str">
            <v>NGL-4 PLANT  - CONSTRUCTION - MAJOR EQUIPMENT</v>
          </cell>
          <cell r="Q206">
            <v>376990</v>
          </cell>
          <cell r="R206">
            <v>5042400</v>
          </cell>
          <cell r="S206">
            <v>0</v>
          </cell>
          <cell r="T206">
            <v>0</v>
          </cell>
          <cell r="U206">
            <v>5042400</v>
          </cell>
          <cell r="X206" t="str">
            <v>1BAHB</v>
          </cell>
          <cell r="Y206" t="str">
            <v>NGL-4 PLANT  - EQUIP. SPECS - COLUMNS</v>
          </cell>
          <cell r="Z206">
            <v>18</v>
          </cell>
          <cell r="AA206" t="str">
            <v>EA</v>
          </cell>
          <cell r="AB206">
            <v>150</v>
          </cell>
          <cell r="AF206">
            <v>0</v>
          </cell>
          <cell r="AI206" t="str">
            <v>1BBABD</v>
          </cell>
          <cell r="AJ206" t="str">
            <v>PROPANE MOLECULAR SEIVE ABSORBER</v>
          </cell>
          <cell r="AQ206">
            <v>0</v>
          </cell>
        </row>
        <row r="207">
          <cell r="M207" t="str">
            <v>1BCC-</v>
          </cell>
          <cell r="N207" t="str">
            <v>NGL-4 PLANT  - CONSTRUCTION - BULKS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X207" t="str">
            <v>1BAHC</v>
          </cell>
          <cell r="Y207" t="str">
            <v>NGL-4 PLANT  - EQUIP. SPECS - REACTORS</v>
          </cell>
          <cell r="Z207" t="str">
            <v>N/A</v>
          </cell>
          <cell r="AA207" t="str">
            <v>N/A</v>
          </cell>
          <cell r="AB207" t="str">
            <v>N/A</v>
          </cell>
          <cell r="AC207" t="str">
            <v>N/A</v>
          </cell>
          <cell r="AD207" t="str">
            <v>N/A</v>
          </cell>
          <cell r="AE207" t="str">
            <v>N/A</v>
          </cell>
          <cell r="AF207" t="str">
            <v>N/A</v>
          </cell>
          <cell r="AI207" t="str">
            <v>1BBABE</v>
          </cell>
          <cell r="AJ207" t="str">
            <v>BUTANE MOLECULAR SE9IVE ABSORBER</v>
          </cell>
          <cell r="AQ207">
            <v>0</v>
          </cell>
        </row>
        <row r="208">
          <cell r="M208" t="str">
            <v>1BCD-</v>
          </cell>
          <cell r="N208" t="str">
            <v>NGL-4 PLANT  - CONSTRUCTION - CONSTRUCTION SPECIALTIES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X208" t="str">
            <v>1BAHD</v>
          </cell>
          <cell r="Y208" t="str">
            <v>NGL-4 PLANT  - EQUIP. SPECS - FIELD ERECTED TANKS</v>
          </cell>
          <cell r="Z208" t="str">
            <v>N/A</v>
          </cell>
          <cell r="AA208" t="str">
            <v>N/A</v>
          </cell>
          <cell r="AB208" t="str">
            <v>N/A</v>
          </cell>
          <cell r="AC208" t="str">
            <v>N/A</v>
          </cell>
          <cell r="AD208" t="str">
            <v>N/A</v>
          </cell>
          <cell r="AE208" t="str">
            <v>N/A</v>
          </cell>
          <cell r="AF208" t="str">
            <v>N/A</v>
          </cell>
          <cell r="AI208" t="str">
            <v>1BBABF</v>
          </cell>
          <cell r="AJ208" t="str">
            <v>REGENERATED GAS ALUMINUM DRYER</v>
          </cell>
          <cell r="AQ208">
            <v>0</v>
          </cell>
        </row>
        <row r="209">
          <cell r="M209" t="str">
            <v>1BCE-</v>
          </cell>
          <cell r="N209" t="str">
            <v>NGL-4 PLANT  - CONSTRUCTION - OTHER DIRECT WORK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X209" t="str">
            <v>1BAHE</v>
          </cell>
          <cell r="Y209" t="str">
            <v>NGL-4 PLANT  - EQUIP. SPECS - PUMPS</v>
          </cell>
          <cell r="Z209">
            <v>102</v>
          </cell>
          <cell r="AA209" t="str">
            <v>EA</v>
          </cell>
          <cell r="AB209">
            <v>210</v>
          </cell>
          <cell r="AF209">
            <v>0</v>
          </cell>
          <cell r="AI209" t="str">
            <v>1BBABX</v>
          </cell>
          <cell r="AJ209" t="str">
            <v>OTHER COLUMNS</v>
          </cell>
          <cell r="AQ209">
            <v>0</v>
          </cell>
        </row>
        <row r="210">
          <cell r="M210" t="str">
            <v>1BCF-</v>
          </cell>
          <cell r="N210" t="str">
            <v>NGL-4 PLANT  - CONSTRUCTION - INDIRECTS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X210" t="str">
            <v>1BAHF</v>
          </cell>
          <cell r="Y210" t="str">
            <v>NGL-4 PLANT  - EQUIP. SPECS - HEAT EXCHANGERS - S &amp; T</v>
          </cell>
          <cell r="Z210">
            <v>39</v>
          </cell>
          <cell r="AA210" t="str">
            <v>EA</v>
          </cell>
          <cell r="AB210">
            <v>170</v>
          </cell>
          <cell r="AF210">
            <v>0</v>
          </cell>
          <cell r="AI210" t="str">
            <v>1BBAB</v>
          </cell>
          <cell r="AJ210" t="str">
            <v>SUBTOTAL COLUMNS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</row>
        <row r="211">
          <cell r="M211" t="str">
            <v>1BC--</v>
          </cell>
          <cell r="N211" t="str">
            <v>SUBTOTAL NGL-4 PLANT  - CONSTRUCTION</v>
          </cell>
          <cell r="Q211">
            <v>376990</v>
          </cell>
          <cell r="R211">
            <v>5042400</v>
          </cell>
          <cell r="S211">
            <v>0</v>
          </cell>
          <cell r="T211">
            <v>0</v>
          </cell>
          <cell r="U211">
            <v>5042400</v>
          </cell>
          <cell r="X211" t="str">
            <v>1BAHG</v>
          </cell>
          <cell r="Y211" t="str">
            <v>NGL-4 PLANT  - EQUIP. SPECS - HEAT EXCHANGERS - FINNED</v>
          </cell>
          <cell r="Z211">
            <v>17</v>
          </cell>
          <cell r="AA211" t="str">
            <v>EA</v>
          </cell>
          <cell r="AB211">
            <v>250</v>
          </cell>
          <cell r="AF211">
            <v>0</v>
          </cell>
        </row>
        <row r="212">
          <cell r="X212" t="str">
            <v>1BAHH</v>
          </cell>
          <cell r="Y212" t="str">
            <v>NGL-4 PLANT  - EQUIP. SPECS - EXTRUDERS</v>
          </cell>
          <cell r="Z212" t="str">
            <v>N/A</v>
          </cell>
          <cell r="AA212" t="str">
            <v>N/A</v>
          </cell>
          <cell r="AB212" t="str">
            <v>N/A</v>
          </cell>
          <cell r="AC212" t="str">
            <v>N/A</v>
          </cell>
          <cell r="AD212" t="str">
            <v>N/A</v>
          </cell>
          <cell r="AE212" t="str">
            <v>N/A</v>
          </cell>
          <cell r="AF212" t="str">
            <v>N/A</v>
          </cell>
          <cell r="AI212" t="str">
            <v>1BBAEA</v>
          </cell>
          <cell r="AJ212" t="str">
            <v>NFGP NGL FEED PUMPS</v>
          </cell>
          <cell r="AQ212">
            <v>0</v>
          </cell>
        </row>
        <row r="213">
          <cell r="M213" t="str">
            <v>1BDA-</v>
          </cell>
          <cell r="N213" t="str">
            <v>NGL-4 PLANT  - COMMISSIONING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X213" t="str">
            <v>1BAHI</v>
          </cell>
          <cell r="Y213" t="str">
            <v>NGL-4 PLANT  - EQUIP. SPECS - COMPRESSORS</v>
          </cell>
          <cell r="Z213">
            <v>10</v>
          </cell>
          <cell r="AA213" t="str">
            <v>EA</v>
          </cell>
          <cell r="AB213">
            <v>250</v>
          </cell>
          <cell r="AF213">
            <v>0</v>
          </cell>
          <cell r="AI213" t="str">
            <v>1BBAEX</v>
          </cell>
          <cell r="AJ213" t="str">
            <v>OTHER PUMPS</v>
          </cell>
          <cell r="AQ213">
            <v>0</v>
          </cell>
        </row>
        <row r="214">
          <cell r="M214" t="str">
            <v>1BDB-</v>
          </cell>
          <cell r="N214" t="str">
            <v>NGL-4 PLANT  -STARTUP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X214" t="str">
            <v>1BAHJ</v>
          </cell>
          <cell r="Y214" t="str">
            <v>NGL-4 PLANT  - EQUIP. SPECS - GENERATORS</v>
          </cell>
          <cell r="Z214" t="str">
            <v>N/A</v>
          </cell>
          <cell r="AA214" t="str">
            <v>N/A</v>
          </cell>
          <cell r="AB214" t="str">
            <v>N/A</v>
          </cell>
          <cell r="AC214" t="str">
            <v>N/A</v>
          </cell>
          <cell r="AD214" t="str">
            <v>N/A</v>
          </cell>
          <cell r="AE214" t="str">
            <v>N/A</v>
          </cell>
          <cell r="AF214" t="str">
            <v>N/A</v>
          </cell>
          <cell r="AI214" t="str">
            <v>1BBAE-</v>
          </cell>
          <cell r="AJ214" t="str">
            <v>SUBTOTAL PUMPS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</row>
        <row r="215">
          <cell r="M215" t="str">
            <v>1BDC-</v>
          </cell>
          <cell r="N215" t="str">
            <v>NGL-4 PLANT  -TRAINING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X215" t="str">
            <v>1BAHK</v>
          </cell>
          <cell r="Y215" t="str">
            <v>NGL-4 PLANT  - EQUIP. SPECS - MOTORS &amp; DRIVERS</v>
          </cell>
          <cell r="AF215">
            <v>0</v>
          </cell>
        </row>
        <row r="216">
          <cell r="M216" t="str">
            <v>1BD--</v>
          </cell>
          <cell r="N216" t="str">
            <v>SUBTOTAL NGL-4 PLANT  - COMMISSIONING, STARTUP &amp; TRAINING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X216" t="str">
            <v>1BAHL</v>
          </cell>
          <cell r="Y216" t="str">
            <v>NGL-4 PLANT  - EQUIP. SPECS - FIRED EQUIPMENT</v>
          </cell>
          <cell r="Z216" t="str">
            <v>N/A</v>
          </cell>
          <cell r="AA216" t="str">
            <v>N/A</v>
          </cell>
          <cell r="AB216" t="str">
            <v>N/A</v>
          </cell>
          <cell r="AC216" t="str">
            <v>N/A</v>
          </cell>
          <cell r="AD216" t="str">
            <v>N/A</v>
          </cell>
          <cell r="AE216" t="str">
            <v>N/A</v>
          </cell>
          <cell r="AF216" t="str">
            <v>N/A</v>
          </cell>
          <cell r="AI216" t="str">
            <v>1BBAFA</v>
          </cell>
          <cell r="AJ216" t="str">
            <v>DEETAHNISER COLUMNS CONDENSERS</v>
          </cell>
          <cell r="AQ216">
            <v>0</v>
          </cell>
        </row>
        <row r="217">
          <cell r="X217" t="str">
            <v>1BAHM</v>
          </cell>
          <cell r="Y217" t="str">
            <v>NGL-4 PLANT  - EQUIP. SPECS - BLOWERS, FANS</v>
          </cell>
          <cell r="AF217">
            <v>0</v>
          </cell>
          <cell r="AI217" t="str">
            <v>1BBAFB</v>
          </cell>
          <cell r="AJ217" t="str">
            <v>DEETAHNISER COLUMNS REBOILERS</v>
          </cell>
          <cell r="AQ217">
            <v>0</v>
          </cell>
        </row>
        <row r="218">
          <cell r="X218" t="str">
            <v>1BAHN</v>
          </cell>
          <cell r="Y218" t="str">
            <v>NGL-4 PLANT  - EQUIP. SPECS - FILTERS</v>
          </cell>
          <cell r="Z218" t="str">
            <v>N/A</v>
          </cell>
          <cell r="AA218" t="str">
            <v>N/A</v>
          </cell>
          <cell r="AB218" t="str">
            <v>N/A</v>
          </cell>
          <cell r="AC218" t="str">
            <v>N/A</v>
          </cell>
          <cell r="AD218" t="str">
            <v>N/A</v>
          </cell>
          <cell r="AE218" t="str">
            <v>N/A</v>
          </cell>
          <cell r="AF218" t="str">
            <v>N/A</v>
          </cell>
          <cell r="AI218" t="str">
            <v>1BBAFC</v>
          </cell>
          <cell r="AJ218" t="str">
            <v>DEPROPANISER COLUMNS CONDENSER</v>
          </cell>
          <cell r="AQ218">
            <v>0</v>
          </cell>
        </row>
        <row r="219">
          <cell r="X219" t="str">
            <v>1BAHO</v>
          </cell>
          <cell r="Y219" t="str">
            <v>NGL-4 PLANT  - EQUIP. SPECS - FLARES</v>
          </cell>
          <cell r="Z219">
            <v>1</v>
          </cell>
          <cell r="AA219" t="str">
            <v>EA</v>
          </cell>
          <cell r="AB219">
            <v>200</v>
          </cell>
          <cell r="AF219">
            <v>0</v>
          </cell>
          <cell r="AI219" t="str">
            <v>1BBAFD</v>
          </cell>
          <cell r="AJ219" t="str">
            <v>DEPROPANISER COLUMNS REBOILERS</v>
          </cell>
          <cell r="AQ219">
            <v>0</v>
          </cell>
        </row>
        <row r="220">
          <cell r="X220" t="str">
            <v>1BAHP</v>
          </cell>
          <cell r="Y220" t="str">
            <v>NGL-4 PLANT  - EQUIP. SPECS - SOLIDS HANDLING EQUIPMENT</v>
          </cell>
          <cell r="Z220" t="str">
            <v>N/A</v>
          </cell>
          <cell r="AA220" t="str">
            <v>N/A</v>
          </cell>
          <cell r="AB220" t="str">
            <v>N/A</v>
          </cell>
          <cell r="AC220" t="str">
            <v>N/A</v>
          </cell>
          <cell r="AD220" t="str">
            <v>N/A</v>
          </cell>
          <cell r="AE220" t="str">
            <v>N/A</v>
          </cell>
          <cell r="AF220" t="str">
            <v>N/A</v>
          </cell>
          <cell r="AI220" t="str">
            <v>1BBAFE</v>
          </cell>
          <cell r="AJ220" t="str">
            <v>DEBUTANISER COLUMNS CONDENSERS</v>
          </cell>
          <cell r="AQ220">
            <v>0</v>
          </cell>
        </row>
        <row r="221">
          <cell r="X221" t="str">
            <v>1BAHQ</v>
          </cell>
          <cell r="Y221" t="str">
            <v>NGL-4 PLANT  - EQUIP. SPECS - PACKAGED EQUIPMENT</v>
          </cell>
          <cell r="Z221">
            <v>4</v>
          </cell>
          <cell r="AA221" t="str">
            <v>EA</v>
          </cell>
          <cell r="AB221">
            <v>300</v>
          </cell>
          <cell r="AF221">
            <v>0</v>
          </cell>
          <cell r="AI221" t="str">
            <v>1BBAFF</v>
          </cell>
          <cell r="AJ221" t="str">
            <v>DEBUTANISER COLUMNS REBOILERS</v>
          </cell>
          <cell r="AQ221">
            <v>0</v>
          </cell>
        </row>
        <row r="222">
          <cell r="X222" t="str">
            <v>1BAHX</v>
          </cell>
          <cell r="Y222" t="str">
            <v>NGL-4 PLANT  - EQUIP. SPECS - OTHERS</v>
          </cell>
          <cell r="Z222">
            <v>27</v>
          </cell>
          <cell r="AA222" t="str">
            <v>EA</v>
          </cell>
          <cell r="AB222">
            <v>170</v>
          </cell>
          <cell r="AF222">
            <v>0</v>
          </cell>
          <cell r="AI222" t="str">
            <v>1BBAFG</v>
          </cell>
          <cell r="AJ222" t="str">
            <v>COMPRESSOR DISCHARGE CONDENSER</v>
          </cell>
          <cell r="AQ222">
            <v>0</v>
          </cell>
        </row>
        <row r="223">
          <cell r="X223" t="str">
            <v>1BAH-</v>
          </cell>
          <cell r="Y223" t="str">
            <v xml:space="preserve">SUBTOTAL - NGL-4 PLANT  - EQUIP. SPECS </v>
          </cell>
          <cell r="Z223">
            <v>271</v>
          </cell>
          <cell r="AA223" t="str">
            <v>N/A</v>
          </cell>
          <cell r="AB223">
            <v>1870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I223" t="str">
            <v>1BBAFX</v>
          </cell>
          <cell r="AJ223" t="str">
            <v>OTHER HEAT EXCHANGERS-SHELL &amp; TUBE</v>
          </cell>
          <cell r="AQ223">
            <v>0</v>
          </cell>
        </row>
        <row r="224">
          <cell r="AI224" t="str">
            <v>1BBAF-</v>
          </cell>
          <cell r="AJ224" t="str">
            <v>SUBTOTAL HEAT EXCHANGERS - SHELL &amp; TUBE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</row>
        <row r="230">
          <cell r="W230" t="str">
            <v>LEVEL 2 NGL-4 PLANT PG.2</v>
          </cell>
          <cell r="X230" t="str">
            <v>WBS CODE</v>
          </cell>
          <cell r="Y230" t="str">
            <v>DESCRIPTION</v>
          </cell>
          <cell r="Z230" t="str">
            <v>QUANTITY</v>
          </cell>
          <cell r="AA230" t="str">
            <v>UNITS</v>
          </cell>
          <cell r="AB230" t="str">
            <v>TOTAL MANHOURS</v>
          </cell>
          <cell r="AC230" t="str">
            <v>TOTAL LABOR COST</v>
          </cell>
          <cell r="AD230" t="str">
            <v>TOTAL MAT'L COST</v>
          </cell>
          <cell r="AE230" t="str">
            <v>TOTAL S/C COST</v>
          </cell>
          <cell r="AF230" t="str">
            <v>TOTAL COST</v>
          </cell>
          <cell r="AH230" t="str">
            <v>LEVEL 3 NGL-4 PLANT PG 2</v>
          </cell>
          <cell r="AI230" t="str">
            <v>WBS CODE</v>
          </cell>
          <cell r="AJ230" t="str">
            <v>DESCRIPTION</v>
          </cell>
          <cell r="AK230" t="str">
            <v>QUANTITY</v>
          </cell>
          <cell r="AL230" t="str">
            <v>UNITS</v>
          </cell>
          <cell r="AM230" t="str">
            <v>TOTAL MANHOURS</v>
          </cell>
          <cell r="AN230" t="str">
            <v>TOTAL LABOR COST</v>
          </cell>
          <cell r="AO230" t="str">
            <v>TOTAL MAT'L COST</v>
          </cell>
          <cell r="AP230" t="str">
            <v>TOTAL S/C COST</v>
          </cell>
          <cell r="AQ230" t="str">
            <v>TOTAL COST</v>
          </cell>
        </row>
        <row r="232">
          <cell r="X232" t="str">
            <v>1BAIA</v>
          </cell>
          <cell r="Y232" t="str">
            <v>NGL-4 PLANT  - PROCUREMENT PRESSURE VESSELS</v>
          </cell>
          <cell r="AF232">
            <v>0</v>
          </cell>
          <cell r="AI232" t="str">
            <v>1BBAGA</v>
          </cell>
          <cell r="AJ232" t="str">
            <v>AIR COOLERS</v>
          </cell>
          <cell r="AQ232">
            <v>0</v>
          </cell>
        </row>
        <row r="233">
          <cell r="X233" t="str">
            <v>1BAIB</v>
          </cell>
          <cell r="Y233" t="str">
            <v>NGL-4 PLANT  - PROCUREMENT   COLUMNS</v>
          </cell>
          <cell r="AF233">
            <v>0</v>
          </cell>
          <cell r="AI233" t="str">
            <v>1BBAGX</v>
          </cell>
          <cell r="AJ233" t="str">
            <v>OTHER HEAT EXCHANGERS-FINNED</v>
          </cell>
          <cell r="AQ233">
            <v>0</v>
          </cell>
        </row>
        <row r="234">
          <cell r="X234" t="str">
            <v>1BAIC</v>
          </cell>
          <cell r="Y234" t="str">
            <v>NGL-4 PLANT  - PROCUREMENT   REACTORS</v>
          </cell>
          <cell r="Z234" t="str">
            <v>N/A</v>
          </cell>
          <cell r="AA234" t="str">
            <v>N/A</v>
          </cell>
          <cell r="AB234" t="str">
            <v>N/A</v>
          </cell>
          <cell r="AC234" t="str">
            <v>N/A</v>
          </cell>
          <cell r="AD234" t="str">
            <v>N/A</v>
          </cell>
          <cell r="AE234" t="str">
            <v>N/A</v>
          </cell>
          <cell r="AF234" t="str">
            <v>N/A</v>
          </cell>
          <cell r="AI234" t="str">
            <v>1BBAG-</v>
          </cell>
          <cell r="AJ234" t="str">
            <v>SUBTOTAL HEAT EXCHANGERS - FINNED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</row>
        <row r="235">
          <cell r="X235" t="str">
            <v>1BAID</v>
          </cell>
          <cell r="Y235" t="str">
            <v>NGL-4 PLANT  - PROCUREMENT   FIELD ERECTED TANKS</v>
          </cell>
          <cell r="Z235" t="str">
            <v>N/A</v>
          </cell>
          <cell r="AA235" t="str">
            <v>N/A</v>
          </cell>
          <cell r="AB235" t="str">
            <v>N/A</v>
          </cell>
          <cell r="AC235" t="str">
            <v>N/A</v>
          </cell>
          <cell r="AD235" t="str">
            <v>N/A</v>
          </cell>
          <cell r="AE235" t="str">
            <v>N/A</v>
          </cell>
          <cell r="AF235" t="str">
            <v>N/A</v>
          </cell>
        </row>
        <row r="236">
          <cell r="X236" t="str">
            <v>1BAIE</v>
          </cell>
          <cell r="Y236" t="str">
            <v>NGL-4 PLANT  - PROCUREMENT   PUMPS</v>
          </cell>
          <cell r="AF236">
            <v>0</v>
          </cell>
          <cell r="AI236" t="str">
            <v>1BBAIA</v>
          </cell>
          <cell r="AJ236" t="str">
            <v>PROPANE REFRIG. COMPRESSORS W/ TURBINES</v>
          </cell>
          <cell r="AQ236">
            <v>0</v>
          </cell>
        </row>
        <row r="237">
          <cell r="X237" t="str">
            <v>1BAIF</v>
          </cell>
          <cell r="Y237" t="str">
            <v>NGL-4 PLANT  - PROCUREMENT   HEAT EXCHANGERS - S &amp; T</v>
          </cell>
          <cell r="AF237">
            <v>0</v>
          </cell>
          <cell r="AI237" t="str">
            <v>1BBAIX</v>
          </cell>
          <cell r="AJ237" t="str">
            <v>OTHER COMPRESSORS</v>
          </cell>
          <cell r="AQ237">
            <v>0</v>
          </cell>
        </row>
        <row r="238">
          <cell r="X238" t="str">
            <v>1BAIG</v>
          </cell>
          <cell r="Y238" t="str">
            <v>NGL-4 PLANT  - PROCUREMENT   HEAT EXCHANGERS - FINNED</v>
          </cell>
          <cell r="AF238">
            <v>0</v>
          </cell>
          <cell r="AI238" t="str">
            <v>1BBAI</v>
          </cell>
          <cell r="AJ238" t="str">
            <v>SUBTOTAL - COMPRESSORS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</row>
        <row r="239">
          <cell r="X239" t="str">
            <v>1BAIH</v>
          </cell>
          <cell r="Y239" t="str">
            <v>NGL-4 PLANT  - PROCUREMENT   EXTRUDERS</v>
          </cell>
          <cell r="Z239" t="str">
            <v>N/A</v>
          </cell>
          <cell r="AA239" t="str">
            <v>N/A</v>
          </cell>
          <cell r="AB239" t="str">
            <v>N/A</v>
          </cell>
          <cell r="AC239" t="str">
            <v>N/A</v>
          </cell>
          <cell r="AD239" t="str">
            <v>N/A</v>
          </cell>
          <cell r="AE239" t="str">
            <v>N/A</v>
          </cell>
          <cell r="AF239" t="str">
            <v>N/A</v>
          </cell>
        </row>
        <row r="240">
          <cell r="X240" t="str">
            <v>1BAII</v>
          </cell>
          <cell r="Y240" t="str">
            <v>NGL-4 PLANT  - PROCUREMENT   COMPRESSORS</v>
          </cell>
          <cell r="AF240">
            <v>0</v>
          </cell>
          <cell r="AI240" t="str">
            <v>1BBAJX</v>
          </cell>
          <cell r="AJ240" t="str">
            <v>OTHER MOTORS &amp; DRIVERS</v>
          </cell>
          <cell r="AQ240">
            <v>0</v>
          </cell>
        </row>
        <row r="241">
          <cell r="X241" t="str">
            <v>1BAIJ</v>
          </cell>
          <cell r="Y241" t="str">
            <v>NGL-4 PLANT  - PROCUREMENT   GENERATORS</v>
          </cell>
          <cell r="Z241" t="str">
            <v>N/A</v>
          </cell>
          <cell r="AA241" t="str">
            <v>N/A</v>
          </cell>
          <cell r="AB241" t="str">
            <v>N/A</v>
          </cell>
          <cell r="AC241" t="str">
            <v>N/A</v>
          </cell>
          <cell r="AD241" t="str">
            <v>N/A</v>
          </cell>
          <cell r="AE241" t="str">
            <v>N/A</v>
          </cell>
          <cell r="AF241" t="str">
            <v>N/A</v>
          </cell>
          <cell r="AI241" t="str">
            <v>1BBAJ-</v>
          </cell>
          <cell r="AJ241" t="str">
            <v>SUBTOTAL MOTORS &amp; DRIVERS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</row>
        <row r="242">
          <cell r="X242" t="str">
            <v>1BAIK</v>
          </cell>
          <cell r="Y242" t="str">
            <v>NGL-4 PLANT  - PROCUREMENT   MOTORS &amp; DRIVERS</v>
          </cell>
          <cell r="AF242">
            <v>0</v>
          </cell>
        </row>
        <row r="243">
          <cell r="X243" t="str">
            <v>1BAIL</v>
          </cell>
          <cell r="Y243" t="str">
            <v>NGL-4 PLANT  - PROCUREMENT   FIRED EQUIPMENT</v>
          </cell>
          <cell r="Z243" t="str">
            <v>N/A</v>
          </cell>
          <cell r="AA243" t="str">
            <v>N/A</v>
          </cell>
          <cell r="AB243" t="str">
            <v>N/A</v>
          </cell>
          <cell r="AC243" t="str">
            <v>N/A</v>
          </cell>
          <cell r="AD243" t="str">
            <v>N/A</v>
          </cell>
          <cell r="AE243" t="str">
            <v>N/A</v>
          </cell>
          <cell r="AF243" t="str">
            <v>N/A</v>
          </cell>
          <cell r="AI243" t="str">
            <v>1BBAMA</v>
          </cell>
          <cell r="AJ243" t="str">
            <v>AIR BLOWER</v>
          </cell>
          <cell r="AQ243">
            <v>0</v>
          </cell>
        </row>
        <row r="244">
          <cell r="X244" t="str">
            <v>1BAIM</v>
          </cell>
          <cell r="Y244" t="str">
            <v>NGL-4 PLANT  - PROCUREMENT   BLOWERS &amp; FANS</v>
          </cell>
          <cell r="AF244">
            <v>0</v>
          </cell>
          <cell r="AI244" t="str">
            <v>1BBAMX</v>
          </cell>
          <cell r="AJ244" t="str">
            <v>OTHER BLOWERS &amp; FANS</v>
          </cell>
          <cell r="AQ244">
            <v>0</v>
          </cell>
        </row>
        <row r="245">
          <cell r="X245" t="str">
            <v>1BAIN</v>
          </cell>
          <cell r="Y245" t="str">
            <v>NGL-4 PLANT  - PROCUREMENT   FILTERS</v>
          </cell>
          <cell r="Z245" t="str">
            <v>N/A</v>
          </cell>
          <cell r="AA245" t="str">
            <v>N/A</v>
          </cell>
          <cell r="AB245" t="str">
            <v>N/A</v>
          </cell>
          <cell r="AC245" t="str">
            <v>N/A</v>
          </cell>
          <cell r="AD245" t="str">
            <v>N/A</v>
          </cell>
          <cell r="AE245" t="str">
            <v>N/A</v>
          </cell>
          <cell r="AF245" t="str">
            <v>N/A</v>
          </cell>
          <cell r="AI245" t="str">
            <v>1BBAM-</v>
          </cell>
          <cell r="AJ245" t="str">
            <v>SUBTOTAL BLOWERS &amp; FANS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</row>
        <row r="246">
          <cell r="X246" t="str">
            <v>1BAIO</v>
          </cell>
          <cell r="Y246" t="str">
            <v>NGL-4 PLANT  - PROCUREMENT   FLARES</v>
          </cell>
          <cell r="AF246">
            <v>0</v>
          </cell>
        </row>
        <row r="247">
          <cell r="X247" t="str">
            <v>1BAIP</v>
          </cell>
          <cell r="Y247" t="str">
            <v>NGL-4 PLANT  - PROCUREMENT   SOLIDS HANDLING EQUIPMENT</v>
          </cell>
          <cell r="Z247" t="str">
            <v>N/A</v>
          </cell>
          <cell r="AA247" t="str">
            <v>N/A</v>
          </cell>
          <cell r="AB247" t="str">
            <v>N/A</v>
          </cell>
          <cell r="AC247" t="str">
            <v>N/A</v>
          </cell>
          <cell r="AD247" t="str">
            <v>N/A</v>
          </cell>
          <cell r="AE247" t="str">
            <v>N/A</v>
          </cell>
          <cell r="AF247" t="str">
            <v>N/A</v>
          </cell>
          <cell r="AI247" t="str">
            <v>1BBAOA</v>
          </cell>
          <cell r="AJ247" t="str">
            <v>LP FLARE SYSTEM</v>
          </cell>
          <cell r="AQ247">
            <v>0</v>
          </cell>
        </row>
        <row r="248">
          <cell r="X248" t="str">
            <v>1BAIQ</v>
          </cell>
          <cell r="Y248" t="str">
            <v>NGL-4 PLANT  - PROCUREMENT   PACKAGED EQUIPMENT</v>
          </cell>
          <cell r="AF248">
            <v>0</v>
          </cell>
          <cell r="AI248" t="str">
            <v>1BBAOB</v>
          </cell>
          <cell r="AJ248" t="str">
            <v>HP FLARE SYSTEM</v>
          </cell>
          <cell r="AQ248">
            <v>0</v>
          </cell>
        </row>
        <row r="249">
          <cell r="X249" t="str">
            <v>1BAIT</v>
          </cell>
          <cell r="Y249" t="str">
            <v>NGL-4 PLANT  - PROCUREMENT   BULKS</v>
          </cell>
          <cell r="AF249">
            <v>0</v>
          </cell>
          <cell r="AI249" t="str">
            <v>1BBAOX</v>
          </cell>
          <cell r="AJ249" t="str">
            <v>OTHER FLARES</v>
          </cell>
          <cell r="AQ249">
            <v>0</v>
          </cell>
        </row>
        <row r="250">
          <cell r="X250" t="str">
            <v>1BAIX</v>
          </cell>
          <cell r="Y250" t="str">
            <v>NGL-4 PLANT  - PROCUREMENT   OTHER</v>
          </cell>
          <cell r="AF250">
            <v>0</v>
          </cell>
          <cell r="AI250" t="str">
            <v>1BBAO-</v>
          </cell>
          <cell r="AJ250" t="str">
            <v>SUBTOTAL FLARES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</row>
        <row r="251">
          <cell r="X251" t="str">
            <v>1BAI-</v>
          </cell>
          <cell r="Y251" t="str">
            <v>SUBTOTAL - NGL-4 PLANT  - PROCUREMENT</v>
          </cell>
          <cell r="Z251">
            <v>0</v>
          </cell>
          <cell r="AA251" t="str">
            <v>N/A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AI252" t="str">
            <v>1BBAXA</v>
          </cell>
          <cell r="AJ252" t="str">
            <v>ADIP UNIT</v>
          </cell>
          <cell r="AQ252">
            <v>0</v>
          </cell>
        </row>
        <row r="253">
          <cell r="X253" t="str">
            <v>1BAJA</v>
          </cell>
          <cell r="Y253" t="str">
            <v>NGL-4 PLANT  - INDIRECT ENG'G CONTRACTS</v>
          </cell>
          <cell r="AF253">
            <v>0</v>
          </cell>
          <cell r="AI253" t="str">
            <v>1BBAXB</v>
          </cell>
          <cell r="AJ253" t="str">
            <v>MEROX UNIT</v>
          </cell>
          <cell r="AQ253">
            <v>0</v>
          </cell>
        </row>
        <row r="254">
          <cell r="X254" t="str">
            <v>1BAJB</v>
          </cell>
          <cell r="Y254" t="str">
            <v>NGL-4 PLANT  - INDIRECT ENG'G PROJECT MANAGEMENT</v>
          </cell>
          <cell r="AF254">
            <v>0</v>
          </cell>
          <cell r="AI254" t="str">
            <v>1BBAXC</v>
          </cell>
          <cell r="AJ254" t="str">
            <v>DDESALINATION UNIT</v>
          </cell>
          <cell r="AQ254">
            <v>0</v>
          </cell>
        </row>
        <row r="255">
          <cell r="X255" t="str">
            <v>1BAJC</v>
          </cell>
          <cell r="Y255" t="str">
            <v>NGL-4 PLANT  - INDIRECT ENG'G ENGINEERING/NON-TECH</v>
          </cell>
          <cell r="AF255">
            <v>0</v>
          </cell>
          <cell r="AI255" t="str">
            <v>1BBAXD</v>
          </cell>
          <cell r="AJ255" t="str">
            <v>INSTRUMENT AIR PACKAGE</v>
          </cell>
          <cell r="AQ255">
            <v>0</v>
          </cell>
        </row>
        <row r="256">
          <cell r="X256" t="str">
            <v>1BAJX</v>
          </cell>
          <cell r="Y256" t="str">
            <v>NGL-4 PLANT  - INDIRECT ENG'G OTHER</v>
          </cell>
          <cell r="AF256">
            <v>0</v>
          </cell>
          <cell r="AI256" t="str">
            <v>1BBAXE</v>
          </cell>
          <cell r="AJ256" t="str">
            <v>NITROGEN UNIT</v>
          </cell>
          <cell r="AQ256">
            <v>0</v>
          </cell>
        </row>
        <row r="257">
          <cell r="X257" t="str">
            <v>1BAJ-</v>
          </cell>
          <cell r="Y257" t="str">
            <v>SUBTOTAL - NGL-4 PLANT  - INDIRECT ENGINEERING</v>
          </cell>
          <cell r="Z257">
            <v>0</v>
          </cell>
          <cell r="AA257" t="str">
            <v>N/A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I257" t="str">
            <v>1BBAXF</v>
          </cell>
          <cell r="AJ257" t="str">
            <v>HOT OIL UNIT</v>
          </cell>
          <cell r="AQ257">
            <v>0</v>
          </cell>
        </row>
        <row r="258">
          <cell r="AI258" t="str">
            <v>1BBAXG</v>
          </cell>
          <cell r="AJ258" t="str">
            <v>SEA WATER SYSTEM</v>
          </cell>
          <cell r="AQ258">
            <v>0</v>
          </cell>
        </row>
        <row r="259">
          <cell r="AI259" t="str">
            <v>1BBAXH</v>
          </cell>
          <cell r="AJ259" t="str">
            <v>EFFLUENT TREATMENT SYSTEM</v>
          </cell>
          <cell r="AQ259">
            <v>0</v>
          </cell>
        </row>
        <row r="260">
          <cell r="AI260" t="str">
            <v>1BBAXX</v>
          </cell>
          <cell r="AJ260" t="str">
            <v>OTHER PACKAGED EQUIPMENT</v>
          </cell>
          <cell r="AQ260">
            <v>0</v>
          </cell>
        </row>
        <row r="261">
          <cell r="AI261" t="str">
            <v>1BBAX-</v>
          </cell>
          <cell r="AJ261" t="str">
            <v>SUBTOTAL PACKAGED EQUIPMENT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</row>
        <row r="263">
          <cell r="AI263" t="str">
            <v>1BBAXX</v>
          </cell>
          <cell r="AJ263" t="str">
            <v>OTHER EQUIPMENT</v>
          </cell>
          <cell r="AQ263">
            <v>0</v>
          </cell>
        </row>
        <row r="264">
          <cell r="AI264" t="str">
            <v>1BBAX-</v>
          </cell>
          <cell r="AJ264" t="str">
            <v>SUBTOTAL OTHER EQUIPMENT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</row>
        <row r="268">
          <cell r="W268" t="str">
            <v>LEVEL 2 NGL-4 PLANT PG.3</v>
          </cell>
          <cell r="X268" t="str">
            <v>WBS CODE</v>
          </cell>
          <cell r="Y268" t="str">
            <v>DESCRIPTION</v>
          </cell>
          <cell r="Z268" t="str">
            <v>QUANTITY</v>
          </cell>
          <cell r="AA268" t="str">
            <v>UNITS</v>
          </cell>
          <cell r="AB268" t="str">
            <v>TOTAL MANHOURS</v>
          </cell>
          <cell r="AC268" t="str">
            <v>TOTAL LABOR COST</v>
          </cell>
          <cell r="AD268" t="str">
            <v>TOTAL MAT'L COST</v>
          </cell>
          <cell r="AE268" t="str">
            <v>TOTAL S/C COST</v>
          </cell>
          <cell r="AF268" t="str">
            <v>TOTAL COST</v>
          </cell>
        </row>
        <row r="270">
          <cell r="X270" t="str">
            <v>1BBAA</v>
          </cell>
          <cell r="Y270" t="str">
            <v>NGL-4 PLANT  - FAB/DELIVERY MAJOR EQUIP PRESSURE VESSELS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X271" t="str">
            <v>1BBAB</v>
          </cell>
          <cell r="Y271" t="str">
            <v>NGL-4 PLANT  - FAB/DELIVERY MAJOR EQUIP COLUMNS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X272" t="str">
            <v>1BBAC</v>
          </cell>
          <cell r="Y272" t="str">
            <v>NGL-4 PLANT  - FAB/DELIVERY MAJOR EQUIP REACTORS</v>
          </cell>
          <cell r="Z272" t="str">
            <v>N/A</v>
          </cell>
          <cell r="AA272" t="str">
            <v>N/A</v>
          </cell>
          <cell r="AB272" t="str">
            <v>N/A</v>
          </cell>
          <cell r="AC272" t="str">
            <v>N/A</v>
          </cell>
          <cell r="AD272" t="str">
            <v>N/A</v>
          </cell>
          <cell r="AE272" t="str">
            <v>N/A</v>
          </cell>
          <cell r="AF272" t="str">
            <v>N/A</v>
          </cell>
        </row>
        <row r="273">
          <cell r="X273" t="str">
            <v>1BBAD</v>
          </cell>
          <cell r="Y273" t="str">
            <v>NGL-4 PLANT  - FAB/DELIVERY MAJOR EQUIP FIELD ERECTED TANKS</v>
          </cell>
          <cell r="Z273" t="str">
            <v>N/A</v>
          </cell>
          <cell r="AA273" t="str">
            <v>N/A</v>
          </cell>
          <cell r="AB273" t="str">
            <v>N/A</v>
          </cell>
          <cell r="AC273" t="str">
            <v>N/A</v>
          </cell>
          <cell r="AD273" t="str">
            <v>N/A</v>
          </cell>
          <cell r="AE273" t="str">
            <v>N/A</v>
          </cell>
          <cell r="AF273" t="str">
            <v>N/A</v>
          </cell>
        </row>
        <row r="274">
          <cell r="X274" t="str">
            <v>1BBAE</v>
          </cell>
          <cell r="Y274" t="str">
            <v>NGL-4 PLANT  - FAB/DELIVERY MAJOR EQUIP PUMPS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X275" t="str">
            <v>1BBAF</v>
          </cell>
          <cell r="Y275" t="str">
            <v>NGL-4 PLANT  - FAB/DELIVERY MAJOR EQUIP HEAT EXCHANGERS S&amp;T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X276" t="str">
            <v>1BBAG</v>
          </cell>
          <cell r="Y276" t="str">
            <v>NGL-4 PLANT  - FAB/DELIVERY MAJOR EQUIP HEAT EXCHANGERS FINNED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X277" t="str">
            <v>1BBAH</v>
          </cell>
          <cell r="Y277" t="str">
            <v>NGL-4 PLANT  - FAB/DELIVERY MAJOR EQUIP EXTRUDERS</v>
          </cell>
          <cell r="Z277" t="str">
            <v>N/A</v>
          </cell>
          <cell r="AA277" t="str">
            <v>N/A</v>
          </cell>
          <cell r="AB277" t="str">
            <v>N/A</v>
          </cell>
          <cell r="AC277" t="str">
            <v>N/A</v>
          </cell>
          <cell r="AD277" t="str">
            <v>N/A</v>
          </cell>
          <cell r="AE277" t="str">
            <v>N/A</v>
          </cell>
          <cell r="AF277" t="str">
            <v>N/A</v>
          </cell>
        </row>
        <row r="278">
          <cell r="X278" t="str">
            <v>1BBAI</v>
          </cell>
          <cell r="Y278" t="str">
            <v>NGL-4 PLANT  - FAB/DELIVERY MAJOR EQUIP COMPRESSORS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X279" t="str">
            <v>1BBAJ</v>
          </cell>
          <cell r="Y279" t="str">
            <v>NGL-4 PLANT  - FAB/DELIVERY MAJOR EQUIP GENERATORS</v>
          </cell>
          <cell r="Z279" t="str">
            <v>N/A</v>
          </cell>
          <cell r="AA279" t="str">
            <v>N/A</v>
          </cell>
          <cell r="AB279" t="str">
            <v>N/A</v>
          </cell>
          <cell r="AC279" t="str">
            <v>N/A</v>
          </cell>
          <cell r="AD279" t="str">
            <v>N/A</v>
          </cell>
          <cell r="AE279" t="str">
            <v>N/A</v>
          </cell>
          <cell r="AF279" t="str">
            <v>N/A</v>
          </cell>
        </row>
        <row r="280">
          <cell r="X280" t="str">
            <v>1BBAJ</v>
          </cell>
          <cell r="Y280" t="str">
            <v>NGL-4 PLANT  - FAB/DELIVERY MAJOR EQUIP MOTORS &amp; DRIVERS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X281" t="str">
            <v>1BBAL</v>
          </cell>
          <cell r="Y281" t="str">
            <v>NGL-4 PLANT  - FAB/DELIVERY MAJOR EQUIP FIRED EQUIPMENT</v>
          </cell>
          <cell r="Z281" t="str">
            <v>N/A</v>
          </cell>
          <cell r="AA281" t="str">
            <v>N/A</v>
          </cell>
          <cell r="AB281" t="str">
            <v>N/A</v>
          </cell>
          <cell r="AC281" t="str">
            <v>N/A</v>
          </cell>
          <cell r="AD281" t="str">
            <v>N/A</v>
          </cell>
          <cell r="AE281" t="str">
            <v>N/A</v>
          </cell>
          <cell r="AF281" t="str">
            <v>N/A</v>
          </cell>
        </row>
        <row r="282">
          <cell r="X282" t="str">
            <v>1BBAM</v>
          </cell>
          <cell r="Y282" t="str">
            <v>NGL-4 PLANT  - FAB/DELIVERY MAJOR EQUIP BLOWERS, FANS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X283" t="str">
            <v>1BBAN</v>
          </cell>
          <cell r="Y283" t="str">
            <v>NGL-4 PLANT  - FAB/DELIVERY MAJOR EQUIP FILTERS</v>
          </cell>
          <cell r="Z283" t="str">
            <v>N/A</v>
          </cell>
          <cell r="AA283" t="str">
            <v>N/A</v>
          </cell>
          <cell r="AB283" t="str">
            <v>N/A</v>
          </cell>
          <cell r="AC283" t="str">
            <v>N/A</v>
          </cell>
          <cell r="AD283" t="str">
            <v>N/A</v>
          </cell>
          <cell r="AE283" t="str">
            <v>N/A</v>
          </cell>
          <cell r="AF283" t="str">
            <v>N/A</v>
          </cell>
        </row>
        <row r="284">
          <cell r="X284" t="str">
            <v>1BBAO</v>
          </cell>
          <cell r="Y284" t="str">
            <v>NGL-4 PLANT  - FAB/DELIVERY MAJOR EQUIP FLARES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X285" t="str">
            <v>1BBAP</v>
          </cell>
          <cell r="Y285" t="str">
            <v>NGL-4 PLANT  - FAB/DELIVERY MAJOR EQUIP SOLIDS HANDLING EQUIPMENT</v>
          </cell>
          <cell r="Z285" t="str">
            <v>N/A</v>
          </cell>
          <cell r="AA285" t="str">
            <v>N/A</v>
          </cell>
          <cell r="AB285" t="str">
            <v>N/A</v>
          </cell>
          <cell r="AC285" t="str">
            <v>N/A</v>
          </cell>
          <cell r="AD285" t="str">
            <v>N/A</v>
          </cell>
          <cell r="AE285" t="str">
            <v>N/A</v>
          </cell>
          <cell r="AF285" t="str">
            <v>N/A</v>
          </cell>
        </row>
        <row r="286">
          <cell r="X286" t="str">
            <v>1BBAQ</v>
          </cell>
          <cell r="Y286" t="str">
            <v>NGL-4 PLANT  - FAB/DELIVERY MAJOR EQUIP PACKAGED EQUIPMENT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X287" t="str">
            <v>1BBAX</v>
          </cell>
          <cell r="Y287" t="str">
            <v>NGL-4 PLANT  - FAB/DELIVERY MAJOR EQUIP OTHER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X288" t="str">
            <v>1BBA-</v>
          </cell>
          <cell r="Y288" t="str">
            <v>SUBTOTAL - NGL-4 PLANT  - FAB/DELIVERY MAJOR EQUIP.</v>
          </cell>
          <cell r="Z288">
            <v>0</v>
          </cell>
          <cell r="AA288" t="str">
            <v>N/A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90">
          <cell r="X290" t="str">
            <v>1BBBA</v>
          </cell>
          <cell r="Y290" t="str">
            <v>NGL-4 PLANT  - FAB/DELIVERY BULKS - IMBEDS</v>
          </cell>
          <cell r="AF290">
            <v>0</v>
          </cell>
        </row>
        <row r="291">
          <cell r="X291" t="str">
            <v>1BBBB</v>
          </cell>
          <cell r="Y291" t="str">
            <v>NGL-4 PLANT  - FAB/DELIVERY BULKS - STRUCTURAL</v>
          </cell>
          <cell r="AF291">
            <v>0</v>
          </cell>
        </row>
        <row r="292">
          <cell r="X292" t="str">
            <v>1BBBC</v>
          </cell>
          <cell r="Y292" t="str">
            <v>NGL-4 PLANT  - FAB/DELIVERY BULKS - PIPING</v>
          </cell>
          <cell r="AF292">
            <v>0</v>
          </cell>
        </row>
        <row r="293">
          <cell r="X293" t="str">
            <v>1BBBD</v>
          </cell>
          <cell r="Y293" t="str">
            <v>NGL-4 PLANT  - FAB/DELIVERY BULKS - ELECTRICAL</v>
          </cell>
          <cell r="AF293">
            <v>0</v>
          </cell>
        </row>
        <row r="294">
          <cell r="X294" t="str">
            <v>1BBBE</v>
          </cell>
          <cell r="Y294" t="str">
            <v>NGL-4 PLANT  - FAB/DELIVERY BULKS - INSTRUMENTATION</v>
          </cell>
          <cell r="AF294">
            <v>0</v>
          </cell>
        </row>
        <row r="295">
          <cell r="X295" t="str">
            <v>1BBBF</v>
          </cell>
          <cell r="Y295" t="str">
            <v>NGL-4 PLANT  - FAB/DELIVERY BULKS - PIPELINES</v>
          </cell>
          <cell r="Z295" t="str">
            <v>N/A</v>
          </cell>
          <cell r="AA295" t="str">
            <v>N/A</v>
          </cell>
          <cell r="AB295" t="str">
            <v>N/A</v>
          </cell>
          <cell r="AC295" t="str">
            <v>N/A</v>
          </cell>
          <cell r="AD295" t="str">
            <v>N/A</v>
          </cell>
          <cell r="AE295" t="str">
            <v>N/A</v>
          </cell>
          <cell r="AF295" t="str">
            <v>N/A</v>
          </cell>
        </row>
        <row r="296">
          <cell r="X296" t="str">
            <v>1BBB-</v>
          </cell>
          <cell r="Y296" t="str">
            <v>SUBTOTAL - NGL-4 PLANT  - FAB/DELIVERY BULKS</v>
          </cell>
          <cell r="Z296">
            <v>0</v>
          </cell>
          <cell r="AA296" t="str">
            <v>N/A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8">
          <cell r="X298" t="str">
            <v>1BBCA</v>
          </cell>
          <cell r="Y298" t="str">
            <v>NGL-4 PLANT  - FAB/DELIVERY ENG. SPECIALTIES - BUILDINGS</v>
          </cell>
          <cell r="AF298">
            <v>0</v>
          </cell>
        </row>
        <row r="299">
          <cell r="X299" t="str">
            <v>1BBCB</v>
          </cell>
          <cell r="Y299" t="str">
            <v>NGL-4 PLANT  - FAB/DELIVERY ENG. SPECIALTIES - GENERAL</v>
          </cell>
          <cell r="AF299">
            <v>0</v>
          </cell>
        </row>
        <row r="300">
          <cell r="X300" t="str">
            <v>1BBC-</v>
          </cell>
          <cell r="Y300" t="str">
            <v>SUBTOTAL - NGL-4 PLANT  - FAB/DELIVERY ENGINEERING SPECIALTIES</v>
          </cell>
          <cell r="Z300">
            <v>0</v>
          </cell>
          <cell r="AA300" t="str">
            <v>N/A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6">
          <cell r="W306" t="str">
            <v>LEVEL 2 NGL-4 PLANT PG.4</v>
          </cell>
          <cell r="X306" t="str">
            <v>WBS CODE</v>
          </cell>
          <cell r="Y306" t="str">
            <v>DESCRIPTION</v>
          </cell>
          <cell r="Z306" t="str">
            <v>QUANTITY</v>
          </cell>
          <cell r="AA306" t="str">
            <v>UNITS</v>
          </cell>
          <cell r="AB306" t="str">
            <v>TOTAL MANHOURS</v>
          </cell>
          <cell r="AC306" t="str">
            <v>TOTAL LABOR COST</v>
          </cell>
          <cell r="AD306" t="str">
            <v>TOTAL MAT'L COST</v>
          </cell>
          <cell r="AE306" t="str">
            <v>TOTAL S/C COST</v>
          </cell>
          <cell r="AF306" t="str">
            <v>TOTAL COST</v>
          </cell>
        </row>
        <row r="307">
          <cell r="X307" t="str">
            <v>1BCAA</v>
          </cell>
          <cell r="Y307" t="str">
            <v>NGL-4 PLANT  - CONSTRUCTION, CIVIL - SITE WORK</v>
          </cell>
          <cell r="AF307">
            <v>0</v>
          </cell>
        </row>
        <row r="308">
          <cell r="X308" t="str">
            <v>1BCAB</v>
          </cell>
          <cell r="Y308" t="str">
            <v>NGL-4 PLANT  - CONSTRUCTION, CIVIL - FOUNDATIONS</v>
          </cell>
          <cell r="AF308">
            <v>0</v>
          </cell>
        </row>
        <row r="309">
          <cell r="X309" t="str">
            <v>1BCA</v>
          </cell>
          <cell r="Y309" t="str">
            <v>SUBTOTAL - NGL-4 PLANT  - CONSTRUCTION, CIVIL</v>
          </cell>
          <cell r="Z309">
            <v>0</v>
          </cell>
          <cell r="AA309" t="str">
            <v>N/A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1">
          <cell r="X311" t="str">
            <v>1BCBA</v>
          </cell>
          <cell r="Y311" t="str">
            <v>NGL-4 PLANT  - CONSTRUCTION, MAJOR EQUIPMENT - PRESSURE VESSELS</v>
          </cell>
          <cell r="Z311">
            <v>1450.6999999999996</v>
          </cell>
          <cell r="AA311" t="str">
            <v>TON</v>
          </cell>
          <cell r="AB311">
            <v>19500</v>
          </cell>
          <cell r="AC311">
            <v>524600</v>
          </cell>
          <cell r="AF311">
            <v>524600</v>
          </cell>
        </row>
        <row r="312">
          <cell r="X312" t="str">
            <v>1BCBB</v>
          </cell>
          <cell r="Y312" t="str">
            <v>NGL-4 PLANT  - CONSTRUCTION, MAJOR EQUIPMENT - COLUMNS</v>
          </cell>
          <cell r="Z312">
            <v>2106.5</v>
          </cell>
          <cell r="AA312" t="str">
            <v>TON</v>
          </cell>
          <cell r="AB312">
            <v>79070</v>
          </cell>
          <cell r="AC312">
            <v>1636100</v>
          </cell>
          <cell r="AF312">
            <v>1636100</v>
          </cell>
        </row>
        <row r="313">
          <cell r="X313" t="str">
            <v>1BCBC</v>
          </cell>
          <cell r="Y313" t="str">
            <v>NGL-4 PLANT  - CONSTRUCTION, MAJOR EQUIPMENT - REACTORS</v>
          </cell>
          <cell r="Z313" t="str">
            <v>N/A</v>
          </cell>
          <cell r="AA313" t="str">
            <v>N/A</v>
          </cell>
          <cell r="AB313" t="str">
            <v>N/A</v>
          </cell>
          <cell r="AC313" t="str">
            <v>N/A</v>
          </cell>
          <cell r="AD313" t="str">
            <v>N/A</v>
          </cell>
          <cell r="AE313" t="str">
            <v>N/A</v>
          </cell>
          <cell r="AF313" t="str">
            <v>N/A</v>
          </cell>
        </row>
        <row r="314">
          <cell r="X314" t="str">
            <v>1BCBD</v>
          </cell>
          <cell r="Y314" t="str">
            <v>NGL-4 PLANT  - CONSTRUCTION, MAJOR EQUIPMENT - FIELD ERECTED TANKS</v>
          </cell>
          <cell r="Z314" t="str">
            <v>N/A</v>
          </cell>
          <cell r="AA314" t="str">
            <v>N/A</v>
          </cell>
          <cell r="AB314" t="str">
            <v>N/A</v>
          </cell>
          <cell r="AC314" t="str">
            <v>N/A</v>
          </cell>
          <cell r="AD314" t="str">
            <v>N/A</v>
          </cell>
          <cell r="AE314" t="str">
            <v>N/A</v>
          </cell>
          <cell r="AF314" t="str">
            <v>N/A</v>
          </cell>
        </row>
        <row r="315">
          <cell r="X315" t="str">
            <v>1BCBE</v>
          </cell>
          <cell r="Y315" t="str">
            <v>NGL-4 PLANT  - CONSTRUCTION, MAJOR EQUIPMENT - PUMPS</v>
          </cell>
          <cell r="Z315">
            <v>189.20000000000002</v>
          </cell>
          <cell r="AA315" t="str">
            <v>TON</v>
          </cell>
          <cell r="AB315">
            <v>18620</v>
          </cell>
          <cell r="AC315">
            <v>160400</v>
          </cell>
          <cell r="AF315">
            <v>160400</v>
          </cell>
        </row>
        <row r="316">
          <cell r="X316" t="str">
            <v>1BCBF</v>
          </cell>
          <cell r="Y316" t="str">
            <v>NGL-4 PLANT  - CONSTRUCTION, MAJOR EQUIPMENT - HEAT EXCHANGERS S&amp;T</v>
          </cell>
          <cell r="Z316">
            <v>442.2</v>
          </cell>
          <cell r="AA316" t="str">
            <v>TON</v>
          </cell>
          <cell r="AB316">
            <v>7380</v>
          </cell>
          <cell r="AC316">
            <v>154600</v>
          </cell>
          <cell r="AF316">
            <v>154600</v>
          </cell>
        </row>
        <row r="317">
          <cell r="X317" t="str">
            <v>1BCBG</v>
          </cell>
          <cell r="Y317" t="str">
            <v>NGL-4 PLANT  - CONSTRUCTION, MAJOR EQUIPMENT - HEAT EXCHANGERS FINNED</v>
          </cell>
          <cell r="Z317">
            <v>2025.9999999999998</v>
          </cell>
          <cell r="AA317" t="str">
            <v>TON</v>
          </cell>
          <cell r="AB317">
            <v>108130</v>
          </cell>
          <cell r="AC317">
            <v>1238300</v>
          </cell>
          <cell r="AF317">
            <v>1238300</v>
          </cell>
        </row>
        <row r="318">
          <cell r="X318" t="str">
            <v>1BCBH</v>
          </cell>
          <cell r="Y318" t="str">
            <v>NGL-4 PLANT  - CONSTRUCTION, MAJOR EQUIPMENT - EXTRUDERS</v>
          </cell>
          <cell r="Z318" t="str">
            <v>N/A</v>
          </cell>
          <cell r="AA318" t="str">
            <v>N/A</v>
          </cell>
          <cell r="AB318" t="str">
            <v>N/A</v>
          </cell>
          <cell r="AC318" t="str">
            <v>N/A</v>
          </cell>
          <cell r="AD318" t="str">
            <v>N/A</v>
          </cell>
          <cell r="AE318" t="str">
            <v>N/A</v>
          </cell>
          <cell r="AF318" t="str">
            <v>N/A</v>
          </cell>
        </row>
        <row r="319">
          <cell r="X319" t="str">
            <v>1BCBI</v>
          </cell>
          <cell r="Y319" t="str">
            <v>NGL-4 PLANT  - CONSTRUCTION, MAJOR EQUIPMENT - COMPRESSORS</v>
          </cell>
          <cell r="Z319">
            <v>326.2</v>
          </cell>
          <cell r="AA319" t="str">
            <v>TON</v>
          </cell>
          <cell r="AB319">
            <v>18100</v>
          </cell>
          <cell r="AC319">
            <v>217600</v>
          </cell>
          <cell r="AF319">
            <v>217600</v>
          </cell>
        </row>
        <row r="320">
          <cell r="X320" t="str">
            <v>1BCBJ</v>
          </cell>
          <cell r="Y320" t="str">
            <v>NGL-4 PLANT  - CONSTRUCTION, MAJOR EQUIPMENT - GENERATORS</v>
          </cell>
          <cell r="Z320" t="str">
            <v>N/A</v>
          </cell>
          <cell r="AA320" t="str">
            <v>N/A</v>
          </cell>
          <cell r="AB320" t="str">
            <v>N/A</v>
          </cell>
          <cell r="AC320" t="str">
            <v>N/A</v>
          </cell>
          <cell r="AD320" t="str">
            <v>N/A</v>
          </cell>
          <cell r="AE320" t="str">
            <v>N/A</v>
          </cell>
          <cell r="AF320" t="str">
            <v>N/A</v>
          </cell>
        </row>
        <row r="321">
          <cell r="X321" t="str">
            <v>1BCBK</v>
          </cell>
          <cell r="Y321" t="str">
            <v>NGL-4 PLANT  - CONSTRUCTION, MAJOR EQUIPMENT - MOTORS &amp; DRIVERS</v>
          </cell>
          <cell r="Z321" t="str">
            <v>N/A</v>
          </cell>
          <cell r="AA321" t="str">
            <v>N/A</v>
          </cell>
          <cell r="AB321" t="str">
            <v>N/A</v>
          </cell>
          <cell r="AC321" t="str">
            <v>N/A</v>
          </cell>
          <cell r="AD321" t="str">
            <v>N/A</v>
          </cell>
          <cell r="AE321" t="str">
            <v>N/A</v>
          </cell>
          <cell r="AF321" t="str">
            <v>N/A</v>
          </cell>
        </row>
        <row r="322">
          <cell r="X322" t="str">
            <v>1BCBL</v>
          </cell>
          <cell r="Y322" t="str">
            <v>NGL-4 PLANT  - CONSTRUCTION, MAJOR EQUIPMENT - FIRED EQUIPMENT</v>
          </cell>
          <cell r="Z322">
            <v>729.6</v>
          </cell>
          <cell r="AA322" t="str">
            <v>TON</v>
          </cell>
          <cell r="AB322">
            <v>51200</v>
          </cell>
          <cell r="AC322">
            <v>445600</v>
          </cell>
          <cell r="AF322">
            <v>445600</v>
          </cell>
        </row>
        <row r="323">
          <cell r="X323" t="str">
            <v>1BCBM</v>
          </cell>
          <cell r="Y323" t="str">
            <v>NGL-4 PLANT  - CONSTRUCTION, MAJOR EQUIPMENT - BLOWERS, FANS</v>
          </cell>
          <cell r="Z323" t="str">
            <v>N/A</v>
          </cell>
          <cell r="AA323" t="str">
            <v>N/A</v>
          </cell>
          <cell r="AB323" t="str">
            <v>N/A</v>
          </cell>
          <cell r="AC323" t="str">
            <v>N/A</v>
          </cell>
          <cell r="AD323" t="str">
            <v>N/A</v>
          </cell>
          <cell r="AE323" t="str">
            <v>N/A</v>
          </cell>
          <cell r="AF323" t="str">
            <v>N/A</v>
          </cell>
        </row>
        <row r="324">
          <cell r="X324" t="str">
            <v>1BCBN</v>
          </cell>
          <cell r="Y324" t="str">
            <v>NGL-4 PLANT  - CONSTRUCTION, MAJOR EQUIPMENT - FILTERS</v>
          </cell>
          <cell r="Z324">
            <v>239.7</v>
          </cell>
          <cell r="AA324" t="str">
            <v>TON</v>
          </cell>
          <cell r="AB324">
            <v>5860</v>
          </cell>
          <cell r="AC324">
            <v>96900</v>
          </cell>
          <cell r="AF324">
            <v>96900</v>
          </cell>
        </row>
        <row r="325">
          <cell r="X325" t="str">
            <v>1BCBO</v>
          </cell>
          <cell r="Y325" t="str">
            <v>NGL-4 PLANT  - CONSTRUCTION, MAJOR EQUIPMENT - FLARES</v>
          </cell>
          <cell r="Z325">
            <v>50</v>
          </cell>
          <cell r="AA325" t="str">
            <v>TON</v>
          </cell>
          <cell r="AB325">
            <v>7920</v>
          </cell>
          <cell r="AC325">
            <v>53000</v>
          </cell>
          <cell r="AF325">
            <v>53000</v>
          </cell>
        </row>
        <row r="326">
          <cell r="X326" t="str">
            <v>1BCBP</v>
          </cell>
          <cell r="Y326" t="str">
            <v>NGL-4 PLANT  - CONSTRUCTION, MAJOR EQUIP - SOLIDS HANDLING EQUIP</v>
          </cell>
          <cell r="Z326" t="str">
            <v>N/A</v>
          </cell>
          <cell r="AA326" t="str">
            <v>N/A</v>
          </cell>
          <cell r="AB326" t="str">
            <v>N/A</v>
          </cell>
          <cell r="AC326" t="str">
            <v>N/A</v>
          </cell>
          <cell r="AD326" t="str">
            <v>N/A</v>
          </cell>
          <cell r="AE326" t="str">
            <v>N/A</v>
          </cell>
          <cell r="AF326" t="str">
            <v>N/A</v>
          </cell>
        </row>
        <row r="327">
          <cell r="X327" t="str">
            <v>1BCBQ</v>
          </cell>
          <cell r="Y327" t="str">
            <v>NGL-4 PLANT  - CONSTRUCTION, MAJOR EQUIP - PACKAGED EQUIPMENT</v>
          </cell>
          <cell r="Z327">
            <v>109.1</v>
          </cell>
          <cell r="AA327" t="str">
            <v>TON</v>
          </cell>
          <cell r="AB327">
            <v>7730</v>
          </cell>
          <cell r="AC327">
            <v>68000</v>
          </cell>
          <cell r="AF327">
            <v>68000</v>
          </cell>
        </row>
        <row r="328">
          <cell r="X328" t="str">
            <v>1BCBX</v>
          </cell>
          <cell r="Y328" t="str">
            <v>NGL-4 PLANT  - CONSTRUCTION, MAJOR EQUIPMENT - OTHERS</v>
          </cell>
          <cell r="Z328">
            <v>222.3</v>
          </cell>
          <cell r="AA328" t="str">
            <v>TON</v>
          </cell>
          <cell r="AB328">
            <v>53480</v>
          </cell>
          <cell r="AC328">
            <v>447300</v>
          </cell>
          <cell r="AF328">
            <v>447300</v>
          </cell>
        </row>
        <row r="329">
          <cell r="X329" t="str">
            <v>1BCB-</v>
          </cell>
          <cell r="Y329" t="str">
            <v>SUBTOTAL - NGL-4 PLANT  - CONSTRUCTION, MAJOR EQUIPMENT</v>
          </cell>
          <cell r="Z329">
            <v>7891.5</v>
          </cell>
          <cell r="AA329" t="str">
            <v>N/A</v>
          </cell>
          <cell r="AB329">
            <v>376990</v>
          </cell>
          <cell r="AC329">
            <v>5042400</v>
          </cell>
          <cell r="AD329">
            <v>0</v>
          </cell>
          <cell r="AE329">
            <v>0</v>
          </cell>
          <cell r="AF329">
            <v>5042400</v>
          </cell>
        </row>
        <row r="331">
          <cell r="X331" t="str">
            <v>1BCCA</v>
          </cell>
          <cell r="Y331" t="str">
            <v>NGL-4 PLANT  - CONSTRUCTION, BULKS - STRUCTURAL</v>
          </cell>
          <cell r="AF331">
            <v>0</v>
          </cell>
        </row>
        <row r="332">
          <cell r="X332" t="str">
            <v>1BCCB</v>
          </cell>
          <cell r="Y332" t="str">
            <v>NGL-4 PLANT  - CONSTRUCTION, BULKS - PIPING</v>
          </cell>
          <cell r="AF332">
            <v>0</v>
          </cell>
        </row>
        <row r="333">
          <cell r="X333" t="str">
            <v>1BCCC</v>
          </cell>
          <cell r="Y333" t="str">
            <v>NGL-4 PLANT  - CONSTRUCTION, BULKS - ELECTRICAL</v>
          </cell>
          <cell r="AF333">
            <v>0</v>
          </cell>
        </row>
        <row r="334">
          <cell r="X334" t="str">
            <v>1BCCD</v>
          </cell>
          <cell r="Y334" t="str">
            <v>NGL-4 PLANT  - CONSTRUCTION, BULKS - INSTRUMENTATION</v>
          </cell>
          <cell r="AF334">
            <v>0</v>
          </cell>
        </row>
        <row r="335">
          <cell r="X335" t="str">
            <v>1BCCE</v>
          </cell>
          <cell r="Y335" t="str">
            <v>NGL-4 PLANT  - CONSTRUCTION, BULKS - PIPELINES</v>
          </cell>
          <cell r="Z335" t="str">
            <v>N/A</v>
          </cell>
          <cell r="AA335" t="str">
            <v>N/A</v>
          </cell>
          <cell r="AB335" t="str">
            <v>N/A</v>
          </cell>
          <cell r="AC335" t="str">
            <v>N/A</v>
          </cell>
          <cell r="AD335" t="str">
            <v>N/A</v>
          </cell>
          <cell r="AE335" t="str">
            <v>N/A</v>
          </cell>
          <cell r="AF335" t="str">
            <v>N/A</v>
          </cell>
        </row>
        <row r="336">
          <cell r="X336" t="str">
            <v>1BCC-</v>
          </cell>
          <cell r="Y336" t="str">
            <v xml:space="preserve">SUBTOTAL - NGL-4 PLANT  - CONSTRUCTION, BULKS </v>
          </cell>
          <cell r="Z336">
            <v>0</v>
          </cell>
          <cell r="AA336" t="str">
            <v>N/A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8">
          <cell r="X338" t="str">
            <v>1BCDA</v>
          </cell>
          <cell r="Y338" t="str">
            <v>NGL-4 PLANT  - CONSTRUCTION SPECIALTIES - BUILDINGS</v>
          </cell>
          <cell r="AF338">
            <v>0</v>
          </cell>
        </row>
        <row r="339">
          <cell r="X339" t="str">
            <v>1BCDB</v>
          </cell>
          <cell r="Y339" t="str">
            <v>NGL-4 PLANT  - CONSTRUCTION SPECIALTIES - GENERAL</v>
          </cell>
          <cell r="AF339">
            <v>0</v>
          </cell>
        </row>
        <row r="340">
          <cell r="X340" t="str">
            <v>1BCD-</v>
          </cell>
          <cell r="Y340" t="str">
            <v>SUBTOTAL - NGL-4 PLANT  - CONSTRUCTION SPECIALTIES</v>
          </cell>
          <cell r="Z340">
            <v>0</v>
          </cell>
          <cell r="AA340" t="str">
            <v>N/A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4">
          <cell r="W344" t="str">
            <v>LEVEL 2 NGL-4 PLANT PG 5</v>
          </cell>
          <cell r="X344" t="str">
            <v>WBS CODE</v>
          </cell>
          <cell r="Y344" t="str">
            <v>DESCRIPTION</v>
          </cell>
          <cell r="Z344" t="str">
            <v>QUANTITY</v>
          </cell>
          <cell r="AA344" t="str">
            <v>UNITS</v>
          </cell>
          <cell r="AB344" t="str">
            <v>TOTAL MANHOURS</v>
          </cell>
          <cell r="AC344" t="str">
            <v>TOTAL LABOR COST</v>
          </cell>
          <cell r="AD344" t="str">
            <v>TOTAL MAT'L COST</v>
          </cell>
          <cell r="AE344" t="str">
            <v>TOTAL S/C COST</v>
          </cell>
          <cell r="AF344" t="str">
            <v>TOTAL COST</v>
          </cell>
        </row>
        <row r="346">
          <cell r="X346" t="str">
            <v>1BCEA</v>
          </cell>
          <cell r="Y346" t="str">
            <v>NGL-4 PLANT  - CONSTRUCTION, OTHER DIRECT WORK - FIRE PROTECTION</v>
          </cell>
          <cell r="AF346">
            <v>0</v>
          </cell>
        </row>
        <row r="347">
          <cell r="X347" t="str">
            <v>1BCEB</v>
          </cell>
          <cell r="Y347" t="str">
            <v>NGL-4 PLANT  - CONSTRUCTION, OTHER DIRECT WORK - FIREPROOFING</v>
          </cell>
          <cell r="AF347">
            <v>0</v>
          </cell>
        </row>
        <row r="348">
          <cell r="X348" t="str">
            <v>1BCEC</v>
          </cell>
          <cell r="Y348" t="str">
            <v>NGL-4 PLANT  - CONSTRUCTION, OTHER DIRECT WORK - INSULATION</v>
          </cell>
          <cell r="AF348">
            <v>0</v>
          </cell>
        </row>
        <row r="349">
          <cell r="X349" t="str">
            <v>1BCED</v>
          </cell>
          <cell r="Y349" t="str">
            <v>NGL-4 PLANT  - CONSTRUCTION, OTHER DIRECT WORK - PAINTING</v>
          </cell>
          <cell r="AF349">
            <v>0</v>
          </cell>
        </row>
        <row r="350">
          <cell r="X350" t="str">
            <v>1BCEE</v>
          </cell>
          <cell r="Y350" t="str">
            <v>NGL-4 PLANT  - CONSTRUCTION, OTHER DIRECT WORK - SHUTDOWN</v>
          </cell>
          <cell r="AF350">
            <v>0</v>
          </cell>
        </row>
        <row r="351">
          <cell r="X351" t="str">
            <v>1BCEF</v>
          </cell>
          <cell r="Y351" t="str">
            <v>NGL-4 PLANT  - CONSTRUCTION, OTHER DIRECT WORK - PRE-COMMISSIONING</v>
          </cell>
          <cell r="AF351">
            <v>0</v>
          </cell>
        </row>
        <row r="352">
          <cell r="X352" t="str">
            <v>1BCEG</v>
          </cell>
          <cell r="Y352" t="str">
            <v>NGL-4 PLANT  - CONSTRUCTION, OTHER DIRECT WORK - ENVIRONMENTAL</v>
          </cell>
          <cell r="AF352">
            <v>0</v>
          </cell>
        </row>
        <row r="353">
          <cell r="X353" t="str">
            <v>1BCEX</v>
          </cell>
          <cell r="Y353" t="str">
            <v>NGL-4 PLANT  - CONSTRUCTION, OTHER DIRECT WORK - OTHER</v>
          </cell>
          <cell r="AF353">
            <v>0</v>
          </cell>
        </row>
        <row r="354">
          <cell r="X354" t="str">
            <v>1BCE</v>
          </cell>
          <cell r="Y354" t="str">
            <v xml:space="preserve">SUBTOTAL - NGL-4 PLANT  - CONSTRUCTION, OTHER DIRECT WORK - </v>
          </cell>
          <cell r="Z354">
            <v>0</v>
          </cell>
          <cell r="AA354" t="str">
            <v>N/A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6">
          <cell r="X356" t="str">
            <v>1BCFA</v>
          </cell>
          <cell r="Y356" t="str">
            <v>NGL-4 PLANT  - CONSTRUCTION INDIRECTS</v>
          </cell>
          <cell r="AF356">
            <v>0</v>
          </cell>
        </row>
        <row r="357">
          <cell r="X357" t="str">
            <v>1BCF</v>
          </cell>
          <cell r="Y357" t="str">
            <v>SUBTOTAL - NGL-4 PLANT  - CONSTRUCTION INDIRECTS</v>
          </cell>
          <cell r="Z357">
            <v>0</v>
          </cell>
          <cell r="AA357" t="str">
            <v>N/A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9">
          <cell r="X359" t="str">
            <v>1BDAA</v>
          </cell>
          <cell r="Y359" t="str">
            <v>NGL-4 PLANT  - COMMISSIONING - PROCESS</v>
          </cell>
          <cell r="AF359">
            <v>0</v>
          </cell>
        </row>
        <row r="360">
          <cell r="X360" t="str">
            <v>1BDAB</v>
          </cell>
          <cell r="Y360" t="str">
            <v>NGL-4 PLANT  - COMMISSIONING - UTILITIES</v>
          </cell>
          <cell r="AF360">
            <v>0</v>
          </cell>
        </row>
        <row r="361">
          <cell r="X361" t="str">
            <v>1BDA-</v>
          </cell>
          <cell r="Y361" t="str">
            <v>SUBTOTAL - NGL-4 PLANT  - COMMISSIONING</v>
          </cell>
          <cell r="Z361">
            <v>0</v>
          </cell>
          <cell r="AA361" t="str">
            <v>N/A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3">
          <cell r="X363" t="str">
            <v>1BDBA</v>
          </cell>
          <cell r="Y363" t="str">
            <v>NGL-4 PLANT  - STARTUP - PROCESS</v>
          </cell>
          <cell r="AF363">
            <v>0</v>
          </cell>
        </row>
        <row r="364">
          <cell r="X364" t="str">
            <v>1BDBB</v>
          </cell>
          <cell r="Y364" t="str">
            <v>NGL-4 PLANT  - STARTUP - UTILITIES</v>
          </cell>
          <cell r="AF364">
            <v>0</v>
          </cell>
        </row>
        <row r="365">
          <cell r="X365" t="str">
            <v>1BDB-</v>
          </cell>
          <cell r="Y365" t="str">
            <v>SUBTOTAL - NGL-4 PLANT  - STARTUP</v>
          </cell>
          <cell r="Z365">
            <v>0</v>
          </cell>
          <cell r="AA365" t="str">
            <v>N/A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7">
          <cell r="X367" t="str">
            <v>1BDCA</v>
          </cell>
          <cell r="Y367" t="str">
            <v>NGL-4 PLANT  - TRAINING</v>
          </cell>
          <cell r="AF367">
            <v>0</v>
          </cell>
        </row>
        <row r="368">
          <cell r="X368" t="str">
            <v>1BDC-</v>
          </cell>
          <cell r="Y368" t="str">
            <v>SUBTOTAL - NGL-4 PLANT  - TRAINING</v>
          </cell>
          <cell r="Z368">
            <v>0</v>
          </cell>
          <cell r="AA368" t="str">
            <v>N/A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82">
          <cell r="L382" t="str">
            <v>CYCLE &amp; LVL 1    NFGP UPGRADE</v>
          </cell>
          <cell r="M382" t="str">
            <v>WBS CODE</v>
          </cell>
          <cell r="N382" t="str">
            <v>DESCRIPTION</v>
          </cell>
          <cell r="O382" t="str">
            <v>QUANTITY</v>
          </cell>
          <cell r="P382" t="str">
            <v>UNITS</v>
          </cell>
          <cell r="Q382" t="str">
            <v>TOTAL MANHOURS</v>
          </cell>
          <cell r="R382" t="str">
            <v>TOTAL LABOR COST</v>
          </cell>
          <cell r="S382" t="str">
            <v>TOTAL MAT'L COST</v>
          </cell>
          <cell r="T382" t="str">
            <v>TOTAL S/C COST</v>
          </cell>
          <cell r="U382" t="str">
            <v>TOTAL COST</v>
          </cell>
          <cell r="W382" t="str">
            <v>LEVEL 2 NFGP UPGRADE PG.1</v>
          </cell>
          <cell r="X382" t="str">
            <v>WBS CODE</v>
          </cell>
          <cell r="Y382" t="str">
            <v>DESCRIPTION</v>
          </cell>
          <cell r="Z382" t="str">
            <v>QUANTITY</v>
          </cell>
          <cell r="AA382" t="str">
            <v>UNITS</v>
          </cell>
          <cell r="AB382" t="str">
            <v>TOTAL MANHOURS</v>
          </cell>
          <cell r="AC382" t="str">
            <v>TOTAL LABOR COST</v>
          </cell>
          <cell r="AD382" t="str">
            <v>TOTAL MAT'L COST</v>
          </cell>
          <cell r="AE382" t="str">
            <v>TOTAL S/C COST</v>
          </cell>
          <cell r="AF382" t="str">
            <v>TOTAL COST</v>
          </cell>
          <cell r="AH382" t="str">
            <v>LEVEL 3 NFGP UPGRADE PG 1</v>
          </cell>
          <cell r="AI382" t="str">
            <v>WBS CODE</v>
          </cell>
          <cell r="AJ382" t="str">
            <v>DESCRIPTION</v>
          </cell>
          <cell r="AK382" t="str">
            <v>QUANTITY</v>
          </cell>
          <cell r="AL382" t="str">
            <v>UNITS</v>
          </cell>
          <cell r="AM382" t="str">
            <v>TOTAL MANHOURS</v>
          </cell>
          <cell r="AN382" t="str">
            <v>TOTAL LABOR COST</v>
          </cell>
          <cell r="AO382" t="str">
            <v>TOTAL MAT'L COST</v>
          </cell>
          <cell r="AP382" t="str">
            <v>TOTAL S/C COST</v>
          </cell>
          <cell r="AQ382" t="str">
            <v>TOTAL COST</v>
          </cell>
        </row>
        <row r="384">
          <cell r="M384" t="str">
            <v>1CAA-</v>
          </cell>
          <cell r="N384" t="str">
            <v>NFGP UPGRADE  - DIRECT ENGINEERING</v>
          </cell>
          <cell r="Q384">
            <v>2582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X384" t="str">
            <v>1CAAA</v>
          </cell>
          <cell r="Y384" t="str">
            <v>NFGP UPGRADE  - DIR. ENG.  PROCESS</v>
          </cell>
          <cell r="AF384">
            <v>0</v>
          </cell>
          <cell r="AI384" t="str">
            <v>1CBAAA</v>
          </cell>
          <cell r="AJ384" t="str">
            <v>FEED FLASH DRUM</v>
          </cell>
          <cell r="AQ384">
            <v>0</v>
          </cell>
        </row>
        <row r="385">
          <cell r="M385" t="str">
            <v>1CAH-</v>
          </cell>
          <cell r="N385" t="str">
            <v>NFGP UPGRADE  EQUIPMENT SPECIFICATION</v>
          </cell>
          <cell r="Q385">
            <v>490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X385" t="str">
            <v>1CAAB</v>
          </cell>
          <cell r="Y385" t="str">
            <v>NFGP UPGRADE  - DIR. ENG.  PERMITS</v>
          </cell>
          <cell r="AF385">
            <v>0</v>
          </cell>
          <cell r="AI385" t="str">
            <v>1CBAAB</v>
          </cell>
          <cell r="AJ385" t="str">
            <v>EXPANDER OUTLET DRUM</v>
          </cell>
          <cell r="AQ385">
            <v>0</v>
          </cell>
        </row>
        <row r="386">
          <cell r="M386" t="str">
            <v>1CAI-</v>
          </cell>
          <cell r="N386" t="str">
            <v>NFGP UPGRADE  - ENGINEERING PROCUREMENT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X386" t="str">
            <v>1CAAC</v>
          </cell>
          <cell r="Y386" t="str">
            <v>NFGP UPGRADE  - DIR. ENG.  CIVIL/STRUCTURAL</v>
          </cell>
          <cell r="AF386">
            <v>0</v>
          </cell>
          <cell r="AI386" t="str">
            <v>1CBAAC</v>
          </cell>
          <cell r="AJ386" t="str">
            <v>NGL-1 BOIL-OFF PROPANE RECEIVER</v>
          </cell>
          <cell r="AQ386">
            <v>0</v>
          </cell>
        </row>
        <row r="387">
          <cell r="M387" t="str">
            <v>1CAJ-</v>
          </cell>
          <cell r="N387" t="str">
            <v>NFGP UPGRADE  - INDIRECT ENGINEERING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X387" t="str">
            <v>1CAAD</v>
          </cell>
          <cell r="Y387" t="str">
            <v>NFGP UPGRADE  - DIR. ENG.  MECHANICAL</v>
          </cell>
          <cell r="Z387">
            <v>20</v>
          </cell>
          <cell r="AA387" t="str">
            <v>EA</v>
          </cell>
          <cell r="AB387">
            <v>2582</v>
          </cell>
          <cell r="AF387">
            <v>0</v>
          </cell>
          <cell r="AI387" t="str">
            <v>1CBAAD</v>
          </cell>
          <cell r="AJ387" t="str">
            <v>NGL-2 PROPANE BOIL-OFF GAS COMPRESSOR SUCTION DRUM</v>
          </cell>
          <cell r="AQ387">
            <v>0</v>
          </cell>
        </row>
        <row r="388">
          <cell r="M388" t="str">
            <v>1CA--</v>
          </cell>
          <cell r="N388" t="str">
            <v>SUBTOTAL NFGP UPGRADE  - ENGINEERING/PROCUREMENT</v>
          </cell>
          <cell r="Q388">
            <v>3072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X388" t="str">
            <v>1CAAE</v>
          </cell>
          <cell r="Y388" t="str">
            <v>NFGP UPGRADE  - DIR. ENG.  PIPING</v>
          </cell>
          <cell r="AF388">
            <v>0</v>
          </cell>
          <cell r="AI388" t="str">
            <v>1CBAAX</v>
          </cell>
          <cell r="AJ388" t="str">
            <v>OTHER PRESSURE VESSELS</v>
          </cell>
          <cell r="AQ388">
            <v>0</v>
          </cell>
        </row>
        <row r="389">
          <cell r="X389" t="str">
            <v>1CAAF</v>
          </cell>
          <cell r="Y389" t="str">
            <v>NFGP UPGRADE  - DIR. ENG.  ELECTRICAL</v>
          </cell>
          <cell r="AF389">
            <v>0</v>
          </cell>
          <cell r="AI389" t="str">
            <v>1CBAA-</v>
          </cell>
          <cell r="AJ389" t="str">
            <v>SUBTOTAL PRESSURE VESSELS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</row>
        <row r="390">
          <cell r="M390" t="str">
            <v>1CBA-</v>
          </cell>
          <cell r="N390" t="str">
            <v>NFGP UPGRADE  - FAB/DELIVERY - MAJOR EQUIPMENT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X390" t="str">
            <v>1CAAG</v>
          </cell>
          <cell r="Y390" t="str">
            <v>NFGP UPGRADE  - DIR. ENG.  INSTRUMENTATION</v>
          </cell>
          <cell r="AF390">
            <v>0</v>
          </cell>
        </row>
        <row r="391">
          <cell r="M391" t="str">
            <v>1CBB-</v>
          </cell>
          <cell r="N391" t="str">
            <v>NFGP UPGRADE  - FAB/DELIVERY - BULKS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X391" t="str">
            <v>1CAAH</v>
          </cell>
          <cell r="Y391" t="str">
            <v>NFGP UPGRADE  - DIR. ENG.  ARCHITECTURAL</v>
          </cell>
          <cell r="AF391">
            <v>0</v>
          </cell>
          <cell r="AI391" t="str">
            <v>1CBABA</v>
          </cell>
          <cell r="AJ391" t="str">
            <v>PREFLASH COLUMN</v>
          </cell>
          <cell r="AQ391">
            <v>0</v>
          </cell>
        </row>
        <row r="392">
          <cell r="M392" t="str">
            <v>1CBC-</v>
          </cell>
          <cell r="N392" t="str">
            <v>NFGP UPGRADE  - FAB/DELIVERY - ENGINEERING SPECIALTIES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X392" t="str">
            <v>1CAAI</v>
          </cell>
          <cell r="Y392" t="str">
            <v>NFGP UPGRADE  - DIR. ENG.  PIPELINES</v>
          </cell>
          <cell r="Z392" t="str">
            <v>N/A</v>
          </cell>
          <cell r="AA392" t="str">
            <v>N/A</v>
          </cell>
          <cell r="AB392" t="str">
            <v>N/A</v>
          </cell>
          <cell r="AC392" t="str">
            <v>N/A</v>
          </cell>
          <cell r="AD392" t="str">
            <v>N/A</v>
          </cell>
          <cell r="AE392" t="str">
            <v>N/A</v>
          </cell>
          <cell r="AF392" t="str">
            <v>N/A</v>
          </cell>
          <cell r="AI392" t="str">
            <v>1CBABX</v>
          </cell>
          <cell r="AJ392" t="str">
            <v>OTHER COLUMNS</v>
          </cell>
          <cell r="AQ392">
            <v>0</v>
          </cell>
        </row>
        <row r="393">
          <cell r="M393" t="str">
            <v>1CB--</v>
          </cell>
          <cell r="N393" t="str">
            <v>SUBTOTAL NFGP UPGRADE  - FABRICATION/DELIVERY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X393" t="str">
            <v>1CAA-</v>
          </cell>
          <cell r="Y393" t="str">
            <v>SUBTOTAL - NFGP UPGRADE  - DIRECT ENGINEERING</v>
          </cell>
          <cell r="Z393">
            <v>20</v>
          </cell>
          <cell r="AA393" t="str">
            <v>N/A</v>
          </cell>
          <cell r="AB393">
            <v>2582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I393" t="str">
            <v>1CBAB</v>
          </cell>
          <cell r="AJ393" t="str">
            <v>SUBTOTAL COLUMNS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</row>
        <row r="395">
          <cell r="M395" t="str">
            <v>1CCA-</v>
          </cell>
          <cell r="N395" t="str">
            <v>NFGP UPGRADE  - CONSTRUCTION - CIVIL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X395" t="str">
            <v>1CAHA</v>
          </cell>
          <cell r="Y395" t="str">
            <v>NFGP UPGRADE  - EQUIP. SPECS - PRESSURE VESSELS</v>
          </cell>
          <cell r="Z395">
            <v>4</v>
          </cell>
          <cell r="AA395" t="str">
            <v>EA</v>
          </cell>
          <cell r="AB395">
            <v>80</v>
          </cell>
          <cell r="AF395">
            <v>0</v>
          </cell>
          <cell r="AI395" t="str">
            <v>1CBAEA</v>
          </cell>
          <cell r="AJ395" t="str">
            <v>PREFLASH COLUMN TRANSFER PUMPS &amp; DRIVERS</v>
          </cell>
          <cell r="AQ395">
            <v>0</v>
          </cell>
        </row>
        <row r="396">
          <cell r="M396" t="str">
            <v>1CCB-</v>
          </cell>
          <cell r="N396" t="str">
            <v>NFGP UPGRADE  - CONSTRUCTION - MAJOR EQUIPMENT</v>
          </cell>
          <cell r="Q396">
            <v>48970</v>
          </cell>
          <cell r="R396">
            <v>859300</v>
          </cell>
          <cell r="S396">
            <v>0</v>
          </cell>
          <cell r="T396">
            <v>0</v>
          </cell>
          <cell r="U396">
            <v>859300</v>
          </cell>
          <cell r="X396" t="str">
            <v>1CAHB</v>
          </cell>
          <cell r="Y396" t="str">
            <v>NFGP UPGRADE  - EQUIP. SPECS - COLUMNS</v>
          </cell>
          <cell r="Z396">
            <v>1</v>
          </cell>
          <cell r="AA396" t="str">
            <v>EA</v>
          </cell>
          <cell r="AB396">
            <v>70</v>
          </cell>
          <cell r="AF396">
            <v>0</v>
          </cell>
          <cell r="AI396" t="str">
            <v>1CBAEB</v>
          </cell>
          <cell r="AJ396" t="str">
            <v>NGL-1 PROPANE  CHILLER PUMPS</v>
          </cell>
          <cell r="AQ396">
            <v>0</v>
          </cell>
        </row>
        <row r="397">
          <cell r="M397" t="str">
            <v>1CCC-</v>
          </cell>
          <cell r="N397" t="str">
            <v>NFGP UPGRADE  - CONSTRUCTION - BULKS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X397" t="str">
            <v>1CAHC</v>
          </cell>
          <cell r="Y397" t="str">
            <v>NFGP UPGRADE  - EQUIP. SPECS - REACTORS</v>
          </cell>
          <cell r="Z397" t="str">
            <v>N/A</v>
          </cell>
          <cell r="AA397" t="str">
            <v>N/A</v>
          </cell>
          <cell r="AB397" t="str">
            <v>N/A</v>
          </cell>
          <cell r="AC397" t="str">
            <v>N/A</v>
          </cell>
          <cell r="AD397" t="str">
            <v>N/A</v>
          </cell>
          <cell r="AE397" t="str">
            <v>N/A</v>
          </cell>
          <cell r="AF397" t="str">
            <v>N/A</v>
          </cell>
          <cell r="AI397" t="str">
            <v>1CBAEC</v>
          </cell>
          <cell r="AJ397" t="str">
            <v>NGL-2 PROPANE  CHILLER PUMPS</v>
          </cell>
          <cell r="AQ397">
            <v>0</v>
          </cell>
        </row>
        <row r="398">
          <cell r="M398" t="str">
            <v>1CCD-</v>
          </cell>
          <cell r="N398" t="str">
            <v>NFGP UPGRADE  - CONSTRUCTION - CONSTRUCTION SPECIALTIES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X398" t="str">
            <v>1CAHD</v>
          </cell>
          <cell r="Y398" t="str">
            <v>NFGP UPGRADE  - EQUIP. SPECS - FIELD ERECTED TANKS</v>
          </cell>
          <cell r="Z398" t="str">
            <v>N/A</v>
          </cell>
          <cell r="AA398" t="str">
            <v>N/A</v>
          </cell>
          <cell r="AB398" t="str">
            <v>N/A</v>
          </cell>
          <cell r="AC398" t="str">
            <v>N/A</v>
          </cell>
          <cell r="AD398" t="str">
            <v>N/A</v>
          </cell>
          <cell r="AE398" t="str">
            <v>N/A</v>
          </cell>
          <cell r="AF398" t="str">
            <v>N/A</v>
          </cell>
          <cell r="AI398" t="str">
            <v>1CBAEX</v>
          </cell>
          <cell r="AJ398" t="str">
            <v>OTHER PUMPS</v>
          </cell>
          <cell r="AQ398">
            <v>0</v>
          </cell>
        </row>
        <row r="399">
          <cell r="M399" t="str">
            <v>1CCE-</v>
          </cell>
          <cell r="N399" t="str">
            <v>NFGP UPGRADE  - CONSTRUCTION - OTHER DIRECT WORK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X399" t="str">
            <v>1CAHE</v>
          </cell>
          <cell r="Y399" t="str">
            <v>NFGP UPGRADE  - EQUIP. SPECS - PUMPS</v>
          </cell>
          <cell r="Z399">
            <v>2</v>
          </cell>
          <cell r="AA399" t="str">
            <v>EA</v>
          </cell>
          <cell r="AB399">
            <v>100</v>
          </cell>
          <cell r="AF399">
            <v>0</v>
          </cell>
          <cell r="AI399" t="str">
            <v>1CBAE-</v>
          </cell>
          <cell r="AJ399" t="str">
            <v>SUBTOTAL PUMPS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</row>
        <row r="400">
          <cell r="M400" t="str">
            <v>1CCF-</v>
          </cell>
          <cell r="N400" t="str">
            <v>NFGP UPGRADE  - CONSTRUCTION - INDIRECTS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X400" t="str">
            <v>1CAHF</v>
          </cell>
          <cell r="Y400" t="str">
            <v>NFGP UPGRADE  - EQUIP. SPECS - HEAT EXCHANGERS - S &amp; T</v>
          </cell>
          <cell r="Z400">
            <v>9</v>
          </cell>
          <cell r="AA400" t="str">
            <v>EA</v>
          </cell>
          <cell r="AB400">
            <v>90</v>
          </cell>
          <cell r="AF400">
            <v>0</v>
          </cell>
        </row>
        <row r="401">
          <cell r="M401" t="str">
            <v>1CC--</v>
          </cell>
          <cell r="N401" t="str">
            <v>SUBTOTAL NFGP UPGRADE  - CONSTRUCTION</v>
          </cell>
          <cell r="Q401">
            <v>48970</v>
          </cell>
          <cell r="R401">
            <v>859300</v>
          </cell>
          <cell r="S401">
            <v>0</v>
          </cell>
          <cell r="T401">
            <v>0</v>
          </cell>
          <cell r="U401">
            <v>859300</v>
          </cell>
          <cell r="X401" t="str">
            <v>1CAHG</v>
          </cell>
          <cell r="Y401" t="str">
            <v>NFGP UPGRADE  - EQUIP. SPECS - HEAT EXCHANGERS - FINNED</v>
          </cell>
          <cell r="Z401" t="str">
            <v>N/A</v>
          </cell>
          <cell r="AA401" t="str">
            <v>N/A</v>
          </cell>
          <cell r="AB401" t="str">
            <v>N/A</v>
          </cell>
          <cell r="AC401" t="str">
            <v>N/A</v>
          </cell>
          <cell r="AD401" t="str">
            <v>N/A</v>
          </cell>
          <cell r="AE401" t="str">
            <v>N/A</v>
          </cell>
          <cell r="AF401" t="str">
            <v>N/A</v>
          </cell>
          <cell r="AI401" t="str">
            <v>1CBAFA</v>
          </cell>
          <cell r="AJ401" t="str">
            <v>HOT INLET GAS/GAS EXCHANGERS</v>
          </cell>
          <cell r="AQ401">
            <v>0</v>
          </cell>
        </row>
        <row r="402">
          <cell r="X402" t="str">
            <v>1CAHH</v>
          </cell>
          <cell r="Y402" t="str">
            <v>NFGP UPGRADE  - EQUIP. SPECS - EXTRUDERS</v>
          </cell>
          <cell r="Z402" t="str">
            <v>N/A</v>
          </cell>
          <cell r="AA402" t="str">
            <v>N/A</v>
          </cell>
          <cell r="AB402" t="str">
            <v>N/A</v>
          </cell>
          <cell r="AC402" t="str">
            <v>N/A</v>
          </cell>
          <cell r="AD402" t="str">
            <v>N/A</v>
          </cell>
          <cell r="AE402" t="str">
            <v>N/A</v>
          </cell>
          <cell r="AF402" t="str">
            <v>N/A</v>
          </cell>
          <cell r="AI402" t="str">
            <v>1CBAFB</v>
          </cell>
          <cell r="AJ402" t="str">
            <v>COOL INLET GAS/GAS EXCHANGERS</v>
          </cell>
          <cell r="AQ402">
            <v>0</v>
          </cell>
        </row>
        <row r="403">
          <cell r="M403" t="str">
            <v>1CDA-</v>
          </cell>
          <cell r="N403" t="str">
            <v>NFGP UPGRADE  - COMMISSIONING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X403" t="str">
            <v>1CAHI</v>
          </cell>
          <cell r="Y403" t="str">
            <v>NFGP UPGRADE  - EQUIP. SPECS - COMPRESSORS</v>
          </cell>
          <cell r="Z403">
            <v>3</v>
          </cell>
          <cell r="AA403" t="str">
            <v>EA</v>
          </cell>
          <cell r="AB403">
            <v>100</v>
          </cell>
          <cell r="AF403">
            <v>0</v>
          </cell>
          <cell r="AI403" t="str">
            <v>1CBAFC</v>
          </cell>
          <cell r="AJ403" t="str">
            <v>PREFLASH COLUMN REBOILER</v>
          </cell>
          <cell r="AQ403">
            <v>0</v>
          </cell>
        </row>
        <row r="404">
          <cell r="M404" t="str">
            <v>1CDB-</v>
          </cell>
          <cell r="N404" t="str">
            <v>NFGP UPGRADE  -STARTUP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X404" t="str">
            <v>1CAHJ</v>
          </cell>
          <cell r="Y404" t="str">
            <v>NFGP UPGRADE  - EQUIP. SPECS - GENERATORS</v>
          </cell>
          <cell r="Z404" t="str">
            <v>N/A</v>
          </cell>
          <cell r="AA404" t="str">
            <v>N/A</v>
          </cell>
          <cell r="AB404" t="str">
            <v>N/A</v>
          </cell>
          <cell r="AC404" t="str">
            <v>N/A</v>
          </cell>
          <cell r="AD404" t="str">
            <v>N/A</v>
          </cell>
          <cell r="AE404" t="str">
            <v>N/A</v>
          </cell>
          <cell r="AF404" t="str">
            <v>N/A</v>
          </cell>
          <cell r="AI404" t="str">
            <v>1CBAFD</v>
          </cell>
          <cell r="AJ404" t="str">
            <v>PREFLASH COLUMN SIDE REBOILER</v>
          </cell>
          <cell r="AQ404">
            <v>0</v>
          </cell>
        </row>
        <row r="405">
          <cell r="M405" t="str">
            <v>1CDC-</v>
          </cell>
          <cell r="N405" t="str">
            <v>NFGP UPGRADE  -TRAINING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X405" t="str">
            <v>1CAHK</v>
          </cell>
          <cell r="Y405" t="str">
            <v>NFGP UPGRADE  - EQUIP. SPECS - MOTORS &amp; DRIVERS</v>
          </cell>
          <cell r="AF405">
            <v>0</v>
          </cell>
          <cell r="AI405" t="str">
            <v>1CBAFE</v>
          </cell>
          <cell r="AJ405" t="str">
            <v>INLET (PROPANE) GAS CHILLER</v>
          </cell>
          <cell r="AQ405">
            <v>0</v>
          </cell>
        </row>
        <row r="406">
          <cell r="M406" t="str">
            <v>1CD--</v>
          </cell>
          <cell r="N406" t="str">
            <v>SUBTOTAL NFGP UPGRADE  - COMMISSIONING, STARTUP &amp; TRAINING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X406" t="str">
            <v>1CAHL</v>
          </cell>
          <cell r="Y406" t="str">
            <v>NFGP UPGRADE  - EQUIP. SPECS - FIRED EQUIPMENT</v>
          </cell>
          <cell r="Z406" t="str">
            <v>N/A</v>
          </cell>
          <cell r="AA406" t="str">
            <v>N/A</v>
          </cell>
          <cell r="AB406" t="str">
            <v>N/A</v>
          </cell>
          <cell r="AC406" t="str">
            <v>N/A</v>
          </cell>
          <cell r="AD406" t="str">
            <v>N/A</v>
          </cell>
          <cell r="AE406" t="str">
            <v>N/A</v>
          </cell>
          <cell r="AF406" t="str">
            <v>N/A</v>
          </cell>
          <cell r="AI406" t="str">
            <v>1CBAFF</v>
          </cell>
          <cell r="AJ406" t="str">
            <v>NGL-1 PROPANE BOIL-OFF CONDENSER</v>
          </cell>
          <cell r="AQ406">
            <v>0</v>
          </cell>
        </row>
        <row r="407">
          <cell r="X407" t="str">
            <v>1CAHM</v>
          </cell>
          <cell r="Y407" t="str">
            <v>NFGP UPGRADE  - EQUIP. SPECS - BLOWERS, FANS</v>
          </cell>
          <cell r="Z407" t="str">
            <v>N/A</v>
          </cell>
          <cell r="AA407" t="str">
            <v>N/A</v>
          </cell>
          <cell r="AB407" t="str">
            <v>N/A</v>
          </cell>
          <cell r="AC407" t="str">
            <v>N/A</v>
          </cell>
          <cell r="AD407" t="str">
            <v>N/A</v>
          </cell>
          <cell r="AE407" t="str">
            <v>N/A</v>
          </cell>
          <cell r="AF407" t="str">
            <v>N/A</v>
          </cell>
          <cell r="AI407" t="str">
            <v>1CBAFG</v>
          </cell>
          <cell r="AJ407" t="str">
            <v>NGL-2 PROPANE BOIL-OFF CONDENSER</v>
          </cell>
          <cell r="AQ407">
            <v>0</v>
          </cell>
        </row>
        <row r="408">
          <cell r="X408" t="str">
            <v>1CAHN</v>
          </cell>
          <cell r="Y408" t="str">
            <v>NFGP UPGRADE  - EQUIP. SPECS - FILTERS</v>
          </cell>
          <cell r="Z408" t="str">
            <v>N/A</v>
          </cell>
          <cell r="AA408" t="str">
            <v>N/A</v>
          </cell>
          <cell r="AB408" t="str">
            <v>N/A</v>
          </cell>
          <cell r="AC408" t="str">
            <v>N/A</v>
          </cell>
          <cell r="AD408" t="str">
            <v>N/A</v>
          </cell>
          <cell r="AE408" t="str">
            <v>N/A</v>
          </cell>
          <cell r="AF408" t="str">
            <v>N/A</v>
          </cell>
          <cell r="AI408" t="str">
            <v>1CBAFX</v>
          </cell>
          <cell r="AJ408" t="str">
            <v>OTHER HEAT EXCHANGERS - SHELL &amp; TUBE</v>
          </cell>
          <cell r="AQ408">
            <v>0</v>
          </cell>
        </row>
        <row r="409">
          <cell r="X409" t="str">
            <v>1CAHO</v>
          </cell>
          <cell r="Y409" t="str">
            <v>NFGP UPGRADE  - EQUIP. SPECS - FLARES</v>
          </cell>
          <cell r="Z409" t="str">
            <v>N/A</v>
          </cell>
          <cell r="AA409" t="str">
            <v>N/A</v>
          </cell>
          <cell r="AB409" t="str">
            <v>N/A</v>
          </cell>
          <cell r="AC409" t="str">
            <v>N/A</v>
          </cell>
          <cell r="AD409" t="str">
            <v>N/A</v>
          </cell>
          <cell r="AE409" t="str">
            <v>N/A</v>
          </cell>
          <cell r="AF409" t="str">
            <v>N/A</v>
          </cell>
          <cell r="AI409" t="str">
            <v>1CBAF-</v>
          </cell>
          <cell r="AJ409" t="str">
            <v>SUBTOTAL HEAT EXCHANGERS - SHELL &amp; TUBE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</row>
        <row r="410">
          <cell r="X410" t="str">
            <v>1CAHP</v>
          </cell>
          <cell r="Y410" t="str">
            <v>NFGP UPGRADE  - EQUIP. SPECS - SOLIDS HANDLING EQUIPMENT</v>
          </cell>
          <cell r="Z410" t="str">
            <v>N/A</v>
          </cell>
          <cell r="AA410" t="str">
            <v>N/A</v>
          </cell>
          <cell r="AB410" t="str">
            <v>N/A</v>
          </cell>
          <cell r="AC410" t="str">
            <v>N/A</v>
          </cell>
          <cell r="AD410" t="str">
            <v>N/A</v>
          </cell>
          <cell r="AE410" t="str">
            <v>N/A</v>
          </cell>
          <cell r="AF410" t="str">
            <v>N/A</v>
          </cell>
        </row>
        <row r="411">
          <cell r="X411" t="str">
            <v>1CAHQ</v>
          </cell>
          <cell r="Y411" t="str">
            <v>NFGP UPGRADE  - EQUIP. SPECS - PACKAGED EQUIPMENT</v>
          </cell>
          <cell r="Z411" t="str">
            <v>N/A</v>
          </cell>
          <cell r="AA411" t="str">
            <v>N/A</v>
          </cell>
          <cell r="AB411" t="str">
            <v>N/A</v>
          </cell>
          <cell r="AC411" t="str">
            <v>N/A</v>
          </cell>
          <cell r="AD411" t="str">
            <v>N/A</v>
          </cell>
          <cell r="AE411" t="str">
            <v>N/A</v>
          </cell>
          <cell r="AF411" t="str">
            <v>N/A</v>
          </cell>
          <cell r="AI411" t="str">
            <v>1CBAIA</v>
          </cell>
          <cell r="AJ411" t="str">
            <v>BOOSTER COMPRESSOR W COOLERS &amp; SCRUBB</v>
          </cell>
          <cell r="AQ411">
            <v>0</v>
          </cell>
        </row>
        <row r="412">
          <cell r="X412" t="str">
            <v>1CAHX</v>
          </cell>
          <cell r="Y412" t="str">
            <v>NFGP UPGRADE  - EQUIP. SPECS - OTHERS</v>
          </cell>
          <cell r="Z412">
            <v>1</v>
          </cell>
          <cell r="AA412" t="str">
            <v>EA</v>
          </cell>
          <cell r="AB412">
            <v>50</v>
          </cell>
          <cell r="AF412">
            <v>0</v>
          </cell>
          <cell r="AI412" t="str">
            <v>1CBAIB</v>
          </cell>
          <cell r="AJ412" t="str">
            <v>MODIFICATION OF TURBO EXPANDER, COMPRESSOR AND GAS TURBINE</v>
          </cell>
          <cell r="AQ412">
            <v>0</v>
          </cell>
        </row>
        <row r="413">
          <cell r="X413" t="str">
            <v>1CAH-</v>
          </cell>
          <cell r="Y413" t="str">
            <v xml:space="preserve">SUBTOTAL - NFGP UPGRADE  - EQUIP. SPECS </v>
          </cell>
          <cell r="Z413">
            <v>20</v>
          </cell>
          <cell r="AA413" t="str">
            <v>N/A</v>
          </cell>
          <cell r="AB413">
            <v>490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I413" t="str">
            <v>1CBAIX</v>
          </cell>
          <cell r="AJ413" t="str">
            <v>OTHER  COMPRESSORS</v>
          </cell>
          <cell r="AQ413">
            <v>0</v>
          </cell>
        </row>
        <row r="414">
          <cell r="AI414" t="str">
            <v>1CBAI</v>
          </cell>
          <cell r="AJ414" t="str">
            <v>SUBTOTAL - COMPRESSORS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</row>
        <row r="420">
          <cell r="W420" t="str">
            <v>LEVEL 2 NFGP UPGRADE PG.2</v>
          </cell>
          <cell r="X420" t="str">
            <v>WBS CODE</v>
          </cell>
          <cell r="Y420" t="str">
            <v>DESCRIPTION</v>
          </cell>
          <cell r="Z420" t="str">
            <v>QUANTITY</v>
          </cell>
          <cell r="AA420" t="str">
            <v>UNITS</v>
          </cell>
          <cell r="AB420" t="str">
            <v>TOTAL MANHOURS</v>
          </cell>
          <cell r="AC420" t="str">
            <v>TOTAL LABOR COST</v>
          </cell>
          <cell r="AD420" t="str">
            <v>TOTAL MAT'L COST</v>
          </cell>
          <cell r="AE420" t="str">
            <v>TOTAL S/C COST</v>
          </cell>
          <cell r="AF420" t="str">
            <v>TOTAL COST</v>
          </cell>
          <cell r="AH420" t="str">
            <v>LEVEL 3 NFGP UPGRADE PG 2</v>
          </cell>
          <cell r="AI420" t="str">
            <v>WBS CODE</v>
          </cell>
          <cell r="AJ420" t="str">
            <v>DESCRIPTION</v>
          </cell>
          <cell r="AK420" t="str">
            <v>QUANTITY</v>
          </cell>
          <cell r="AL420" t="str">
            <v>UNITS</v>
          </cell>
          <cell r="AM420" t="str">
            <v>TOTAL MANHOURS</v>
          </cell>
          <cell r="AN420" t="str">
            <v>TOTAL LABOR COST</v>
          </cell>
          <cell r="AO420" t="str">
            <v>TOTAL MAT'L COST</v>
          </cell>
          <cell r="AP420" t="str">
            <v>TOTAL S/C COST</v>
          </cell>
          <cell r="AQ420" t="str">
            <v>TOTAL COST</v>
          </cell>
        </row>
        <row r="422">
          <cell r="X422" t="str">
            <v>1CAIA</v>
          </cell>
          <cell r="Y422" t="str">
            <v>NFGP UPGRADE  - PROCUREMENT PRESSURE VESSELS</v>
          </cell>
          <cell r="AF422">
            <v>0</v>
          </cell>
          <cell r="AI422" t="str">
            <v>1CBAK?</v>
          </cell>
          <cell r="AJ422" t="str">
            <v>SPECIFY EQUIPMENT</v>
          </cell>
          <cell r="AQ422">
            <v>0</v>
          </cell>
        </row>
        <row r="423">
          <cell r="X423" t="str">
            <v>1CAIB</v>
          </cell>
          <cell r="Y423" t="str">
            <v>NFGP UPGRADE  - PROCUREMENT   COLUMNS</v>
          </cell>
          <cell r="AF423">
            <v>0</v>
          </cell>
          <cell r="AI423" t="str">
            <v>1CBAKX</v>
          </cell>
          <cell r="AJ423" t="str">
            <v>OTHER MOTORS &amp; DRIVERS</v>
          </cell>
          <cell r="AQ423">
            <v>0</v>
          </cell>
        </row>
        <row r="424">
          <cell r="X424" t="str">
            <v>1CAIC</v>
          </cell>
          <cell r="Y424" t="str">
            <v>NFGP UPGRADE  - PROCUREMENT   REACTORS</v>
          </cell>
          <cell r="Z424" t="str">
            <v>N/A</v>
          </cell>
          <cell r="AA424" t="str">
            <v>N/A</v>
          </cell>
          <cell r="AB424" t="str">
            <v>N/A</v>
          </cell>
          <cell r="AC424" t="str">
            <v>N/A</v>
          </cell>
          <cell r="AD424" t="str">
            <v>N/A</v>
          </cell>
          <cell r="AE424" t="str">
            <v>N/A</v>
          </cell>
          <cell r="AF424" t="str">
            <v>N/A</v>
          </cell>
          <cell r="AI424" t="str">
            <v>1CBAK-</v>
          </cell>
          <cell r="AJ424" t="str">
            <v>SUBTOTAL MOTORS &amp; DRIVERS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</row>
        <row r="425">
          <cell r="X425" t="str">
            <v>1CAID</v>
          </cell>
          <cell r="Y425" t="str">
            <v>NFGP UPGRADE  - PROCUREMENT   FIELD ERECTED TANKS</v>
          </cell>
          <cell r="Z425" t="str">
            <v>N/A</v>
          </cell>
          <cell r="AA425" t="str">
            <v>N/A</v>
          </cell>
          <cell r="AB425" t="str">
            <v>N/A</v>
          </cell>
          <cell r="AC425" t="str">
            <v>N/A</v>
          </cell>
          <cell r="AD425" t="str">
            <v>N/A</v>
          </cell>
          <cell r="AE425" t="str">
            <v>N/A</v>
          </cell>
          <cell r="AF425" t="str">
            <v>N/A</v>
          </cell>
        </row>
        <row r="426">
          <cell r="X426" t="str">
            <v>1CAIE</v>
          </cell>
          <cell r="Y426" t="str">
            <v>NFGP UPGRADE  - PROCUREMENT   PUMPS</v>
          </cell>
          <cell r="AF426">
            <v>0</v>
          </cell>
          <cell r="AI426" t="str">
            <v>1CBAX?</v>
          </cell>
          <cell r="AJ426" t="str">
            <v>SPECIFY EQUIPMENT</v>
          </cell>
          <cell r="AQ426">
            <v>0</v>
          </cell>
        </row>
        <row r="427">
          <cell r="X427" t="str">
            <v>1CAIF</v>
          </cell>
          <cell r="Y427" t="str">
            <v>NFGP UPGRADE  - PROCUREMENT   HEAT EXCHANGERS - S &amp; T</v>
          </cell>
          <cell r="AF427">
            <v>0</v>
          </cell>
          <cell r="AI427" t="str">
            <v>1CBAXX</v>
          </cell>
          <cell r="AJ427" t="str">
            <v>OTHER EQUIPMENT</v>
          </cell>
          <cell r="AQ427">
            <v>0</v>
          </cell>
        </row>
        <row r="428">
          <cell r="X428" t="str">
            <v>1CAIG</v>
          </cell>
          <cell r="Y428" t="str">
            <v>NFGP UPGRADE  - PROCUREMENT   HEAT EXCHANGERS - FINNED</v>
          </cell>
          <cell r="Z428" t="str">
            <v>N/A</v>
          </cell>
          <cell r="AA428" t="str">
            <v>N/A</v>
          </cell>
          <cell r="AB428" t="str">
            <v>N/A</v>
          </cell>
          <cell r="AC428" t="str">
            <v>N/A</v>
          </cell>
          <cell r="AD428" t="str">
            <v>N/A</v>
          </cell>
          <cell r="AE428" t="str">
            <v>N/A</v>
          </cell>
          <cell r="AF428" t="str">
            <v>N/A</v>
          </cell>
          <cell r="AI428" t="str">
            <v>1CBAX-</v>
          </cell>
          <cell r="AJ428" t="str">
            <v>SUBTOTAL OTHER EQUIPMENT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</row>
        <row r="429">
          <cell r="X429" t="str">
            <v>1CAIH</v>
          </cell>
          <cell r="Y429" t="str">
            <v>NFGP UPGRADE  - PROCUREMENT   EXTRUDERS</v>
          </cell>
          <cell r="Z429" t="str">
            <v>N/A</v>
          </cell>
          <cell r="AA429" t="str">
            <v>N/A</v>
          </cell>
          <cell r="AB429" t="str">
            <v>N/A</v>
          </cell>
          <cell r="AC429" t="str">
            <v>N/A</v>
          </cell>
          <cell r="AD429" t="str">
            <v>N/A</v>
          </cell>
          <cell r="AE429" t="str">
            <v>N/A</v>
          </cell>
          <cell r="AF429" t="str">
            <v>N/A</v>
          </cell>
        </row>
        <row r="430">
          <cell r="X430" t="str">
            <v>1CAII</v>
          </cell>
          <cell r="Y430" t="str">
            <v>NFGP UPGRADE  - PROCUREMENT   COMPRESSORS</v>
          </cell>
          <cell r="AF430">
            <v>0</v>
          </cell>
        </row>
        <row r="431">
          <cell r="X431" t="str">
            <v>1CAIJ</v>
          </cell>
          <cell r="Y431" t="str">
            <v>NFGP UPGRADE  - PROCUREMENT   GENERATORS</v>
          </cell>
          <cell r="Z431" t="str">
            <v>N/A</v>
          </cell>
          <cell r="AA431" t="str">
            <v>N/A</v>
          </cell>
          <cell r="AB431" t="str">
            <v>N/A</v>
          </cell>
          <cell r="AC431" t="str">
            <v>N/A</v>
          </cell>
          <cell r="AD431" t="str">
            <v>N/A</v>
          </cell>
          <cell r="AE431" t="str">
            <v>N/A</v>
          </cell>
          <cell r="AF431" t="str">
            <v>N/A</v>
          </cell>
        </row>
        <row r="432">
          <cell r="X432" t="str">
            <v>1CAIK</v>
          </cell>
          <cell r="Y432" t="str">
            <v>NFGP UPGRADE  - PROCUREMENT   MOTORS &amp; DRIVERS</v>
          </cell>
          <cell r="AF432">
            <v>0</v>
          </cell>
        </row>
        <row r="433">
          <cell r="X433" t="str">
            <v>1CAIL</v>
          </cell>
          <cell r="Y433" t="str">
            <v>NFGP UPGRADE  - PROCUREMENT   FIRED EQUIPMENT</v>
          </cell>
          <cell r="Z433" t="str">
            <v>N/A</v>
          </cell>
          <cell r="AA433" t="str">
            <v>N/A</v>
          </cell>
          <cell r="AB433" t="str">
            <v>N/A</v>
          </cell>
          <cell r="AC433" t="str">
            <v>N/A</v>
          </cell>
          <cell r="AD433" t="str">
            <v>N/A</v>
          </cell>
          <cell r="AE433" t="str">
            <v>N/A</v>
          </cell>
          <cell r="AF433" t="str">
            <v>N/A</v>
          </cell>
        </row>
        <row r="434">
          <cell r="X434" t="str">
            <v>1CAIM</v>
          </cell>
          <cell r="Y434" t="str">
            <v>NFGP UPGRADE  - PROCUREMENT   BLOWERS &amp; FANS</v>
          </cell>
          <cell r="Z434" t="str">
            <v>N/A</v>
          </cell>
          <cell r="AA434" t="str">
            <v>N/A</v>
          </cell>
          <cell r="AB434" t="str">
            <v>N/A</v>
          </cell>
          <cell r="AC434" t="str">
            <v>N/A</v>
          </cell>
          <cell r="AD434" t="str">
            <v>N/A</v>
          </cell>
          <cell r="AE434" t="str">
            <v>N/A</v>
          </cell>
          <cell r="AF434" t="str">
            <v>N/A</v>
          </cell>
        </row>
        <row r="435">
          <cell r="X435" t="str">
            <v>1CAIN</v>
          </cell>
          <cell r="Y435" t="str">
            <v>NFGP UPGRADE  - PROCUREMENT   FILTERS</v>
          </cell>
          <cell r="Z435" t="str">
            <v>N/A</v>
          </cell>
          <cell r="AA435" t="str">
            <v>N/A</v>
          </cell>
          <cell r="AB435" t="str">
            <v>N/A</v>
          </cell>
          <cell r="AC435" t="str">
            <v>N/A</v>
          </cell>
          <cell r="AD435" t="str">
            <v>N/A</v>
          </cell>
          <cell r="AE435" t="str">
            <v>N/A</v>
          </cell>
          <cell r="AF435" t="str">
            <v>N/A</v>
          </cell>
        </row>
        <row r="436">
          <cell r="X436" t="str">
            <v>1CAIO</v>
          </cell>
          <cell r="Y436" t="str">
            <v>NFGP UPGRADE  - PROCUREMENT   FLARES</v>
          </cell>
          <cell r="Z436" t="str">
            <v>N/A</v>
          </cell>
          <cell r="AA436" t="str">
            <v>N/A</v>
          </cell>
          <cell r="AB436" t="str">
            <v>N/A</v>
          </cell>
          <cell r="AC436" t="str">
            <v>N/A</v>
          </cell>
          <cell r="AD436" t="str">
            <v>N/A</v>
          </cell>
          <cell r="AE436" t="str">
            <v>N/A</v>
          </cell>
          <cell r="AF436" t="str">
            <v>N/A</v>
          </cell>
        </row>
        <row r="437">
          <cell r="X437" t="str">
            <v>1CAIP</v>
          </cell>
          <cell r="Y437" t="str">
            <v>NFGP UPGRADE  - PROCUREMENT   SOLIDS HANDLING EQUIPMENT</v>
          </cell>
          <cell r="Z437" t="str">
            <v>N/A</v>
          </cell>
          <cell r="AA437" t="str">
            <v>N/A</v>
          </cell>
          <cell r="AB437" t="str">
            <v>N/A</v>
          </cell>
          <cell r="AC437" t="str">
            <v>N/A</v>
          </cell>
          <cell r="AD437" t="str">
            <v>N/A</v>
          </cell>
          <cell r="AE437" t="str">
            <v>N/A</v>
          </cell>
          <cell r="AF437" t="str">
            <v>N/A</v>
          </cell>
        </row>
        <row r="438">
          <cell r="X438" t="str">
            <v>1CAIQ</v>
          </cell>
          <cell r="Y438" t="str">
            <v>NFGP UPGRADE  - PROCUREMENT   PACKAGED EQUIPMENT</v>
          </cell>
          <cell r="Z438" t="str">
            <v>N/A</v>
          </cell>
          <cell r="AA438" t="str">
            <v>N/A</v>
          </cell>
          <cell r="AB438" t="str">
            <v>N/A</v>
          </cell>
          <cell r="AC438" t="str">
            <v>N/A</v>
          </cell>
          <cell r="AD438" t="str">
            <v>N/A</v>
          </cell>
          <cell r="AE438" t="str">
            <v>N/A</v>
          </cell>
          <cell r="AF438" t="str">
            <v>N/A</v>
          </cell>
        </row>
        <row r="439">
          <cell r="X439" t="str">
            <v>1CAIT</v>
          </cell>
          <cell r="Y439" t="str">
            <v>NFGP UPGRADE  - PROCUREMENT   BULKS</v>
          </cell>
          <cell r="AF439">
            <v>0</v>
          </cell>
        </row>
        <row r="440">
          <cell r="X440" t="str">
            <v>1CAIX</v>
          </cell>
          <cell r="Y440" t="str">
            <v>NFGP UPGRADE  - PROCUREMENT   OTHER</v>
          </cell>
          <cell r="AF440">
            <v>0</v>
          </cell>
        </row>
        <row r="441">
          <cell r="X441" t="str">
            <v>1CAI-</v>
          </cell>
          <cell r="Y441" t="str">
            <v>SUBTOTAL - NFGP UPGRADE  - PROCUREMENT</v>
          </cell>
          <cell r="Z441">
            <v>0</v>
          </cell>
          <cell r="AA441" t="str">
            <v>N/A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3">
          <cell r="X443" t="str">
            <v>1CAJA</v>
          </cell>
          <cell r="Y443" t="str">
            <v>NFGP UPGRADE  - INDIRECT ENG'G CONTRACTS</v>
          </cell>
          <cell r="AF443">
            <v>0</v>
          </cell>
        </row>
        <row r="444">
          <cell r="X444" t="str">
            <v>1CAJB</v>
          </cell>
          <cell r="Y444" t="str">
            <v>NFGP UPGRADE  - INDIRECT ENG'G PROJECT MANAGEMENT</v>
          </cell>
          <cell r="AF444">
            <v>0</v>
          </cell>
        </row>
        <row r="445">
          <cell r="X445" t="str">
            <v>1CAJC</v>
          </cell>
          <cell r="Y445" t="str">
            <v>NFGP UPGRADE  - INDIRECT ENG'G ENGINEERING/NON-TECH</v>
          </cell>
          <cell r="AF445">
            <v>0</v>
          </cell>
        </row>
        <row r="446">
          <cell r="X446" t="str">
            <v>1CAJX</v>
          </cell>
          <cell r="Y446" t="str">
            <v>NFGP UPGRADE  - INDIRECT ENG'G OTHER</v>
          </cell>
          <cell r="AF446">
            <v>0</v>
          </cell>
        </row>
        <row r="447">
          <cell r="X447" t="str">
            <v>1CAJ-</v>
          </cell>
          <cell r="Y447" t="str">
            <v>SUBTOTAL - NFGP UPGRADE  - INDIRECT ENGINEERING</v>
          </cell>
          <cell r="Z447">
            <v>0</v>
          </cell>
          <cell r="AA447" t="str">
            <v>N/A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58">
          <cell r="W458" t="str">
            <v>LEVEL 2 NFGP UPGRADE PG.3</v>
          </cell>
          <cell r="X458" t="str">
            <v>WBS CODE</v>
          </cell>
          <cell r="Y458" t="str">
            <v>DESCRIPTION</v>
          </cell>
          <cell r="Z458" t="str">
            <v>QUANTITY</v>
          </cell>
          <cell r="AA458" t="str">
            <v>UNITS</v>
          </cell>
          <cell r="AB458" t="str">
            <v>TOTAL MANHOURS</v>
          </cell>
          <cell r="AC458" t="str">
            <v>TOTAL LABOR COST</v>
          </cell>
          <cell r="AD458" t="str">
            <v>TOTAL MAT'L COST</v>
          </cell>
          <cell r="AE458" t="str">
            <v>TOTAL S/C COST</v>
          </cell>
          <cell r="AF458" t="str">
            <v>TOTAL COST</v>
          </cell>
        </row>
        <row r="460">
          <cell r="X460" t="str">
            <v>1CBAA</v>
          </cell>
          <cell r="Y460" t="str">
            <v>NFGP UPGRADE  - FAB/DELIVERY MAJOR EQUIP PRESSURE VESSELS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X461" t="str">
            <v>1CBAB</v>
          </cell>
          <cell r="Y461" t="str">
            <v>NFGP UPGRADE  - FAB/DELIVERY MAJOR EQUIP COLUMNS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X462" t="str">
            <v>1CBAC</v>
          </cell>
          <cell r="Y462" t="str">
            <v>NFGP UPGRADE  - FAB/DELIVERY MAJOR EQUIP REACTORS</v>
          </cell>
          <cell r="Z462" t="str">
            <v>N/A</v>
          </cell>
          <cell r="AA462" t="str">
            <v>N/A</v>
          </cell>
          <cell r="AB462" t="str">
            <v>N/A</v>
          </cell>
          <cell r="AC462" t="str">
            <v>N/A</v>
          </cell>
          <cell r="AD462" t="str">
            <v>N/A</v>
          </cell>
          <cell r="AE462" t="str">
            <v>N/A</v>
          </cell>
          <cell r="AF462" t="str">
            <v>N/A</v>
          </cell>
        </row>
        <row r="463">
          <cell r="X463" t="str">
            <v>1CBAD</v>
          </cell>
          <cell r="Y463" t="str">
            <v>NFGP UPGRADE  - FAB/DELIVERY MAJOR EQUIP FIELD ERECTED TANKS</v>
          </cell>
          <cell r="Z463" t="str">
            <v>N/A</v>
          </cell>
          <cell r="AA463" t="str">
            <v>N/A</v>
          </cell>
          <cell r="AB463" t="str">
            <v>N/A</v>
          </cell>
          <cell r="AC463" t="str">
            <v>N/A</v>
          </cell>
          <cell r="AD463" t="str">
            <v>N/A</v>
          </cell>
          <cell r="AE463" t="str">
            <v>N/A</v>
          </cell>
          <cell r="AF463" t="str">
            <v>N/A</v>
          </cell>
        </row>
        <row r="464">
          <cell r="X464" t="str">
            <v>1CBAE</v>
          </cell>
          <cell r="Y464" t="str">
            <v>NFGP UPGRADE  - FAB/DELIVERY MAJOR EQUIP PUMPS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X465" t="str">
            <v>1CBAF</v>
          </cell>
          <cell r="Y465" t="str">
            <v>NFGP UPGRADE  - FAB/DELIVERY MAJOR EQUIP HEAT EXCHANGERS S&amp;T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</row>
        <row r="466">
          <cell r="X466" t="str">
            <v>1CBAG</v>
          </cell>
          <cell r="Y466" t="str">
            <v>NFGP UPGRADE  - FAB/DELIVERY MAJOR EQUIP HEAT EXCHANGERS FINNED</v>
          </cell>
          <cell r="Z466" t="str">
            <v>N/A</v>
          </cell>
          <cell r="AA466" t="str">
            <v>N/A</v>
          </cell>
          <cell r="AB466" t="str">
            <v>N/A</v>
          </cell>
          <cell r="AC466" t="str">
            <v>N/A</v>
          </cell>
          <cell r="AD466" t="str">
            <v>N/A</v>
          </cell>
          <cell r="AE466" t="str">
            <v>N/A</v>
          </cell>
          <cell r="AF466" t="str">
            <v>N/A</v>
          </cell>
        </row>
        <row r="467">
          <cell r="X467" t="str">
            <v>1CBAH</v>
          </cell>
          <cell r="Y467" t="str">
            <v>NFGP UPGRADE  - FAB/DELIVERY MAJOR EQUIP EXTRUDERS</v>
          </cell>
          <cell r="Z467" t="str">
            <v>N/A</v>
          </cell>
          <cell r="AA467" t="str">
            <v>N/A</v>
          </cell>
          <cell r="AB467" t="str">
            <v>N/A</v>
          </cell>
          <cell r="AC467" t="str">
            <v>N/A</v>
          </cell>
          <cell r="AD467" t="str">
            <v>N/A</v>
          </cell>
          <cell r="AE467" t="str">
            <v>N/A</v>
          </cell>
          <cell r="AF467" t="str">
            <v>N/A</v>
          </cell>
        </row>
        <row r="468">
          <cell r="X468" t="str">
            <v>1CBAI</v>
          </cell>
          <cell r="Y468" t="str">
            <v>NFGP UPGRADE  - FAB/DELIVERY MAJOR EQUIP COMPRESSORS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X469" t="str">
            <v>1CBAJ</v>
          </cell>
          <cell r="Y469" t="str">
            <v>NFGP UPGRADE  - FAB/DELIVERY MAJOR EQUIP GENERATORS</v>
          </cell>
          <cell r="Z469" t="str">
            <v>N/A</v>
          </cell>
          <cell r="AA469" t="str">
            <v>N/A</v>
          </cell>
          <cell r="AB469" t="str">
            <v>N/A</v>
          </cell>
          <cell r="AC469" t="str">
            <v>N/A</v>
          </cell>
          <cell r="AD469" t="str">
            <v>N/A</v>
          </cell>
          <cell r="AE469" t="str">
            <v>N/A</v>
          </cell>
          <cell r="AF469" t="str">
            <v>N/A</v>
          </cell>
        </row>
        <row r="470">
          <cell r="X470" t="str">
            <v>1CBAJ</v>
          </cell>
          <cell r="Y470" t="str">
            <v>NFGP UPGRADE  - FAB/DELIVERY MAJOR EQUIP MOTORS &amp; DRIVERS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X471" t="str">
            <v>1CBAL</v>
          </cell>
          <cell r="Y471" t="str">
            <v>NFGP UPGRADE  - FAB/DELIVERY MAJOR EQUIP FIRED EQUIPMENT</v>
          </cell>
          <cell r="Z471" t="str">
            <v>N/A</v>
          </cell>
          <cell r="AA471" t="str">
            <v>N/A</v>
          </cell>
          <cell r="AB471" t="str">
            <v>N/A</v>
          </cell>
          <cell r="AC471" t="str">
            <v>N/A</v>
          </cell>
          <cell r="AD471" t="str">
            <v>N/A</v>
          </cell>
          <cell r="AE471" t="str">
            <v>N/A</v>
          </cell>
          <cell r="AF471" t="str">
            <v>N/A</v>
          </cell>
        </row>
        <row r="472">
          <cell r="X472" t="str">
            <v>1CBAM</v>
          </cell>
          <cell r="Y472" t="str">
            <v>NFGP UPGRADE  - FAB/DELIVERY MAJOR EQUIP BLOWERS, FANS</v>
          </cell>
          <cell r="Z472" t="str">
            <v>N/A</v>
          </cell>
          <cell r="AA472" t="str">
            <v>N/A</v>
          </cell>
          <cell r="AB472" t="str">
            <v>N/A</v>
          </cell>
          <cell r="AC472" t="str">
            <v>N/A</v>
          </cell>
          <cell r="AD472" t="str">
            <v>N/A</v>
          </cell>
          <cell r="AE472" t="str">
            <v>N/A</v>
          </cell>
          <cell r="AF472" t="str">
            <v>N/A</v>
          </cell>
        </row>
        <row r="473">
          <cell r="X473" t="str">
            <v>1CBAN</v>
          </cell>
          <cell r="Y473" t="str">
            <v>NFGP UPGRADE  - FAB/DELIVERY MAJOR EQUIP FILTERS</v>
          </cell>
          <cell r="Z473" t="str">
            <v>N/A</v>
          </cell>
          <cell r="AA473" t="str">
            <v>N/A</v>
          </cell>
          <cell r="AB473" t="str">
            <v>N/A</v>
          </cell>
          <cell r="AC473" t="str">
            <v>N/A</v>
          </cell>
          <cell r="AD473" t="str">
            <v>N/A</v>
          </cell>
          <cell r="AE473" t="str">
            <v>N/A</v>
          </cell>
          <cell r="AF473" t="str">
            <v>N/A</v>
          </cell>
        </row>
        <row r="474">
          <cell r="X474" t="str">
            <v>1CBAO</v>
          </cell>
          <cell r="Y474" t="str">
            <v>NFGP UPGRADE  - FAB/DELIVERY MAJOR EQUIP FLARES</v>
          </cell>
          <cell r="Z474" t="str">
            <v>N/A</v>
          </cell>
          <cell r="AA474" t="str">
            <v>N/A</v>
          </cell>
          <cell r="AB474" t="str">
            <v>N/A</v>
          </cell>
          <cell r="AC474" t="str">
            <v>N/A</v>
          </cell>
          <cell r="AD474" t="str">
            <v>N/A</v>
          </cell>
          <cell r="AE474" t="str">
            <v>N/A</v>
          </cell>
          <cell r="AF474" t="str">
            <v>N/A</v>
          </cell>
        </row>
        <row r="475">
          <cell r="X475" t="str">
            <v>1CBAP</v>
          </cell>
          <cell r="Y475" t="str">
            <v>NFGP UPGRADE  - FAB/DELIVERY MAJOR EQUIP SOLIDS HANDLING EQUIPMENT</v>
          </cell>
          <cell r="Z475" t="str">
            <v>N/A</v>
          </cell>
          <cell r="AA475" t="str">
            <v>N/A</v>
          </cell>
          <cell r="AB475" t="str">
            <v>N/A</v>
          </cell>
          <cell r="AC475" t="str">
            <v>N/A</v>
          </cell>
          <cell r="AD475" t="str">
            <v>N/A</v>
          </cell>
          <cell r="AE475" t="str">
            <v>N/A</v>
          </cell>
          <cell r="AF475" t="str">
            <v>N/A</v>
          </cell>
        </row>
        <row r="476">
          <cell r="X476" t="str">
            <v>1CBAQ</v>
          </cell>
          <cell r="Y476" t="str">
            <v>NFGP UPGRADE  - FAB/DELIVERY MAJOR EQUIP PACKAGED EQUIPMENT</v>
          </cell>
          <cell r="Z476" t="str">
            <v>N/A</v>
          </cell>
          <cell r="AA476" t="str">
            <v>N/A</v>
          </cell>
          <cell r="AB476" t="str">
            <v>N/A</v>
          </cell>
          <cell r="AC476" t="str">
            <v>N/A</v>
          </cell>
          <cell r="AD476" t="str">
            <v>N/A</v>
          </cell>
          <cell r="AE476" t="str">
            <v>N/A</v>
          </cell>
          <cell r="AF476" t="str">
            <v>N/A</v>
          </cell>
        </row>
        <row r="477">
          <cell r="X477" t="str">
            <v>1CBAX</v>
          </cell>
          <cell r="Y477" t="str">
            <v>NFGP UPGRADE  - FAB/DELIVERY MAJOR EQUIP OTHER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X478" t="str">
            <v>1CBA-</v>
          </cell>
          <cell r="Y478" t="str">
            <v>SUBTOTAL - NFGP UPGRADE  - FAB/DELIVERY MAJOR EQUIP.</v>
          </cell>
          <cell r="Z478">
            <v>0</v>
          </cell>
          <cell r="AA478" t="str">
            <v>N/A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80">
          <cell r="X480" t="str">
            <v>1CBBA</v>
          </cell>
          <cell r="Y480" t="str">
            <v>NFGP UPGRADE  - FAB/DELIVERY BULKS - IMBEDS</v>
          </cell>
          <cell r="AF480">
            <v>0</v>
          </cell>
        </row>
        <row r="481">
          <cell r="X481" t="str">
            <v>1CBBB</v>
          </cell>
          <cell r="Y481" t="str">
            <v>NFGP UPGRADE  - FAB/DELIVERY BULKS - STRUCTURAL</v>
          </cell>
          <cell r="AF481">
            <v>0</v>
          </cell>
        </row>
        <row r="482">
          <cell r="X482" t="str">
            <v>1CBBC</v>
          </cell>
          <cell r="Y482" t="str">
            <v>NFGP UPGRADE  - FAB/DELIVERY BULKS - PIPING</v>
          </cell>
          <cell r="AF482">
            <v>0</v>
          </cell>
        </row>
        <row r="483">
          <cell r="X483" t="str">
            <v>1CBBD</v>
          </cell>
          <cell r="Y483" t="str">
            <v>NFGP UPGRADE  - FAB/DELIVERY BULKS - ELECTRICAL</v>
          </cell>
          <cell r="AF483">
            <v>0</v>
          </cell>
        </row>
        <row r="484">
          <cell r="X484" t="str">
            <v>1CBBE</v>
          </cell>
          <cell r="Y484" t="str">
            <v>NFGP UPGRADE  - FAB/DELIVERY BULKS - INSTRUMENTATION</v>
          </cell>
          <cell r="AF484">
            <v>0</v>
          </cell>
        </row>
        <row r="485">
          <cell r="X485" t="str">
            <v>1CBBF</v>
          </cell>
          <cell r="Y485" t="str">
            <v>NFGP UPGRADE  - FAB/DELIVERY BULKS - PIPELINES</v>
          </cell>
          <cell r="Z485" t="str">
            <v>N/A</v>
          </cell>
          <cell r="AA485" t="str">
            <v>N/A</v>
          </cell>
          <cell r="AB485" t="str">
            <v>N/A</v>
          </cell>
          <cell r="AC485" t="str">
            <v>N/A</v>
          </cell>
          <cell r="AD485" t="str">
            <v>N/A</v>
          </cell>
          <cell r="AE485" t="str">
            <v>N/A</v>
          </cell>
          <cell r="AF485" t="str">
            <v>N/A</v>
          </cell>
        </row>
        <row r="486">
          <cell r="X486" t="str">
            <v>1CBB-</v>
          </cell>
          <cell r="Y486" t="str">
            <v>SUBTOTAL - NFGP UPGRADE  - FAB/DELIVERY BULKS</v>
          </cell>
          <cell r="Z486">
            <v>0</v>
          </cell>
          <cell r="AA486" t="str">
            <v>N/A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8">
          <cell r="X488" t="str">
            <v>1CBCA</v>
          </cell>
          <cell r="Y488" t="str">
            <v>NFGP UPGRADE  - FAB/DELIVERY ENG. SPECIALTIES - BUILDINGS</v>
          </cell>
          <cell r="AF488">
            <v>0</v>
          </cell>
        </row>
        <row r="489">
          <cell r="X489" t="str">
            <v>1CBCB</v>
          </cell>
          <cell r="Y489" t="str">
            <v>NFGP UPGRADE  - FAB/DELIVERY ENG. SPECIALTIES - GENERAL</v>
          </cell>
          <cell r="AF489">
            <v>0</v>
          </cell>
        </row>
        <row r="490">
          <cell r="X490" t="str">
            <v>1CBC-</v>
          </cell>
          <cell r="Y490" t="str">
            <v>SUBTOTAL - NFGP UPGRADE  - FAB/DELIVERY ENGINEERING SPECIALTIES</v>
          </cell>
          <cell r="Z490">
            <v>0</v>
          </cell>
          <cell r="AA490" t="str">
            <v>N/A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6">
          <cell r="W496" t="str">
            <v>LEVEL 2 NFGP UPGRADE PG.4</v>
          </cell>
          <cell r="X496" t="str">
            <v>WBS CODE</v>
          </cell>
          <cell r="Y496" t="str">
            <v>DESCRIPTION</v>
          </cell>
          <cell r="Z496" t="str">
            <v>QUANTITY</v>
          </cell>
          <cell r="AA496" t="str">
            <v>UNITS</v>
          </cell>
          <cell r="AB496" t="str">
            <v>TOTAL MANHOURS</v>
          </cell>
          <cell r="AC496" t="str">
            <v>TOTAL LABOR COST</v>
          </cell>
          <cell r="AD496" t="str">
            <v>TOTAL MAT'L COST</v>
          </cell>
          <cell r="AE496" t="str">
            <v>TOTAL S/C COST</v>
          </cell>
          <cell r="AF496" t="str">
            <v>TOTAL COST</v>
          </cell>
        </row>
        <row r="497">
          <cell r="X497" t="str">
            <v>1CCAA</v>
          </cell>
          <cell r="Y497" t="str">
            <v>NFGP UPGRADE  - CONSTRUCTION, CIVIL - SITE WORK</v>
          </cell>
          <cell r="AF497">
            <v>0</v>
          </cell>
        </row>
        <row r="498">
          <cell r="X498" t="str">
            <v>1CCAB</v>
          </cell>
          <cell r="Y498" t="str">
            <v>NFGP UPGRADE  - CONSTRUCTION, CIVIL - FOUNDATIONS</v>
          </cell>
          <cell r="AF498">
            <v>0</v>
          </cell>
        </row>
        <row r="499">
          <cell r="X499" t="str">
            <v>1CCA</v>
          </cell>
          <cell r="Y499" t="str">
            <v>SUBTOTAL - NFGP UPGRADE  - CONSTRUCTION, CIVIL</v>
          </cell>
          <cell r="Z499">
            <v>0</v>
          </cell>
          <cell r="AA499" t="str">
            <v>N/A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1">
          <cell r="X501" t="str">
            <v>1CCBA</v>
          </cell>
          <cell r="Y501" t="str">
            <v>NFGP UPGRADE  - CONSTRUCTION, MAJOR EQUIPMENT - PRESSURE VESSELS</v>
          </cell>
          <cell r="Z501">
            <v>215.3</v>
          </cell>
          <cell r="AA501" t="str">
            <v>TON</v>
          </cell>
          <cell r="AB501">
            <v>3960</v>
          </cell>
          <cell r="AC501">
            <v>103400</v>
          </cell>
          <cell r="AF501">
            <v>103400</v>
          </cell>
        </row>
        <row r="502">
          <cell r="X502" t="str">
            <v>1CCBB</v>
          </cell>
          <cell r="Y502" t="str">
            <v>NFGP UPGRADE  - CONSTRUCTION, MAJOR EQUIPMENT - COLUMNS</v>
          </cell>
          <cell r="Z502">
            <v>181.1</v>
          </cell>
          <cell r="AA502" t="str">
            <v>TON</v>
          </cell>
          <cell r="AB502">
            <v>7370</v>
          </cell>
          <cell r="AC502">
            <v>130300</v>
          </cell>
          <cell r="AF502">
            <v>130300</v>
          </cell>
        </row>
        <row r="503">
          <cell r="X503" t="str">
            <v>1CCBC</v>
          </cell>
          <cell r="Y503" t="str">
            <v>NFGP UPGRADE  - CONSTRUCTION, MAJOR EQUIPMENT - REACTORS</v>
          </cell>
          <cell r="Z503" t="str">
            <v>N/A</v>
          </cell>
          <cell r="AA503" t="str">
            <v>N/A</v>
          </cell>
          <cell r="AB503" t="str">
            <v>N/A</v>
          </cell>
          <cell r="AC503" t="str">
            <v>N/A</v>
          </cell>
          <cell r="AD503" t="str">
            <v>N/A</v>
          </cell>
          <cell r="AE503" t="str">
            <v>N/A</v>
          </cell>
          <cell r="AF503" t="str">
            <v>N/A</v>
          </cell>
        </row>
        <row r="504">
          <cell r="X504" t="str">
            <v>1CCBD</v>
          </cell>
          <cell r="Y504" t="str">
            <v>NFGP UPGRADE  - CONSTRUCTION, MAJOR EQUIPMENT - FIELD ERECTED TANKS</v>
          </cell>
          <cell r="Z504" t="str">
            <v>N/A</v>
          </cell>
          <cell r="AA504" t="str">
            <v>N/A</v>
          </cell>
          <cell r="AB504" t="str">
            <v>N/A</v>
          </cell>
          <cell r="AC504" t="str">
            <v>N/A</v>
          </cell>
          <cell r="AD504" t="str">
            <v>N/A</v>
          </cell>
          <cell r="AE504" t="str">
            <v>N/A</v>
          </cell>
          <cell r="AF504" t="str">
            <v>N/A</v>
          </cell>
        </row>
        <row r="505">
          <cell r="X505" t="str">
            <v>1CCBE</v>
          </cell>
          <cell r="Y505" t="str">
            <v>NFGP UPGRADE  - CONSTRUCTION, MAJOR EQUIPMENT - PUMPS</v>
          </cell>
          <cell r="Z505">
            <v>11.8</v>
          </cell>
          <cell r="AA505" t="str">
            <v>TON</v>
          </cell>
          <cell r="AB505">
            <v>260</v>
          </cell>
          <cell r="AC505">
            <v>10900</v>
          </cell>
          <cell r="AF505">
            <v>10900</v>
          </cell>
        </row>
        <row r="506">
          <cell r="X506" t="str">
            <v>1CCBF</v>
          </cell>
          <cell r="Y506" t="str">
            <v>NFGP UPGRADE  - CONSTRUCTION, MAJOR EQUIPMENT - HEAT EXCHANGERS S&amp;T</v>
          </cell>
          <cell r="Z506">
            <v>712.9</v>
          </cell>
          <cell r="AA506" t="str">
            <v>TON</v>
          </cell>
          <cell r="AB506">
            <v>15880</v>
          </cell>
          <cell r="AC506">
            <v>418300</v>
          </cell>
          <cell r="AF506">
            <v>418300</v>
          </cell>
        </row>
        <row r="507">
          <cell r="X507" t="str">
            <v>1CCBG</v>
          </cell>
          <cell r="Y507" t="str">
            <v>NFGP UPGRADE  - CONSTRUCTION, MAJOR EQUIPMENT - HEAT EXCHANGERS FINNED</v>
          </cell>
          <cell r="Z507" t="str">
            <v>N/A</v>
          </cell>
          <cell r="AA507" t="str">
            <v>N/A</v>
          </cell>
          <cell r="AB507" t="str">
            <v>N/A</v>
          </cell>
          <cell r="AC507" t="str">
            <v>N/A</v>
          </cell>
          <cell r="AD507" t="str">
            <v>N/A</v>
          </cell>
          <cell r="AE507" t="str">
            <v>N/A</v>
          </cell>
          <cell r="AF507" t="str">
            <v>N/A</v>
          </cell>
        </row>
        <row r="508">
          <cell r="X508" t="str">
            <v>1CCBH</v>
          </cell>
          <cell r="Y508" t="str">
            <v>NFGP UPGRADE  - CONSTRUCTION, MAJOR EQUIPMENT - EXTRUDERS</v>
          </cell>
          <cell r="Z508" t="str">
            <v>N/A</v>
          </cell>
          <cell r="AA508" t="str">
            <v>N/A</v>
          </cell>
          <cell r="AB508" t="str">
            <v>N/A</v>
          </cell>
          <cell r="AC508" t="str">
            <v>N/A</v>
          </cell>
          <cell r="AD508" t="str">
            <v>N/A</v>
          </cell>
          <cell r="AE508" t="str">
            <v>N/A</v>
          </cell>
          <cell r="AF508" t="str">
            <v>N/A</v>
          </cell>
        </row>
        <row r="509">
          <cell r="X509" t="str">
            <v>1CCBI</v>
          </cell>
          <cell r="Y509" t="str">
            <v>NFGP UPGRADE  - CONSTRUCTION, MAJOR EQUIPMENT - COMPRESSORS</v>
          </cell>
          <cell r="Z509">
            <v>248.7</v>
          </cell>
          <cell r="AA509" t="str">
            <v>TON</v>
          </cell>
          <cell r="AB509">
            <v>17600</v>
          </cell>
          <cell r="AC509">
            <v>150200</v>
          </cell>
          <cell r="AF509">
            <v>150200</v>
          </cell>
        </row>
        <row r="510">
          <cell r="X510" t="str">
            <v>1CCBJ</v>
          </cell>
          <cell r="Y510" t="str">
            <v>NFGP UPGRADE  - CONSTRUCTION, MAJOR EQUIPMENT - GENERATORS</v>
          </cell>
          <cell r="Z510" t="str">
            <v>N/A</v>
          </cell>
          <cell r="AA510" t="str">
            <v>N/A</v>
          </cell>
          <cell r="AB510" t="str">
            <v>N/A</v>
          </cell>
          <cell r="AC510" t="str">
            <v>N/A</v>
          </cell>
          <cell r="AD510" t="str">
            <v>N/A</v>
          </cell>
          <cell r="AE510" t="str">
            <v>N/A</v>
          </cell>
          <cell r="AF510" t="str">
            <v>N/A</v>
          </cell>
        </row>
        <row r="511">
          <cell r="X511" t="str">
            <v>1CCBK</v>
          </cell>
          <cell r="Y511" t="str">
            <v>NFGP UPGRADE  - CONSTRUCTION, MAJOR EQUIPMENT - MOTORS &amp; DRIVERS</v>
          </cell>
          <cell r="AF511">
            <v>0</v>
          </cell>
        </row>
        <row r="512">
          <cell r="X512" t="str">
            <v>1CCBL</v>
          </cell>
          <cell r="Y512" t="str">
            <v>NFGP UPGRADE  - CONSTRUCTION, MAJOR EQUIPMENT - FIRED EQUIPMENT</v>
          </cell>
          <cell r="Z512" t="str">
            <v>N/A</v>
          </cell>
          <cell r="AA512" t="str">
            <v>N/A</v>
          </cell>
          <cell r="AB512" t="str">
            <v>N/A</v>
          </cell>
          <cell r="AC512" t="str">
            <v>N/A</v>
          </cell>
          <cell r="AD512" t="str">
            <v>N/A</v>
          </cell>
          <cell r="AE512" t="str">
            <v>N/A</v>
          </cell>
          <cell r="AF512" t="str">
            <v>N/A</v>
          </cell>
        </row>
        <row r="513">
          <cell r="X513" t="str">
            <v>1CCBM</v>
          </cell>
          <cell r="Y513" t="str">
            <v>NFGP UPGRADE  - CONSTRUCTION, MAJOR EQUIPMENT - BLOWERS, FANS</v>
          </cell>
          <cell r="Z513" t="str">
            <v>N/A</v>
          </cell>
          <cell r="AA513" t="str">
            <v>N/A</v>
          </cell>
          <cell r="AB513" t="str">
            <v>N/A</v>
          </cell>
          <cell r="AC513" t="str">
            <v>N/A</v>
          </cell>
          <cell r="AD513" t="str">
            <v>N/A</v>
          </cell>
          <cell r="AE513" t="str">
            <v>N/A</v>
          </cell>
          <cell r="AF513" t="str">
            <v>N/A</v>
          </cell>
        </row>
        <row r="514">
          <cell r="X514" t="str">
            <v>1CCBN</v>
          </cell>
          <cell r="Y514" t="str">
            <v>NFGP UPGRADE  - CONSTRUCTION, MAJOR EQUIPMENT - FILTERS</v>
          </cell>
          <cell r="Z514" t="str">
            <v>N/A</v>
          </cell>
          <cell r="AA514" t="str">
            <v>N/A</v>
          </cell>
          <cell r="AB514" t="str">
            <v>N/A</v>
          </cell>
          <cell r="AC514" t="str">
            <v>N/A</v>
          </cell>
          <cell r="AD514" t="str">
            <v>N/A</v>
          </cell>
          <cell r="AE514" t="str">
            <v>N/A</v>
          </cell>
          <cell r="AF514" t="str">
            <v>N/A</v>
          </cell>
        </row>
        <row r="515">
          <cell r="X515" t="str">
            <v>1CCBO</v>
          </cell>
          <cell r="Y515" t="str">
            <v>NFGP UPGRADE  - CONSTRUCTION, MAJOR EQUIPMENT - FLARES</v>
          </cell>
          <cell r="Z515" t="str">
            <v>N/A</v>
          </cell>
          <cell r="AA515" t="str">
            <v>N/A</v>
          </cell>
          <cell r="AB515" t="str">
            <v>N/A</v>
          </cell>
          <cell r="AC515" t="str">
            <v>N/A</v>
          </cell>
          <cell r="AD515" t="str">
            <v>N/A</v>
          </cell>
          <cell r="AE515" t="str">
            <v>N/A</v>
          </cell>
          <cell r="AF515" t="str">
            <v>N/A</v>
          </cell>
        </row>
        <row r="516">
          <cell r="X516" t="str">
            <v>1CCBP</v>
          </cell>
          <cell r="Y516" t="str">
            <v>NFGP UPGRADE  - CONSTRUCTION, MAJOR EQUIPMENT - SOLIDS HANDLING EQUIPMENT</v>
          </cell>
          <cell r="Z516" t="str">
            <v>N/A</v>
          </cell>
          <cell r="AA516" t="str">
            <v>N/A</v>
          </cell>
          <cell r="AB516" t="str">
            <v>N/A</v>
          </cell>
          <cell r="AC516" t="str">
            <v>N/A</v>
          </cell>
          <cell r="AD516" t="str">
            <v>N/A</v>
          </cell>
          <cell r="AE516" t="str">
            <v>N/A</v>
          </cell>
          <cell r="AF516" t="str">
            <v>N/A</v>
          </cell>
        </row>
        <row r="517">
          <cell r="X517" t="str">
            <v>1CCBQ</v>
          </cell>
          <cell r="Y517" t="str">
            <v>NFGP UPGRADE  - CONSTRUCTION, MAJOR EQUIPMENT - PACKAGED EQUIPMENT</v>
          </cell>
          <cell r="Z517" t="str">
            <v>N/A</v>
          </cell>
          <cell r="AA517" t="str">
            <v>N/A</v>
          </cell>
          <cell r="AB517" t="str">
            <v>N/A</v>
          </cell>
          <cell r="AC517" t="str">
            <v>N/A</v>
          </cell>
          <cell r="AD517" t="str">
            <v>N/A</v>
          </cell>
          <cell r="AE517" t="str">
            <v>N/A</v>
          </cell>
          <cell r="AF517" t="str">
            <v>N/A</v>
          </cell>
        </row>
        <row r="518">
          <cell r="X518" t="str">
            <v>1CCBX</v>
          </cell>
          <cell r="Y518" t="str">
            <v>NFGP UPGRADE  - CONSTRUCTION, MAJOR EQUIPMENT - OTHERS</v>
          </cell>
          <cell r="Z518">
            <v>21</v>
          </cell>
          <cell r="AA518" t="str">
            <v>TON</v>
          </cell>
          <cell r="AB518">
            <v>3900</v>
          </cell>
          <cell r="AC518">
            <v>46200</v>
          </cell>
          <cell r="AF518">
            <v>46200</v>
          </cell>
        </row>
        <row r="519">
          <cell r="X519" t="str">
            <v>1CCB-</v>
          </cell>
          <cell r="Y519" t="str">
            <v>SUBTOTAL - NFGP UPGRADE  - CONSTRUCTION, MAJOR EQUIPMENT</v>
          </cell>
          <cell r="Z519">
            <v>1390.8</v>
          </cell>
          <cell r="AA519" t="str">
            <v>N/A</v>
          </cell>
          <cell r="AB519">
            <v>48970</v>
          </cell>
          <cell r="AC519">
            <v>859300</v>
          </cell>
          <cell r="AD519">
            <v>0</v>
          </cell>
          <cell r="AE519">
            <v>0</v>
          </cell>
          <cell r="AF519">
            <v>859300</v>
          </cell>
        </row>
        <row r="521">
          <cell r="X521" t="str">
            <v>1CCCA</v>
          </cell>
          <cell r="Y521" t="str">
            <v>NFGP UPGRADE  - CONSTRUCTION, BULKS - STRUCTURAL</v>
          </cell>
          <cell r="AF521">
            <v>0</v>
          </cell>
        </row>
        <row r="522">
          <cell r="X522" t="str">
            <v>1CCCB</v>
          </cell>
          <cell r="Y522" t="str">
            <v>NFGP UPGRADE  - CONSTRUCTION, BULKS - PIPING</v>
          </cell>
          <cell r="AF522">
            <v>0</v>
          </cell>
        </row>
        <row r="523">
          <cell r="X523" t="str">
            <v>1CCCC</v>
          </cell>
          <cell r="Y523" t="str">
            <v>NFGP UPGRADE  - CONSTRUCTION, BULKS - ELECTRICAL</v>
          </cell>
          <cell r="AF523">
            <v>0</v>
          </cell>
        </row>
        <row r="524">
          <cell r="X524" t="str">
            <v>1CCCD</v>
          </cell>
          <cell r="Y524" t="str">
            <v>NFGP UPGRADE  - CONSTRUCTION, BULKS - INSTRUMENTATION</v>
          </cell>
          <cell r="AF524">
            <v>0</v>
          </cell>
        </row>
        <row r="525">
          <cell r="X525" t="str">
            <v>1CCCE</v>
          </cell>
          <cell r="Y525" t="str">
            <v>NFGP UPGRADE  - CONSTRUCTION, BULKS - PIPELINES</v>
          </cell>
          <cell r="Z525" t="str">
            <v>N/A</v>
          </cell>
          <cell r="AA525" t="str">
            <v>N/A</v>
          </cell>
          <cell r="AB525" t="str">
            <v>N/A</v>
          </cell>
          <cell r="AC525" t="str">
            <v>N/A</v>
          </cell>
          <cell r="AD525" t="str">
            <v>N/A</v>
          </cell>
          <cell r="AE525" t="str">
            <v>N/A</v>
          </cell>
          <cell r="AF525" t="str">
            <v>N/A</v>
          </cell>
        </row>
        <row r="526">
          <cell r="X526" t="str">
            <v>1CCC-</v>
          </cell>
          <cell r="Y526" t="str">
            <v xml:space="preserve">SUBTOTAL - NFGP UPGRADE  - CONSTRUCTION, BULKS </v>
          </cell>
          <cell r="Z526">
            <v>0</v>
          </cell>
          <cell r="AA526" t="str">
            <v>N/A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8">
          <cell r="X528" t="str">
            <v>1CCDA</v>
          </cell>
          <cell r="Y528" t="str">
            <v>NFGP UPGRADE  - CONSTRUCTION SPECIALTIES - BUILDINGS</v>
          </cell>
          <cell r="AF528">
            <v>0</v>
          </cell>
        </row>
        <row r="529">
          <cell r="X529" t="str">
            <v>1CCDB</v>
          </cell>
          <cell r="Y529" t="str">
            <v>NFGP UPGRADE  - CONSTRUCTION SPECIALTIES - GENERAL</v>
          </cell>
          <cell r="AF529">
            <v>0</v>
          </cell>
        </row>
        <row r="530">
          <cell r="X530" t="str">
            <v>1CCD-</v>
          </cell>
          <cell r="Y530" t="str">
            <v>SUBTOTAL - NFGP UPGRADE  - CONSTRUCTION SPECIALTIES</v>
          </cell>
          <cell r="Z530">
            <v>0</v>
          </cell>
          <cell r="AA530" t="str">
            <v>N/A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4">
          <cell r="W534" t="str">
            <v>LEVEL 2 NFGP UPGRADE PG 5</v>
          </cell>
          <cell r="X534" t="str">
            <v>WBS CODE</v>
          </cell>
          <cell r="Y534" t="str">
            <v>DESCRIPTION</v>
          </cell>
          <cell r="Z534" t="str">
            <v>QUANTITY</v>
          </cell>
          <cell r="AA534" t="str">
            <v>UNITS</v>
          </cell>
          <cell r="AB534" t="str">
            <v>TOTAL MANHOURS</v>
          </cell>
          <cell r="AC534" t="str">
            <v>TOTAL LABOR COST</v>
          </cell>
          <cell r="AD534" t="str">
            <v>TOTAL MAT'L COST</v>
          </cell>
          <cell r="AE534" t="str">
            <v>TOTAL S/C COST</v>
          </cell>
          <cell r="AF534" t="str">
            <v>TOTAL COST</v>
          </cell>
        </row>
        <row r="536">
          <cell r="X536" t="str">
            <v>1CCEA</v>
          </cell>
          <cell r="Y536" t="str">
            <v>NFGP UPGRADE  - CONSTRUCTION, OTHER DIRECT WORK - FIRE PROTECTION</v>
          </cell>
          <cell r="AF536">
            <v>0</v>
          </cell>
        </row>
        <row r="537">
          <cell r="X537" t="str">
            <v>1CCEB</v>
          </cell>
          <cell r="Y537" t="str">
            <v>NFGP UPGRADE  - CONSTRUCTION, OTHER DIRECT WORK - FIREPROOFING</v>
          </cell>
          <cell r="AF537">
            <v>0</v>
          </cell>
        </row>
        <row r="538">
          <cell r="X538" t="str">
            <v>1CCEC</v>
          </cell>
          <cell r="Y538" t="str">
            <v>NFGP UPGRADE  - CONSTRUCTION, OTHER DIRECT WORK - INSULATION</v>
          </cell>
          <cell r="AF538">
            <v>0</v>
          </cell>
        </row>
        <row r="539">
          <cell r="X539" t="str">
            <v>1CCED</v>
          </cell>
          <cell r="Y539" t="str">
            <v>NFGP UPGRADE  - CONSTRUCTION, OTHER DIRECT WORK - PAINTING</v>
          </cell>
          <cell r="AF539">
            <v>0</v>
          </cell>
        </row>
        <row r="540">
          <cell r="X540" t="str">
            <v>1CCEE</v>
          </cell>
          <cell r="Y540" t="str">
            <v>NFGP UPGRADE  - CONSTRUCTION, OTHER DIRECT WORK - SHUTDOWN</v>
          </cell>
          <cell r="AF540">
            <v>0</v>
          </cell>
        </row>
        <row r="541">
          <cell r="X541" t="str">
            <v>1CCEF</v>
          </cell>
          <cell r="Y541" t="str">
            <v>NFGP UPGRADE  - CONSTRUCTION, OTHER DIRECT WORK - PRE-COMMISSIONING</v>
          </cell>
          <cell r="AF541">
            <v>0</v>
          </cell>
        </row>
        <row r="542">
          <cell r="X542" t="str">
            <v>1CCEG</v>
          </cell>
          <cell r="Y542" t="str">
            <v>NFGP UPGRADE  - CONSTRUCTION, OTHER DIRECT WORK - ENVIRONMENTAL</v>
          </cell>
          <cell r="AF542">
            <v>0</v>
          </cell>
        </row>
        <row r="543">
          <cell r="X543" t="str">
            <v>1CCEX</v>
          </cell>
          <cell r="Y543" t="str">
            <v>NFGP UPGRADE  - CONSTRUCTION, OTHER DIRECT WORK - OTHER</v>
          </cell>
          <cell r="AF543">
            <v>0</v>
          </cell>
        </row>
        <row r="544">
          <cell r="X544" t="str">
            <v>1CCE</v>
          </cell>
          <cell r="Y544" t="str">
            <v xml:space="preserve">SUBTOTAL - NFGP UPGRADE  - CONSTRUCTION, OTHER DIRECT WORK - </v>
          </cell>
          <cell r="Z544">
            <v>0</v>
          </cell>
          <cell r="AA544" t="str">
            <v>N/A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6">
          <cell r="X546" t="str">
            <v>1CCFA</v>
          </cell>
          <cell r="Y546" t="str">
            <v>NFGP UPGRADE  - CONSTRUCTION INDIRECTS</v>
          </cell>
          <cell r="AF546">
            <v>0</v>
          </cell>
        </row>
        <row r="547">
          <cell r="X547" t="str">
            <v>1CCF</v>
          </cell>
          <cell r="Y547" t="str">
            <v>SUBTOTAL - NFGP UPGRADE  - CONSTRUCTION INDIRECTS</v>
          </cell>
          <cell r="Z547">
            <v>0</v>
          </cell>
          <cell r="AA547" t="str">
            <v>N/A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9">
          <cell r="X549" t="str">
            <v>1CDAA</v>
          </cell>
          <cell r="Y549" t="str">
            <v>NFGP UPGRADE  - COMMISSIONING - PROCESS</v>
          </cell>
          <cell r="AF549">
            <v>0</v>
          </cell>
        </row>
        <row r="550">
          <cell r="X550" t="str">
            <v>1CDAB</v>
          </cell>
          <cell r="Y550" t="str">
            <v>NFGP UPGRADE  - COMMISSIONING - UTILITIES</v>
          </cell>
          <cell r="AF550">
            <v>0</v>
          </cell>
        </row>
        <row r="551">
          <cell r="X551" t="str">
            <v>1CDA-</v>
          </cell>
          <cell r="Y551" t="str">
            <v>SUBTOTAL - NFGP UPGRADE  - COMMISSIONING</v>
          </cell>
          <cell r="Z551">
            <v>0</v>
          </cell>
          <cell r="AA551" t="str">
            <v>N/A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3">
          <cell r="X553" t="str">
            <v>1CDBA</v>
          </cell>
          <cell r="Y553" t="str">
            <v>NFGP UPGRADE  - STARTUP - PROCESS</v>
          </cell>
          <cell r="AF553">
            <v>0</v>
          </cell>
        </row>
        <row r="554">
          <cell r="X554" t="str">
            <v>1CDBB</v>
          </cell>
          <cell r="Y554" t="str">
            <v>NFGP UPGRADE  - STARTUP - UTILITIES</v>
          </cell>
          <cell r="AF554">
            <v>0</v>
          </cell>
        </row>
        <row r="555">
          <cell r="X555" t="str">
            <v>1CDB-</v>
          </cell>
          <cell r="Y555" t="str">
            <v>SUBTOTAL - NFGP UPGRADE  - STARTUP</v>
          </cell>
          <cell r="Z555">
            <v>0</v>
          </cell>
          <cell r="AA555" t="str">
            <v>N/A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7">
          <cell r="X557" t="str">
            <v>1CDCA</v>
          </cell>
          <cell r="Y557" t="str">
            <v>NFGP UPGRADE  - TRAINING</v>
          </cell>
          <cell r="AF557">
            <v>0</v>
          </cell>
        </row>
        <row r="558">
          <cell r="X558" t="str">
            <v>1CDC-</v>
          </cell>
          <cell r="Y558" t="str">
            <v>SUBTOTAL - NFGP UPGRADE  - TRAINING</v>
          </cell>
          <cell r="Z558">
            <v>0</v>
          </cell>
          <cell r="AA558" t="str">
            <v>N/A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72">
          <cell r="L572" t="str">
            <v>CYCLE &amp; LVL 1    PIPELINE</v>
          </cell>
          <cell r="M572" t="str">
            <v>WBS CODE</v>
          </cell>
          <cell r="N572" t="str">
            <v>DESCRIPTION</v>
          </cell>
          <cell r="O572" t="str">
            <v>QUANTITY</v>
          </cell>
          <cell r="P572" t="str">
            <v>UNITS</v>
          </cell>
          <cell r="Q572" t="str">
            <v>TOTAL MANHOURS</v>
          </cell>
          <cell r="R572" t="str">
            <v>TOTAL LABOR COST</v>
          </cell>
          <cell r="S572" t="str">
            <v>TOTAL MAT'L COST</v>
          </cell>
          <cell r="T572" t="str">
            <v>TOTAL S/C COST</v>
          </cell>
          <cell r="U572" t="str">
            <v>TOTAL COST</v>
          </cell>
          <cell r="W572" t="str">
            <v>LEVEL 2 PIPELINE PG.1</v>
          </cell>
          <cell r="X572" t="str">
            <v>WBS CODE</v>
          </cell>
          <cell r="Y572" t="str">
            <v>DESCRIPTION</v>
          </cell>
          <cell r="Z572" t="str">
            <v>QUANTITY</v>
          </cell>
          <cell r="AA572" t="str">
            <v>UNITS</v>
          </cell>
          <cell r="AB572" t="str">
            <v>TOTAL MANHOURS</v>
          </cell>
          <cell r="AC572" t="str">
            <v>TOTAL LABOR COST</v>
          </cell>
          <cell r="AD572" t="str">
            <v>TOTAL MAT'L COST</v>
          </cell>
          <cell r="AE572" t="str">
            <v>TOTAL S/C COST</v>
          </cell>
          <cell r="AF572" t="str">
            <v>TOTAL COST</v>
          </cell>
          <cell r="AH572" t="str">
            <v>LEVEL 3 PIPELINE PG 1</v>
          </cell>
          <cell r="AI572" t="str">
            <v>WBS CODE</v>
          </cell>
          <cell r="AJ572" t="str">
            <v>DESCRIPTION</v>
          </cell>
          <cell r="AK572" t="str">
            <v>QUANTITY</v>
          </cell>
          <cell r="AL572" t="str">
            <v>UNITS</v>
          </cell>
          <cell r="AM572" t="str">
            <v>TOTAL MANHOURS</v>
          </cell>
          <cell r="AN572" t="str">
            <v>TOTAL LABOR COST</v>
          </cell>
          <cell r="AO572" t="str">
            <v>TOTAL MAT'L COST</v>
          </cell>
          <cell r="AP572" t="str">
            <v>TOTAL S/C COST</v>
          </cell>
          <cell r="AQ572" t="str">
            <v>TOTAL COST</v>
          </cell>
        </row>
        <row r="574">
          <cell r="M574" t="str">
            <v>1DAA-</v>
          </cell>
          <cell r="N574" t="str">
            <v>PIPELINE - DIRECT ENGINEERING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X574" t="str">
            <v>1DAAA</v>
          </cell>
          <cell r="Y574" t="str">
            <v>PIPELINE - DIR. ENG.  PROCESS</v>
          </cell>
          <cell r="AF574">
            <v>0</v>
          </cell>
          <cell r="AI574" t="str">
            <v>1DAAIA</v>
          </cell>
          <cell r="AJ574" t="str">
            <v>SPECIFY PIPELINE</v>
          </cell>
          <cell r="AQ574">
            <v>0</v>
          </cell>
        </row>
        <row r="575">
          <cell r="M575" t="str">
            <v>1DAH-</v>
          </cell>
          <cell r="N575" t="str">
            <v>PIPELINE EQUIPMENT SPECIFICATION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X575" t="str">
            <v>1DAAB</v>
          </cell>
          <cell r="Y575" t="str">
            <v>PIPELINE - DIR. ENG.  PERMITS</v>
          </cell>
          <cell r="AF575">
            <v>0</v>
          </cell>
          <cell r="AI575" t="str">
            <v>1DAAIX</v>
          </cell>
          <cell r="AJ575" t="str">
            <v>DIRECT ENG. -  OTHER PIPELINES</v>
          </cell>
          <cell r="AQ575">
            <v>0</v>
          </cell>
        </row>
        <row r="576">
          <cell r="M576" t="str">
            <v>1DAI-</v>
          </cell>
          <cell r="N576" t="str">
            <v>PIPELINE - ENGINEERING PROCUREMENT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X576" t="str">
            <v>1DAAC</v>
          </cell>
          <cell r="Y576" t="str">
            <v>PIPELINE - DIR. ENG.  CIVIL/STRUCTURAL</v>
          </cell>
          <cell r="AF576">
            <v>0</v>
          </cell>
          <cell r="AI576" t="str">
            <v>1DAAI-</v>
          </cell>
          <cell r="AJ576" t="str">
            <v>SUBTOTAL - DIRECT ENGINEERING - PIPELINES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</row>
        <row r="577">
          <cell r="M577" t="str">
            <v>1DAJ-</v>
          </cell>
          <cell r="N577" t="str">
            <v>PIPELINE - INDIRECT ENGINEERING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X577" t="str">
            <v>1DAAD</v>
          </cell>
          <cell r="Y577" t="str">
            <v>PIPELINE - DIR. ENG.  MECHANICAL</v>
          </cell>
          <cell r="AF577">
            <v>0</v>
          </cell>
        </row>
        <row r="578">
          <cell r="M578" t="str">
            <v>1DA--</v>
          </cell>
          <cell r="N578" t="str">
            <v>SUBTOTAL PIPELINE - ENGINEERING/PROCUREMENT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X578" t="str">
            <v>1DAAE</v>
          </cell>
          <cell r="Y578" t="str">
            <v>PIPELINE - DIR. ENG.  PIPING</v>
          </cell>
          <cell r="AF578">
            <v>0</v>
          </cell>
          <cell r="AI578" t="str">
            <v>1DBAXA</v>
          </cell>
          <cell r="AJ578" t="str">
            <v>PIG LAUNCHING AND RECEIVING PACKAGES</v>
          </cell>
          <cell r="AQ578">
            <v>0</v>
          </cell>
        </row>
        <row r="579">
          <cell r="X579" t="str">
            <v>1DAAF</v>
          </cell>
          <cell r="Y579" t="str">
            <v>PIPELINE - DIR. ENG.  ELECTRICAL</v>
          </cell>
          <cell r="AF579">
            <v>0</v>
          </cell>
          <cell r="AI579" t="str">
            <v>1DBAXB</v>
          </cell>
          <cell r="AJ579" t="str">
            <v>LINE BREAK VALVES</v>
          </cell>
          <cell r="AQ579">
            <v>0</v>
          </cell>
        </row>
        <row r="580">
          <cell r="M580" t="str">
            <v>1DBA-</v>
          </cell>
          <cell r="N580" t="str">
            <v>PIPELINE - FAB/DELIVERY - MAJOR EQUIPMENT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X580" t="str">
            <v>1DAAG</v>
          </cell>
          <cell r="Y580" t="str">
            <v>PIPELINE - DIR. ENG.  INSTRUMENTATION</v>
          </cell>
          <cell r="AF580">
            <v>0</v>
          </cell>
          <cell r="AI580" t="str">
            <v>1DBAXC</v>
          </cell>
          <cell r="AJ580" t="str">
            <v>CHEMICAL INJECTION SYSTEM ICL. CHEM TRANSFER PUMP</v>
          </cell>
          <cell r="AQ580">
            <v>0</v>
          </cell>
        </row>
        <row r="581">
          <cell r="M581" t="str">
            <v>1DBB-</v>
          </cell>
          <cell r="N581" t="str">
            <v>PIPELINE - FAB/DELIVERY - BULKS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X581" t="str">
            <v>1DAAH</v>
          </cell>
          <cell r="Y581" t="str">
            <v>PIPELINE - DIR. ENG.  ARCHITECTURAL</v>
          </cell>
          <cell r="AF581">
            <v>0</v>
          </cell>
          <cell r="AI581" t="str">
            <v>1DBAXD</v>
          </cell>
          <cell r="AJ581" t="str">
            <v>CORROSION MONITORING SYSTEM</v>
          </cell>
          <cell r="AQ581">
            <v>0</v>
          </cell>
        </row>
        <row r="582">
          <cell r="M582" t="str">
            <v>1DBC-</v>
          </cell>
          <cell r="N582" t="str">
            <v>PIPELINE - FAB/DELIVERY - ENGINEERING SPECIALTIES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X582" t="str">
            <v>1DAAI</v>
          </cell>
          <cell r="Y582" t="str">
            <v>PIPELINE - DIR. ENG.  PIPELINES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I582" t="str">
            <v>1DBAXE</v>
          </cell>
          <cell r="AJ582" t="str">
            <v>CATHODIC PROTECTION  SYSTEM</v>
          </cell>
          <cell r="AQ582">
            <v>0</v>
          </cell>
        </row>
        <row r="583">
          <cell r="M583" t="str">
            <v>1DB--</v>
          </cell>
          <cell r="N583" t="str">
            <v>SUBTOTAL PIPELINE - FABRICATION/DELIVERY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X583" t="str">
            <v>1DAA-</v>
          </cell>
          <cell r="Y583" t="str">
            <v>SUBTOTAL - PIPELINE - DIRECT ENGINEERING</v>
          </cell>
          <cell r="Z583">
            <v>0</v>
          </cell>
          <cell r="AA583" t="str">
            <v>N/A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I583" t="str">
            <v>1DBAXX</v>
          </cell>
          <cell r="AJ583" t="str">
            <v>OTHER EQUIPMENT -  OTHER</v>
          </cell>
          <cell r="AQ583">
            <v>0</v>
          </cell>
        </row>
        <row r="584">
          <cell r="AI584" t="str">
            <v>1DBAX-</v>
          </cell>
          <cell r="AJ584" t="str">
            <v>SUBTOTAL OTHER EQUIPMENT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</row>
        <row r="585">
          <cell r="M585" t="str">
            <v>1DCA-</v>
          </cell>
          <cell r="N585" t="str">
            <v>PIPELINE - CONSTRUCTION - CIVIL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X585" t="str">
            <v>1DAHA</v>
          </cell>
          <cell r="Y585" t="str">
            <v>PIPELINE - EQUIP. SPECS - PRESSURE VESSELS</v>
          </cell>
          <cell r="Z585" t="str">
            <v>N/A</v>
          </cell>
          <cell r="AA585" t="str">
            <v>N/A</v>
          </cell>
          <cell r="AB585" t="str">
            <v>N/A</v>
          </cell>
          <cell r="AC585" t="str">
            <v>N/A</v>
          </cell>
          <cell r="AD585" t="str">
            <v>N/A</v>
          </cell>
          <cell r="AE585" t="str">
            <v>N/A</v>
          </cell>
          <cell r="AF585" t="str">
            <v>N/A</v>
          </cell>
        </row>
        <row r="586">
          <cell r="M586" t="str">
            <v>1DCB-</v>
          </cell>
          <cell r="N586" t="str">
            <v>PIPELINE - CONSTRUCTION - MAJOR EQUIPMENT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X586" t="str">
            <v>1DAHB</v>
          </cell>
          <cell r="Y586" t="str">
            <v>PIPELINE - EQUIP. SPECS - COLUMNS</v>
          </cell>
          <cell r="Z586" t="str">
            <v>N/A</v>
          </cell>
          <cell r="AA586" t="str">
            <v>N/A</v>
          </cell>
          <cell r="AB586" t="str">
            <v>N/A</v>
          </cell>
          <cell r="AC586" t="str">
            <v>N/A</v>
          </cell>
          <cell r="AD586" t="str">
            <v>N/A</v>
          </cell>
          <cell r="AE586" t="str">
            <v>N/A</v>
          </cell>
          <cell r="AF586" t="str">
            <v>N/A</v>
          </cell>
          <cell r="AI586" t="str">
            <v>1DBBFA</v>
          </cell>
          <cell r="AJ586" t="str">
            <v>FAB/DELIVERY BULKS - PIPELINE - SPECIFY</v>
          </cell>
          <cell r="AQ586">
            <v>0</v>
          </cell>
        </row>
        <row r="587">
          <cell r="M587" t="str">
            <v>1DCC-</v>
          </cell>
          <cell r="N587" t="str">
            <v>PIPELINE - CONSTRUCTION - BULKS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X587" t="str">
            <v>1DAHC</v>
          </cell>
          <cell r="Y587" t="str">
            <v>PIPELINE - EQUIP. SPECS - REACTORS</v>
          </cell>
          <cell r="Z587" t="str">
            <v>N/A</v>
          </cell>
          <cell r="AA587" t="str">
            <v>N/A</v>
          </cell>
          <cell r="AB587" t="str">
            <v>N/A</v>
          </cell>
          <cell r="AC587" t="str">
            <v>N/A</v>
          </cell>
          <cell r="AD587" t="str">
            <v>N/A</v>
          </cell>
          <cell r="AE587" t="str">
            <v>N/A</v>
          </cell>
          <cell r="AF587" t="str">
            <v>N/A</v>
          </cell>
          <cell r="AI587" t="str">
            <v>1DBBFX</v>
          </cell>
          <cell r="AJ587" t="str">
            <v>FAB/DELIVERY BULKS -  OTHER PIPELINES</v>
          </cell>
          <cell r="AQ587">
            <v>0</v>
          </cell>
        </row>
        <row r="588">
          <cell r="M588" t="str">
            <v>1DCD-</v>
          </cell>
          <cell r="N588" t="str">
            <v>PIPELINE - CONSTRUCTION - CONSTRUCTION SPECIALTIES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X588" t="str">
            <v>1DAHD</v>
          </cell>
          <cell r="Y588" t="str">
            <v>PIPELINE - EQUIP. SPECS - FIELD ERECTED TANKS</v>
          </cell>
          <cell r="Z588" t="str">
            <v>N/A</v>
          </cell>
          <cell r="AA588" t="str">
            <v>N/A</v>
          </cell>
          <cell r="AB588" t="str">
            <v>N/A</v>
          </cell>
          <cell r="AC588" t="str">
            <v>N/A</v>
          </cell>
          <cell r="AD588" t="str">
            <v>N/A</v>
          </cell>
          <cell r="AE588" t="str">
            <v>N/A</v>
          </cell>
          <cell r="AF588" t="str">
            <v>N/A</v>
          </cell>
          <cell r="AI588" t="str">
            <v>1DBBF-</v>
          </cell>
          <cell r="AJ588" t="str">
            <v>SUBTOTAL - FAB/DELIVERY BULKS -PIPELINES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</row>
        <row r="589">
          <cell r="M589" t="str">
            <v>1DCE-</v>
          </cell>
          <cell r="N589" t="str">
            <v>PIPELINE - CONSTRUCTION - OTHER DIRECT WORK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X589" t="str">
            <v>1DAHE</v>
          </cell>
          <cell r="Y589" t="str">
            <v>PIPELINE - EQUIP. SPECS - PUMPS</v>
          </cell>
          <cell r="Z589" t="str">
            <v>N/A</v>
          </cell>
          <cell r="AA589" t="str">
            <v>N/A</v>
          </cell>
          <cell r="AB589" t="str">
            <v>N/A</v>
          </cell>
          <cell r="AC589" t="str">
            <v>N/A</v>
          </cell>
          <cell r="AD589" t="str">
            <v>N/A</v>
          </cell>
          <cell r="AE589" t="str">
            <v>N/A</v>
          </cell>
          <cell r="AF589" t="str">
            <v>N/A</v>
          </cell>
        </row>
        <row r="590">
          <cell r="M590" t="str">
            <v>1DCF-</v>
          </cell>
          <cell r="N590" t="str">
            <v>PIPELINE - CONSTRUCTION - INDIRECTS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X590" t="str">
            <v>1DAHF</v>
          </cell>
          <cell r="Y590" t="str">
            <v>PIPELINE - EQUIP. SPECS - HEAT EXCHANGERS - S &amp; T</v>
          </cell>
          <cell r="Z590" t="str">
            <v>N/A</v>
          </cell>
          <cell r="AA590" t="str">
            <v>N/A</v>
          </cell>
          <cell r="AB590" t="str">
            <v>N/A</v>
          </cell>
          <cell r="AC590" t="str">
            <v>N/A</v>
          </cell>
          <cell r="AD590" t="str">
            <v>N/A</v>
          </cell>
          <cell r="AE590" t="str">
            <v>N/A</v>
          </cell>
          <cell r="AF590" t="str">
            <v>N/A</v>
          </cell>
          <cell r="AI590" t="str">
            <v>1DCAAA</v>
          </cell>
          <cell r="AJ590" t="str">
            <v>CONSTRUCTION, CIVIL - SITE WORK - SITE PREP</v>
          </cell>
          <cell r="AQ590">
            <v>0</v>
          </cell>
        </row>
        <row r="591">
          <cell r="M591" t="str">
            <v>1DC--</v>
          </cell>
          <cell r="N591" t="str">
            <v>SUBTOTAL PIPELINE - CONSTRUCTION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X591" t="str">
            <v>1DAHG</v>
          </cell>
          <cell r="Y591" t="str">
            <v>PIPELINE - EQUIP. SPECS - HEAT EXCHANGERS - FINNED</v>
          </cell>
          <cell r="Z591" t="str">
            <v>N/A</v>
          </cell>
          <cell r="AA591" t="str">
            <v>N/A</v>
          </cell>
          <cell r="AB591" t="str">
            <v>N/A</v>
          </cell>
          <cell r="AC591" t="str">
            <v>N/A</v>
          </cell>
          <cell r="AD591" t="str">
            <v>N/A</v>
          </cell>
          <cell r="AE591" t="str">
            <v>N/A</v>
          </cell>
          <cell r="AF591" t="str">
            <v>N/A</v>
          </cell>
          <cell r="AI591" t="str">
            <v>1DCAAB</v>
          </cell>
          <cell r="AJ591" t="str">
            <v>CONSTRUCTION, CIVIL - SITE WORK - SURVEYS</v>
          </cell>
          <cell r="AQ591">
            <v>0</v>
          </cell>
        </row>
        <row r="592">
          <cell r="X592" t="str">
            <v>1DAHH</v>
          </cell>
          <cell r="Y592" t="str">
            <v>PIPELINE - EQUIP. SPECS - EXTRUDERS</v>
          </cell>
          <cell r="Z592" t="str">
            <v>N/A</v>
          </cell>
          <cell r="AA592" t="str">
            <v>N/A</v>
          </cell>
          <cell r="AB592" t="str">
            <v>N/A</v>
          </cell>
          <cell r="AC592" t="str">
            <v>N/A</v>
          </cell>
          <cell r="AD592" t="str">
            <v>N/A</v>
          </cell>
          <cell r="AE592" t="str">
            <v>N/A</v>
          </cell>
          <cell r="AF592" t="str">
            <v>N/A</v>
          </cell>
          <cell r="AI592" t="str">
            <v>1DCAAC</v>
          </cell>
          <cell r="AJ592" t="str">
            <v>CONSTRUCTION, CIVIL - SITE WORK - ROADS</v>
          </cell>
          <cell r="AQ592">
            <v>0</v>
          </cell>
        </row>
        <row r="593">
          <cell r="M593" t="str">
            <v>1DDA-</v>
          </cell>
          <cell r="N593" t="str">
            <v>PIPELINE - COMMISSIONING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X593" t="str">
            <v>1DAHI</v>
          </cell>
          <cell r="Y593" t="str">
            <v>PIPELINE - EQUIP. SPECS - COMPRESSORS</v>
          </cell>
          <cell r="Z593" t="str">
            <v>N/A</v>
          </cell>
          <cell r="AA593" t="str">
            <v>N/A</v>
          </cell>
          <cell r="AB593" t="str">
            <v>N/A</v>
          </cell>
          <cell r="AC593" t="str">
            <v>N/A</v>
          </cell>
          <cell r="AD593" t="str">
            <v>N/A</v>
          </cell>
          <cell r="AE593" t="str">
            <v>N/A</v>
          </cell>
          <cell r="AF593" t="str">
            <v>N/A</v>
          </cell>
          <cell r="AI593" t="str">
            <v>1DCAAD</v>
          </cell>
          <cell r="AJ593" t="str">
            <v>CONSTRUCTION, CIVIL - SITE WORK - AREA PAVING</v>
          </cell>
          <cell r="AQ593">
            <v>0</v>
          </cell>
        </row>
        <row r="594">
          <cell r="M594" t="str">
            <v>1DDB-</v>
          </cell>
          <cell r="N594" t="str">
            <v>PIPELINE -STARTUP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X594" t="str">
            <v>1DAHJ</v>
          </cell>
          <cell r="Y594" t="str">
            <v>PIPELINE - EQUIP. SPECS - GENERATORS</v>
          </cell>
          <cell r="Z594" t="str">
            <v>N/A</v>
          </cell>
          <cell r="AA594" t="str">
            <v>N/A</v>
          </cell>
          <cell r="AB594" t="str">
            <v>N/A</v>
          </cell>
          <cell r="AC594" t="str">
            <v>N/A</v>
          </cell>
          <cell r="AD594" t="str">
            <v>N/A</v>
          </cell>
          <cell r="AE594" t="str">
            <v>N/A</v>
          </cell>
          <cell r="AF594" t="str">
            <v>N/A</v>
          </cell>
          <cell r="AI594" t="str">
            <v>1DCAAE</v>
          </cell>
          <cell r="AJ594" t="str">
            <v>CONSTRUCTION, CIVIL - SITE WORK - PONDS</v>
          </cell>
          <cell r="AQ594">
            <v>0</v>
          </cell>
        </row>
        <row r="595">
          <cell r="M595" t="str">
            <v>1DDC-</v>
          </cell>
          <cell r="N595" t="str">
            <v>PIPELINE -TRAINING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X595" t="str">
            <v>1DAHK</v>
          </cell>
          <cell r="Y595" t="str">
            <v>PIPELINE - EQUIP. SPECS - MOTORS &amp; DRIVERS</v>
          </cell>
          <cell r="Z595" t="str">
            <v>N/A</v>
          </cell>
          <cell r="AA595" t="str">
            <v>N/A</v>
          </cell>
          <cell r="AB595" t="str">
            <v>N/A</v>
          </cell>
          <cell r="AC595" t="str">
            <v>N/A</v>
          </cell>
          <cell r="AD595" t="str">
            <v>N/A</v>
          </cell>
          <cell r="AE595" t="str">
            <v>N/A</v>
          </cell>
          <cell r="AF595" t="str">
            <v>N/A</v>
          </cell>
          <cell r="AI595" t="str">
            <v>1DCAAF</v>
          </cell>
          <cell r="AJ595" t="str">
            <v>CONSTRUCTION, CIVIL - SITE WORK - FENCE</v>
          </cell>
          <cell r="AQ595">
            <v>0</v>
          </cell>
        </row>
        <row r="596">
          <cell r="M596" t="str">
            <v>1DD--</v>
          </cell>
          <cell r="N596" t="str">
            <v>SUBTOTAL PIPELINE - COMMISSIONING, STARTUP &amp; TRAINING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X596" t="str">
            <v>1DAHL</v>
          </cell>
          <cell r="Y596" t="str">
            <v>PIPELINE - EQUIP. SPECS - FIRED EQUIPMENT</v>
          </cell>
          <cell r="Z596" t="str">
            <v>N/A</v>
          </cell>
          <cell r="AA596" t="str">
            <v>N/A</v>
          </cell>
          <cell r="AB596" t="str">
            <v>N/A</v>
          </cell>
          <cell r="AC596" t="str">
            <v>N/A</v>
          </cell>
          <cell r="AD596" t="str">
            <v>N/A</v>
          </cell>
          <cell r="AE596" t="str">
            <v>N/A</v>
          </cell>
          <cell r="AF596" t="str">
            <v>N/A</v>
          </cell>
          <cell r="AI596" t="str">
            <v>1DCAAG</v>
          </cell>
          <cell r="AJ596" t="str">
            <v>CONSTRUCTION, CIVIL - SITE WORK - GUARDS</v>
          </cell>
          <cell r="AQ596">
            <v>0</v>
          </cell>
        </row>
        <row r="597">
          <cell r="X597" t="str">
            <v>1DAHM</v>
          </cell>
          <cell r="Y597" t="str">
            <v>PIPELINE - EQUIP. SPECS - BLOWERS, FANS</v>
          </cell>
          <cell r="Z597" t="str">
            <v>N/A</v>
          </cell>
          <cell r="AA597" t="str">
            <v>N/A</v>
          </cell>
          <cell r="AB597" t="str">
            <v>N/A</v>
          </cell>
          <cell r="AC597" t="str">
            <v>N/A</v>
          </cell>
          <cell r="AD597" t="str">
            <v>N/A</v>
          </cell>
          <cell r="AE597" t="str">
            <v>N/A</v>
          </cell>
          <cell r="AF597" t="str">
            <v>N/A</v>
          </cell>
          <cell r="AI597" t="str">
            <v>1DCAAH</v>
          </cell>
          <cell r="AJ597" t="str">
            <v>CONSTRUCTION, CIVIL - SITE WORK - LANDSCAPING</v>
          </cell>
          <cell r="AQ597">
            <v>0</v>
          </cell>
        </row>
        <row r="598">
          <cell r="X598" t="str">
            <v>1DAHN</v>
          </cell>
          <cell r="Y598" t="str">
            <v>PIPELINE - EQUIP. SPECS - FILTERS</v>
          </cell>
          <cell r="Z598" t="str">
            <v>N/A</v>
          </cell>
          <cell r="AA598" t="str">
            <v>N/A</v>
          </cell>
          <cell r="AB598" t="str">
            <v>N/A</v>
          </cell>
          <cell r="AC598" t="str">
            <v>N/A</v>
          </cell>
          <cell r="AD598" t="str">
            <v>N/A</v>
          </cell>
          <cell r="AE598" t="str">
            <v>N/A</v>
          </cell>
          <cell r="AF598" t="str">
            <v>N/A</v>
          </cell>
          <cell r="AI598" t="str">
            <v>1DCAAX</v>
          </cell>
          <cell r="AJ598" t="str">
            <v>CONSTRUCTION, CIVIL - SITE WORK - OTHER</v>
          </cell>
          <cell r="AQ598">
            <v>0</v>
          </cell>
        </row>
        <row r="599">
          <cell r="X599" t="str">
            <v>1DAHO</v>
          </cell>
          <cell r="Y599" t="str">
            <v>PIPELINE - EQUIP. SPECS - FLARES</v>
          </cell>
          <cell r="Z599" t="str">
            <v>N/A</v>
          </cell>
          <cell r="AA599" t="str">
            <v>N/A</v>
          </cell>
          <cell r="AB599" t="str">
            <v>N/A</v>
          </cell>
          <cell r="AC599" t="str">
            <v>N/A</v>
          </cell>
          <cell r="AD599" t="str">
            <v>N/A</v>
          </cell>
          <cell r="AE599" t="str">
            <v>N/A</v>
          </cell>
          <cell r="AF599" t="str">
            <v>N/A</v>
          </cell>
          <cell r="AI599" t="str">
            <v>1DCAA-</v>
          </cell>
          <cell r="AJ599" t="str">
            <v>SUBTOTAL - CONSTRUCTION, CIVIL - SITE WORK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X600" t="str">
            <v>1DAHP</v>
          </cell>
          <cell r="Y600" t="str">
            <v>PIPELINE - EQUIP. SPECS - SOLIDS HANDLING EQUIPMENT</v>
          </cell>
          <cell r="Z600" t="str">
            <v>N/A</v>
          </cell>
          <cell r="AA600" t="str">
            <v>N/A</v>
          </cell>
          <cell r="AB600" t="str">
            <v>N/A</v>
          </cell>
          <cell r="AC600" t="str">
            <v>N/A</v>
          </cell>
          <cell r="AD600" t="str">
            <v>N/A</v>
          </cell>
          <cell r="AE600" t="str">
            <v>N/A</v>
          </cell>
          <cell r="AF600" t="str">
            <v>N/A</v>
          </cell>
        </row>
        <row r="601">
          <cell r="X601" t="str">
            <v>1DAHQ</v>
          </cell>
          <cell r="Y601" t="str">
            <v>PIPELINE - EQUIP. SPECS - PACKAGED EQUIPMENT</v>
          </cell>
          <cell r="Z601" t="str">
            <v>N/A</v>
          </cell>
          <cell r="AA601" t="str">
            <v>N/A</v>
          </cell>
          <cell r="AB601" t="str">
            <v>N/A</v>
          </cell>
          <cell r="AC601" t="str">
            <v>N/A</v>
          </cell>
          <cell r="AD601" t="str">
            <v>N/A</v>
          </cell>
          <cell r="AE601" t="str">
            <v>N/A</v>
          </cell>
          <cell r="AF601" t="str">
            <v>N/A</v>
          </cell>
          <cell r="AI601" t="str">
            <v>1DCCEA</v>
          </cell>
          <cell r="AJ601" t="str">
            <v>CONSTRUCTION BULKS - PIPELINE SPECIFY</v>
          </cell>
          <cell r="AQ601">
            <v>0</v>
          </cell>
        </row>
        <row r="602">
          <cell r="X602" t="str">
            <v>1DAHX</v>
          </cell>
          <cell r="Y602" t="str">
            <v>PIPELINE - EQUIP. SPECS - OTHERS</v>
          </cell>
          <cell r="Z602" t="str">
            <v>N/A</v>
          </cell>
          <cell r="AA602" t="str">
            <v>N/A</v>
          </cell>
          <cell r="AB602" t="str">
            <v>N/A</v>
          </cell>
          <cell r="AC602" t="str">
            <v>N/A</v>
          </cell>
          <cell r="AD602" t="str">
            <v>N/A</v>
          </cell>
          <cell r="AE602" t="str">
            <v>N/A</v>
          </cell>
          <cell r="AF602" t="str">
            <v>N/A</v>
          </cell>
          <cell r="AI602" t="str">
            <v>1DCCEX</v>
          </cell>
          <cell r="AJ602" t="str">
            <v>CONSTRUCTION BULKS -  OTHER PIPELINES</v>
          </cell>
          <cell r="AQ602">
            <v>0</v>
          </cell>
        </row>
        <row r="603">
          <cell r="X603" t="str">
            <v>1DAH-</v>
          </cell>
          <cell r="Y603" t="str">
            <v xml:space="preserve">SUBTOTAL - PIPELINE - EQUIP. SPECS </v>
          </cell>
          <cell r="Z603">
            <v>0</v>
          </cell>
          <cell r="AA603" t="str">
            <v>N/A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I603" t="str">
            <v>1DCCE-</v>
          </cell>
          <cell r="AJ603" t="str">
            <v>SUBTOTAL - CONSTRUCTION BULKS -PIPELINES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</row>
        <row r="610">
          <cell r="W610" t="str">
            <v>LEVEL 2 PIPELINE PG.2</v>
          </cell>
          <cell r="X610" t="str">
            <v>WBS CODE</v>
          </cell>
          <cell r="Y610" t="str">
            <v>DESCRIPTION</v>
          </cell>
          <cell r="Z610" t="str">
            <v>QUANTITY</v>
          </cell>
          <cell r="AA610" t="str">
            <v>UNITS</v>
          </cell>
          <cell r="AB610" t="str">
            <v>TOTAL MANHOURS</v>
          </cell>
          <cell r="AC610" t="str">
            <v>TOTAL LABOR COST</v>
          </cell>
          <cell r="AD610" t="str">
            <v>TOTAL MAT'L COST</v>
          </cell>
          <cell r="AE610" t="str">
            <v>TOTAL S/C COST</v>
          </cell>
          <cell r="AF610" t="str">
            <v>TOTAL COST</v>
          </cell>
        </row>
        <row r="612">
          <cell r="X612" t="str">
            <v>1DAIA</v>
          </cell>
          <cell r="Y612" t="str">
            <v>PIPELINE - PROCUREMENT PRESSURE VESSELS</v>
          </cell>
          <cell r="Z612" t="str">
            <v>N/A</v>
          </cell>
          <cell r="AA612" t="str">
            <v>N/A</v>
          </cell>
          <cell r="AB612" t="str">
            <v>N/A</v>
          </cell>
          <cell r="AC612" t="str">
            <v>N/A</v>
          </cell>
          <cell r="AD612" t="str">
            <v>N/A</v>
          </cell>
          <cell r="AE612" t="str">
            <v>N/A</v>
          </cell>
          <cell r="AF612" t="str">
            <v>N/A</v>
          </cell>
        </row>
        <row r="613">
          <cell r="X613" t="str">
            <v>1DAIB</v>
          </cell>
          <cell r="Y613" t="str">
            <v>PIPELINE - PROCUREMENT   COLUMNS</v>
          </cell>
          <cell r="Z613" t="str">
            <v>N/A</v>
          </cell>
          <cell r="AA613" t="str">
            <v>N/A</v>
          </cell>
          <cell r="AB613" t="str">
            <v>N/A</v>
          </cell>
          <cell r="AC613" t="str">
            <v>N/A</v>
          </cell>
          <cell r="AD613" t="str">
            <v>N/A</v>
          </cell>
          <cell r="AE613" t="str">
            <v>N/A</v>
          </cell>
          <cell r="AF613" t="str">
            <v>N/A</v>
          </cell>
        </row>
        <row r="614">
          <cell r="X614" t="str">
            <v>1DAIC</v>
          </cell>
          <cell r="Y614" t="str">
            <v>PIPELINE - PROCUREMENT   REACTORS</v>
          </cell>
          <cell r="Z614" t="str">
            <v>N/A</v>
          </cell>
          <cell r="AA614" t="str">
            <v>N/A</v>
          </cell>
          <cell r="AB614" t="str">
            <v>N/A</v>
          </cell>
          <cell r="AC614" t="str">
            <v>N/A</v>
          </cell>
          <cell r="AD614" t="str">
            <v>N/A</v>
          </cell>
          <cell r="AE614" t="str">
            <v>N/A</v>
          </cell>
          <cell r="AF614" t="str">
            <v>N/A</v>
          </cell>
        </row>
        <row r="615">
          <cell r="X615" t="str">
            <v>1DAID</v>
          </cell>
          <cell r="Y615" t="str">
            <v>PIPELINE - PROCUREMENT   FIELD ERECTED TANKS</v>
          </cell>
          <cell r="Z615" t="str">
            <v>N/A</v>
          </cell>
          <cell r="AA615" t="str">
            <v>N/A</v>
          </cell>
          <cell r="AB615" t="str">
            <v>N/A</v>
          </cell>
          <cell r="AC615" t="str">
            <v>N/A</v>
          </cell>
          <cell r="AD615" t="str">
            <v>N/A</v>
          </cell>
          <cell r="AE615" t="str">
            <v>N/A</v>
          </cell>
          <cell r="AF615" t="str">
            <v>N/A</v>
          </cell>
        </row>
        <row r="616">
          <cell r="X616" t="str">
            <v>1DAIE</v>
          </cell>
          <cell r="Y616" t="str">
            <v>PIPELINE - PROCUREMENT   PUMPS</v>
          </cell>
          <cell r="Z616" t="str">
            <v>N/A</v>
          </cell>
          <cell r="AA616" t="str">
            <v>N/A</v>
          </cell>
          <cell r="AB616" t="str">
            <v>N/A</v>
          </cell>
          <cell r="AC616" t="str">
            <v>N/A</v>
          </cell>
          <cell r="AD616" t="str">
            <v>N/A</v>
          </cell>
          <cell r="AE616" t="str">
            <v>N/A</v>
          </cell>
          <cell r="AF616" t="str">
            <v>N/A</v>
          </cell>
        </row>
        <row r="617">
          <cell r="X617" t="str">
            <v>1DAIF</v>
          </cell>
          <cell r="Y617" t="str">
            <v>PIPELINE - PROCUREMENT   HEAT EXCHANGERS - S &amp; T</v>
          </cell>
          <cell r="Z617" t="str">
            <v>N/A</v>
          </cell>
          <cell r="AA617" t="str">
            <v>N/A</v>
          </cell>
          <cell r="AB617" t="str">
            <v>N/A</v>
          </cell>
          <cell r="AC617" t="str">
            <v>N/A</v>
          </cell>
          <cell r="AD617" t="str">
            <v>N/A</v>
          </cell>
          <cell r="AE617" t="str">
            <v>N/A</v>
          </cell>
          <cell r="AF617" t="str">
            <v>N/A</v>
          </cell>
        </row>
        <row r="618">
          <cell r="X618" t="str">
            <v>1DAIG</v>
          </cell>
          <cell r="Y618" t="str">
            <v>PIPELINE - PROCUREMENT   HEAT EXCHANGERS - FINNED</v>
          </cell>
          <cell r="Z618" t="str">
            <v>N/A</v>
          </cell>
          <cell r="AA618" t="str">
            <v>N/A</v>
          </cell>
          <cell r="AB618" t="str">
            <v>N/A</v>
          </cell>
          <cell r="AC618" t="str">
            <v>N/A</v>
          </cell>
          <cell r="AD618" t="str">
            <v>N/A</v>
          </cell>
          <cell r="AE618" t="str">
            <v>N/A</v>
          </cell>
          <cell r="AF618" t="str">
            <v>N/A</v>
          </cell>
        </row>
        <row r="619">
          <cell r="X619" t="str">
            <v>1DAIH</v>
          </cell>
          <cell r="Y619" t="str">
            <v>PIPELINE - PROCUREMENT   EXTRUDERS</v>
          </cell>
          <cell r="Z619" t="str">
            <v>N/A</v>
          </cell>
          <cell r="AA619" t="str">
            <v>N/A</v>
          </cell>
          <cell r="AB619" t="str">
            <v>N/A</v>
          </cell>
          <cell r="AC619" t="str">
            <v>N/A</v>
          </cell>
          <cell r="AD619" t="str">
            <v>N/A</v>
          </cell>
          <cell r="AE619" t="str">
            <v>N/A</v>
          </cell>
          <cell r="AF619" t="str">
            <v>N/A</v>
          </cell>
        </row>
        <row r="620">
          <cell r="X620" t="str">
            <v>1DAII</v>
          </cell>
          <cell r="Y620" t="str">
            <v>PIPELINE - PROCUREMENT   COMPRESSORS</v>
          </cell>
          <cell r="Z620" t="str">
            <v>N/A</v>
          </cell>
          <cell r="AA620" t="str">
            <v>N/A</v>
          </cell>
          <cell r="AB620" t="str">
            <v>N/A</v>
          </cell>
          <cell r="AC620" t="str">
            <v>N/A</v>
          </cell>
          <cell r="AD620" t="str">
            <v>N/A</v>
          </cell>
          <cell r="AE620" t="str">
            <v>N/A</v>
          </cell>
          <cell r="AF620" t="str">
            <v>N/A</v>
          </cell>
        </row>
        <row r="621">
          <cell r="X621" t="str">
            <v>1DAIJ</v>
          </cell>
          <cell r="Y621" t="str">
            <v>PIPELINE - PROCUREMENT   GENERATORS</v>
          </cell>
          <cell r="Z621" t="str">
            <v>N/A</v>
          </cell>
          <cell r="AA621" t="str">
            <v>N/A</v>
          </cell>
          <cell r="AB621" t="str">
            <v>N/A</v>
          </cell>
          <cell r="AC621" t="str">
            <v>N/A</v>
          </cell>
          <cell r="AD621" t="str">
            <v>N/A</v>
          </cell>
          <cell r="AE621" t="str">
            <v>N/A</v>
          </cell>
          <cell r="AF621" t="str">
            <v>N/A</v>
          </cell>
        </row>
        <row r="622">
          <cell r="X622" t="str">
            <v>1DAIK</v>
          </cell>
          <cell r="Y622" t="str">
            <v>PIPELINE - PROCUREMENT   MOTORS &amp; DRIVERS</v>
          </cell>
          <cell r="Z622" t="str">
            <v>N/A</v>
          </cell>
          <cell r="AA622" t="str">
            <v>N/A</v>
          </cell>
          <cell r="AB622" t="str">
            <v>N/A</v>
          </cell>
          <cell r="AC622" t="str">
            <v>N/A</v>
          </cell>
          <cell r="AD622" t="str">
            <v>N/A</v>
          </cell>
          <cell r="AE622" t="str">
            <v>N/A</v>
          </cell>
          <cell r="AF622" t="str">
            <v>N/A</v>
          </cell>
        </row>
        <row r="623">
          <cell r="X623" t="str">
            <v>1DAIL</v>
          </cell>
          <cell r="Y623" t="str">
            <v>PIPELINE - PROCUREMENT   FIRED EQUIPMENT</v>
          </cell>
          <cell r="Z623" t="str">
            <v>N/A</v>
          </cell>
          <cell r="AA623" t="str">
            <v>N/A</v>
          </cell>
          <cell r="AB623" t="str">
            <v>N/A</v>
          </cell>
          <cell r="AC623" t="str">
            <v>N/A</v>
          </cell>
          <cell r="AD623" t="str">
            <v>N/A</v>
          </cell>
          <cell r="AE623" t="str">
            <v>N/A</v>
          </cell>
          <cell r="AF623" t="str">
            <v>N/A</v>
          </cell>
        </row>
        <row r="624">
          <cell r="X624" t="str">
            <v>1DAIM</v>
          </cell>
          <cell r="Y624" t="str">
            <v>PIPELINE - PROCUREMENT   BLOWERS &amp; FANS</v>
          </cell>
          <cell r="Z624" t="str">
            <v>N/A</v>
          </cell>
          <cell r="AA624" t="str">
            <v>N/A</v>
          </cell>
          <cell r="AB624" t="str">
            <v>N/A</v>
          </cell>
          <cell r="AC624" t="str">
            <v>N/A</v>
          </cell>
          <cell r="AD624" t="str">
            <v>N/A</v>
          </cell>
          <cell r="AE624" t="str">
            <v>N/A</v>
          </cell>
          <cell r="AF624" t="str">
            <v>N/A</v>
          </cell>
        </row>
        <row r="625">
          <cell r="X625" t="str">
            <v>1DAIN</v>
          </cell>
          <cell r="Y625" t="str">
            <v>PIPELINE - PROCUREMENT   FILTERS</v>
          </cell>
          <cell r="Z625" t="str">
            <v>N/A</v>
          </cell>
          <cell r="AA625" t="str">
            <v>N/A</v>
          </cell>
          <cell r="AB625" t="str">
            <v>N/A</v>
          </cell>
          <cell r="AC625" t="str">
            <v>N/A</v>
          </cell>
          <cell r="AD625" t="str">
            <v>N/A</v>
          </cell>
          <cell r="AE625" t="str">
            <v>N/A</v>
          </cell>
          <cell r="AF625" t="str">
            <v>N/A</v>
          </cell>
        </row>
        <row r="626">
          <cell r="X626" t="str">
            <v>1DAIO</v>
          </cell>
          <cell r="Y626" t="str">
            <v>PIPELINE - PROCUREMENT   FLARES</v>
          </cell>
          <cell r="Z626" t="str">
            <v>N/A</v>
          </cell>
          <cell r="AA626" t="str">
            <v>N/A</v>
          </cell>
          <cell r="AB626" t="str">
            <v>N/A</v>
          </cell>
          <cell r="AC626" t="str">
            <v>N/A</v>
          </cell>
          <cell r="AD626" t="str">
            <v>N/A</v>
          </cell>
          <cell r="AE626" t="str">
            <v>N/A</v>
          </cell>
          <cell r="AF626" t="str">
            <v>N/A</v>
          </cell>
        </row>
        <row r="627">
          <cell r="X627" t="str">
            <v>1DAIP</v>
          </cell>
          <cell r="Y627" t="str">
            <v>PIPELINE - PROCUREMENT   SOLIDS HANDLING EQUIPMENT</v>
          </cell>
          <cell r="Z627" t="str">
            <v>N/A</v>
          </cell>
          <cell r="AA627" t="str">
            <v>N/A</v>
          </cell>
          <cell r="AB627" t="str">
            <v>N/A</v>
          </cell>
          <cell r="AC627" t="str">
            <v>N/A</v>
          </cell>
          <cell r="AD627" t="str">
            <v>N/A</v>
          </cell>
          <cell r="AE627" t="str">
            <v>N/A</v>
          </cell>
          <cell r="AF627" t="str">
            <v>N/A</v>
          </cell>
        </row>
        <row r="628">
          <cell r="X628" t="str">
            <v>1DAIQ</v>
          </cell>
          <cell r="Y628" t="str">
            <v>PIPELINE - PROCUREMENT   PACKAGED EQUIPMENT</v>
          </cell>
          <cell r="Z628" t="str">
            <v>N/A</v>
          </cell>
          <cell r="AA628" t="str">
            <v>N/A</v>
          </cell>
          <cell r="AB628" t="str">
            <v>N/A</v>
          </cell>
          <cell r="AC628" t="str">
            <v>N/A</v>
          </cell>
          <cell r="AD628" t="str">
            <v>N/A</v>
          </cell>
          <cell r="AE628" t="str">
            <v>N/A</v>
          </cell>
          <cell r="AF628" t="str">
            <v>N/A</v>
          </cell>
        </row>
        <row r="629">
          <cell r="X629" t="str">
            <v>1DAIT</v>
          </cell>
          <cell r="Y629" t="str">
            <v>PIPELINE - PROCUREMENT   BULKS</v>
          </cell>
          <cell r="AF629">
            <v>0</v>
          </cell>
        </row>
        <row r="630">
          <cell r="X630" t="str">
            <v>1DAIX</v>
          </cell>
          <cell r="Y630" t="str">
            <v>PIPELINE - PROCUREMENT   OTHER</v>
          </cell>
          <cell r="AF630">
            <v>0</v>
          </cell>
        </row>
        <row r="631">
          <cell r="X631" t="str">
            <v>1DAI-</v>
          </cell>
          <cell r="Y631" t="str">
            <v>SUBTOTAL - PIPELINE - PROCUREMENT</v>
          </cell>
          <cell r="Z631">
            <v>0</v>
          </cell>
          <cell r="AA631" t="str">
            <v>N/A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3">
          <cell r="X633" t="str">
            <v>1DAJA</v>
          </cell>
          <cell r="Y633" t="str">
            <v>PIPELINE - INDIRECT ENG'G CONTRACTS</v>
          </cell>
          <cell r="AF633">
            <v>0</v>
          </cell>
        </row>
        <row r="634">
          <cell r="X634" t="str">
            <v>1DAJB</v>
          </cell>
          <cell r="Y634" t="str">
            <v>PIPELINE - INDIRECT ENG'G PROJECT MANAGEMENT</v>
          </cell>
          <cell r="AF634">
            <v>0</v>
          </cell>
        </row>
        <row r="635">
          <cell r="X635" t="str">
            <v>1DAJC</v>
          </cell>
          <cell r="Y635" t="str">
            <v>PIPELINE - INDIRECT ENG'G ENGINEERING/NON-TECH</v>
          </cell>
          <cell r="AF635">
            <v>0</v>
          </cell>
        </row>
        <row r="636">
          <cell r="X636" t="str">
            <v>1DAJX</v>
          </cell>
          <cell r="Y636" t="str">
            <v>PIPELINE - INDIRECT ENG'G OTHER</v>
          </cell>
          <cell r="AF636">
            <v>0</v>
          </cell>
        </row>
        <row r="637">
          <cell r="X637" t="str">
            <v>1DAJ-</v>
          </cell>
          <cell r="Y637" t="str">
            <v>SUBTOTAL - PIPELINE - INDIRECT ENGINEERING</v>
          </cell>
          <cell r="Z637">
            <v>0</v>
          </cell>
          <cell r="AA637" t="str">
            <v>N/A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48">
          <cell r="W648" t="str">
            <v>LEVEL 2 PIPELINE PG.3</v>
          </cell>
          <cell r="X648" t="str">
            <v>WBS CODE</v>
          </cell>
          <cell r="Y648" t="str">
            <v>DESCRIPTION</v>
          </cell>
          <cell r="Z648" t="str">
            <v>QUANTITY</v>
          </cell>
          <cell r="AA648" t="str">
            <v>UNITS</v>
          </cell>
          <cell r="AB648" t="str">
            <v>TOTAL MANHOURS</v>
          </cell>
          <cell r="AC648" t="str">
            <v>TOTAL LABOR COST</v>
          </cell>
          <cell r="AD648" t="str">
            <v>TOTAL MAT'L COST</v>
          </cell>
          <cell r="AE648" t="str">
            <v>TOTAL S/C COST</v>
          </cell>
          <cell r="AF648" t="str">
            <v>TOTAL COST</v>
          </cell>
        </row>
        <row r="650">
          <cell r="X650" t="str">
            <v>1DBAA</v>
          </cell>
          <cell r="Y650" t="str">
            <v>PIPELINE - FAB/DELIVERY MAJOR EQUIP PRESSURE VESSELS</v>
          </cell>
          <cell r="Z650" t="str">
            <v>N/A</v>
          </cell>
          <cell r="AA650" t="str">
            <v>N/A</v>
          </cell>
          <cell r="AB650" t="str">
            <v>N/A</v>
          </cell>
          <cell r="AC650" t="str">
            <v>N/A</v>
          </cell>
          <cell r="AD650" t="str">
            <v>N/A</v>
          </cell>
          <cell r="AE650" t="str">
            <v>N/A</v>
          </cell>
          <cell r="AF650" t="str">
            <v>N/A</v>
          </cell>
        </row>
        <row r="651">
          <cell r="X651" t="str">
            <v>1DBAB</v>
          </cell>
          <cell r="Y651" t="str">
            <v>PIPELINE - FAB/DELIVERY MAJOR EQUIP COLUMNS</v>
          </cell>
          <cell r="Z651" t="str">
            <v>N/A</v>
          </cell>
          <cell r="AA651" t="str">
            <v>N/A</v>
          </cell>
          <cell r="AB651" t="str">
            <v>N/A</v>
          </cell>
          <cell r="AC651" t="str">
            <v>N/A</v>
          </cell>
          <cell r="AD651" t="str">
            <v>N/A</v>
          </cell>
          <cell r="AE651" t="str">
            <v>N/A</v>
          </cell>
          <cell r="AF651" t="str">
            <v>N/A</v>
          </cell>
        </row>
        <row r="652">
          <cell r="X652" t="str">
            <v>1DBAC</v>
          </cell>
          <cell r="Y652" t="str">
            <v>PIPELINE - FAB/DELIVERY MAJOR EQUIP REACTORS</v>
          </cell>
          <cell r="Z652" t="str">
            <v>N/A</v>
          </cell>
          <cell r="AA652" t="str">
            <v>N/A</v>
          </cell>
          <cell r="AB652" t="str">
            <v>N/A</v>
          </cell>
          <cell r="AC652" t="str">
            <v>N/A</v>
          </cell>
          <cell r="AD652" t="str">
            <v>N/A</v>
          </cell>
          <cell r="AE652" t="str">
            <v>N/A</v>
          </cell>
          <cell r="AF652" t="str">
            <v>N/A</v>
          </cell>
        </row>
        <row r="653">
          <cell r="X653" t="str">
            <v>1DBAD</v>
          </cell>
          <cell r="Y653" t="str">
            <v>PIPELINE - FAB/DELIVERY MAJOR EQUIP FIELD ERECTED TANKS</v>
          </cell>
          <cell r="Z653" t="str">
            <v>N/A</v>
          </cell>
          <cell r="AA653" t="str">
            <v>N/A</v>
          </cell>
          <cell r="AB653" t="str">
            <v>N/A</v>
          </cell>
          <cell r="AC653" t="str">
            <v>N/A</v>
          </cell>
          <cell r="AD653" t="str">
            <v>N/A</v>
          </cell>
          <cell r="AE653" t="str">
            <v>N/A</v>
          </cell>
          <cell r="AF653" t="str">
            <v>N/A</v>
          </cell>
        </row>
        <row r="654">
          <cell r="X654" t="str">
            <v>1DBAE</v>
          </cell>
          <cell r="Y654" t="str">
            <v>PIPELINE - FAB/DELIVERY MAJOR EQUIP PUMPS</v>
          </cell>
          <cell r="Z654" t="str">
            <v>N/A</v>
          </cell>
          <cell r="AA654" t="str">
            <v>N/A</v>
          </cell>
          <cell r="AB654" t="str">
            <v>N/A</v>
          </cell>
          <cell r="AC654" t="str">
            <v>N/A</v>
          </cell>
          <cell r="AD654" t="str">
            <v>N/A</v>
          </cell>
          <cell r="AE654" t="str">
            <v>N/A</v>
          </cell>
          <cell r="AF654" t="str">
            <v>N/A</v>
          </cell>
        </row>
        <row r="655">
          <cell r="X655" t="str">
            <v>1DBAF</v>
          </cell>
          <cell r="Y655" t="str">
            <v>PIPELINE - FAB/DELIVERY MAJOR EQUIP HEAT EXCHANGERS S&amp;T</v>
          </cell>
          <cell r="Z655" t="str">
            <v>N/A</v>
          </cell>
          <cell r="AA655" t="str">
            <v>N/A</v>
          </cell>
          <cell r="AB655" t="str">
            <v>N/A</v>
          </cell>
          <cell r="AC655" t="str">
            <v>N/A</v>
          </cell>
          <cell r="AD655" t="str">
            <v>N/A</v>
          </cell>
          <cell r="AE655" t="str">
            <v>N/A</v>
          </cell>
          <cell r="AF655" t="str">
            <v>N/A</v>
          </cell>
        </row>
        <row r="656">
          <cell r="X656" t="str">
            <v>1DBAG</v>
          </cell>
          <cell r="Y656" t="str">
            <v>PIPELINE - FAB/DELIVERY MAJOR EQUIP HEAT EXCHANGERS FINNED</v>
          </cell>
          <cell r="Z656" t="str">
            <v>N/A</v>
          </cell>
          <cell r="AA656" t="str">
            <v>N/A</v>
          </cell>
          <cell r="AB656" t="str">
            <v>N/A</v>
          </cell>
          <cell r="AC656" t="str">
            <v>N/A</v>
          </cell>
          <cell r="AD656" t="str">
            <v>N/A</v>
          </cell>
          <cell r="AE656" t="str">
            <v>N/A</v>
          </cell>
          <cell r="AF656" t="str">
            <v>N/A</v>
          </cell>
        </row>
        <row r="657">
          <cell r="X657" t="str">
            <v>1DBAH</v>
          </cell>
          <cell r="Y657" t="str">
            <v>PIPELINE - FAB/DELIVERY MAJOR EQUIP EXTRUDERS</v>
          </cell>
          <cell r="Z657" t="str">
            <v>N/A</v>
          </cell>
          <cell r="AA657" t="str">
            <v>N/A</v>
          </cell>
          <cell r="AB657" t="str">
            <v>N/A</v>
          </cell>
          <cell r="AC657" t="str">
            <v>N/A</v>
          </cell>
          <cell r="AD657" t="str">
            <v>N/A</v>
          </cell>
          <cell r="AE657" t="str">
            <v>N/A</v>
          </cell>
          <cell r="AF657" t="str">
            <v>N/A</v>
          </cell>
        </row>
        <row r="658">
          <cell r="X658" t="str">
            <v>1DBAI</v>
          </cell>
          <cell r="Y658" t="str">
            <v>PIPELINE - FAB/DELIVERY MAJOR EQUIP COMPRESSORS</v>
          </cell>
          <cell r="Z658" t="str">
            <v>N/A</v>
          </cell>
          <cell r="AA658" t="str">
            <v>N/A</v>
          </cell>
          <cell r="AB658" t="str">
            <v>N/A</v>
          </cell>
          <cell r="AC658" t="str">
            <v>N/A</v>
          </cell>
          <cell r="AD658" t="str">
            <v>N/A</v>
          </cell>
          <cell r="AE658" t="str">
            <v>N/A</v>
          </cell>
          <cell r="AF658" t="str">
            <v>N/A</v>
          </cell>
        </row>
        <row r="659">
          <cell r="X659" t="str">
            <v>1DBAJ</v>
          </cell>
          <cell r="Y659" t="str">
            <v>PIPELINE - FAB/DELIVERY MAJOR EQUIP GENERATORS</v>
          </cell>
          <cell r="Z659" t="str">
            <v>N/A</v>
          </cell>
          <cell r="AA659" t="str">
            <v>N/A</v>
          </cell>
          <cell r="AB659" t="str">
            <v>N/A</v>
          </cell>
          <cell r="AC659" t="str">
            <v>N/A</v>
          </cell>
          <cell r="AD659" t="str">
            <v>N/A</v>
          </cell>
          <cell r="AE659" t="str">
            <v>N/A</v>
          </cell>
          <cell r="AF659" t="str">
            <v>N/A</v>
          </cell>
        </row>
        <row r="660">
          <cell r="X660" t="str">
            <v>1DBAJ</v>
          </cell>
          <cell r="Y660" t="str">
            <v>PIPELINE - FAB/DELIVERY MAJOR EQUIP MOTORS &amp; DRIVERS</v>
          </cell>
          <cell r="Z660" t="str">
            <v>N/A</v>
          </cell>
          <cell r="AA660" t="str">
            <v>N/A</v>
          </cell>
          <cell r="AB660" t="str">
            <v>N/A</v>
          </cell>
          <cell r="AC660" t="str">
            <v>N/A</v>
          </cell>
          <cell r="AD660" t="str">
            <v>N/A</v>
          </cell>
          <cell r="AE660" t="str">
            <v>N/A</v>
          </cell>
          <cell r="AF660" t="str">
            <v>N/A</v>
          </cell>
        </row>
        <row r="661">
          <cell r="X661" t="str">
            <v>1DBAL</v>
          </cell>
          <cell r="Y661" t="str">
            <v>PIPELINE - FAB/DELIVERY MAJOR EQUIP FIRED EQUIPMENT</v>
          </cell>
          <cell r="Z661" t="str">
            <v>N/A</v>
          </cell>
          <cell r="AA661" t="str">
            <v>N/A</v>
          </cell>
          <cell r="AB661" t="str">
            <v>N/A</v>
          </cell>
          <cell r="AC661" t="str">
            <v>N/A</v>
          </cell>
          <cell r="AD661" t="str">
            <v>N/A</v>
          </cell>
          <cell r="AE661" t="str">
            <v>N/A</v>
          </cell>
          <cell r="AF661" t="str">
            <v>N/A</v>
          </cell>
        </row>
        <row r="662">
          <cell r="X662" t="str">
            <v>1DBAM</v>
          </cell>
          <cell r="Y662" t="str">
            <v>PIPELINE - FAB/DELIVERY MAJOR EQUIP BLOWERS, FANS</v>
          </cell>
          <cell r="Z662" t="str">
            <v>N/A</v>
          </cell>
          <cell r="AA662" t="str">
            <v>N/A</v>
          </cell>
          <cell r="AB662" t="str">
            <v>N/A</v>
          </cell>
          <cell r="AC662" t="str">
            <v>N/A</v>
          </cell>
          <cell r="AD662" t="str">
            <v>N/A</v>
          </cell>
          <cell r="AE662" t="str">
            <v>N/A</v>
          </cell>
          <cell r="AF662" t="str">
            <v>N/A</v>
          </cell>
        </row>
        <row r="663">
          <cell r="X663" t="str">
            <v>1DBAN</v>
          </cell>
          <cell r="Y663" t="str">
            <v>PIPELINE - FAB/DELIVERY MAJOR EQUIP FILTERS</v>
          </cell>
          <cell r="Z663" t="str">
            <v>N/A</v>
          </cell>
          <cell r="AA663" t="str">
            <v>N/A</v>
          </cell>
          <cell r="AB663" t="str">
            <v>N/A</v>
          </cell>
          <cell r="AC663" t="str">
            <v>N/A</v>
          </cell>
          <cell r="AD663" t="str">
            <v>N/A</v>
          </cell>
          <cell r="AE663" t="str">
            <v>N/A</v>
          </cell>
          <cell r="AF663" t="str">
            <v>N/A</v>
          </cell>
        </row>
        <row r="664">
          <cell r="X664" t="str">
            <v>1DBAO</v>
          </cell>
          <cell r="Y664" t="str">
            <v>PIPELINE - FAB/DELIVERY MAJOR EQUIP FLARES</v>
          </cell>
          <cell r="Z664" t="str">
            <v>N/A</v>
          </cell>
          <cell r="AA664" t="str">
            <v>N/A</v>
          </cell>
          <cell r="AB664" t="str">
            <v>N/A</v>
          </cell>
          <cell r="AC664" t="str">
            <v>N/A</v>
          </cell>
          <cell r="AD664" t="str">
            <v>N/A</v>
          </cell>
          <cell r="AE664" t="str">
            <v>N/A</v>
          </cell>
          <cell r="AF664" t="str">
            <v>N/A</v>
          </cell>
        </row>
        <row r="665">
          <cell r="X665" t="str">
            <v>1DBAP</v>
          </cell>
          <cell r="Y665" t="str">
            <v>PIPELINE - FAB/DELIVERY MAJOR EQUIP SOLIDS HANDLING EQUIPMENT</v>
          </cell>
          <cell r="Z665" t="str">
            <v>N/A</v>
          </cell>
          <cell r="AA665" t="str">
            <v>N/A</v>
          </cell>
          <cell r="AB665" t="str">
            <v>N/A</v>
          </cell>
          <cell r="AC665" t="str">
            <v>N/A</v>
          </cell>
          <cell r="AD665" t="str">
            <v>N/A</v>
          </cell>
          <cell r="AE665" t="str">
            <v>N/A</v>
          </cell>
          <cell r="AF665" t="str">
            <v>N/A</v>
          </cell>
        </row>
        <row r="666">
          <cell r="X666" t="str">
            <v>1DBAQ</v>
          </cell>
          <cell r="Y666" t="str">
            <v>PIPELINE - FAB/DELIVERY MAJOR EQUIP PACKAGED EQUIPMENT</v>
          </cell>
          <cell r="Z666" t="str">
            <v>N/A</v>
          </cell>
          <cell r="AA666" t="str">
            <v>N/A</v>
          </cell>
          <cell r="AB666" t="str">
            <v>N/A</v>
          </cell>
          <cell r="AC666" t="str">
            <v>N/A</v>
          </cell>
          <cell r="AD666" t="str">
            <v>N/A</v>
          </cell>
          <cell r="AE666" t="str">
            <v>N/A</v>
          </cell>
          <cell r="AF666" t="str">
            <v>N/A</v>
          </cell>
        </row>
        <row r="667">
          <cell r="X667" t="str">
            <v>1DBAX</v>
          </cell>
          <cell r="Y667" t="str">
            <v>PIPELINE - FAB/DELIVERY MAJOR EQUIP OTHER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X668" t="str">
            <v>1DBA-</v>
          </cell>
          <cell r="Y668" t="str">
            <v>SUBTOTAL - PIPELINE - FAB/DELIVERY MAJOR EQUIP.</v>
          </cell>
          <cell r="Z668">
            <v>0</v>
          </cell>
          <cell r="AA668" t="str">
            <v>N/A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70">
          <cell r="X670" t="str">
            <v>1DBBA</v>
          </cell>
          <cell r="Y670" t="str">
            <v>PIPELINE - FAB/DELIVERY BULKS - IMBEDS</v>
          </cell>
          <cell r="AF670">
            <v>0</v>
          </cell>
        </row>
        <row r="671">
          <cell r="X671" t="str">
            <v>1DBBB</v>
          </cell>
          <cell r="Y671" t="str">
            <v>PIPELINE - FAB/DELIVERY BULKS - STRUCTURAL</v>
          </cell>
          <cell r="AF671">
            <v>0</v>
          </cell>
        </row>
        <row r="672">
          <cell r="X672" t="str">
            <v>1DBBC</v>
          </cell>
          <cell r="Y672" t="str">
            <v>PIPELINE - FAB/DELIVERY BULKS - PIPING</v>
          </cell>
          <cell r="AF672">
            <v>0</v>
          </cell>
        </row>
        <row r="673">
          <cell r="X673" t="str">
            <v>1DBBD</v>
          </cell>
          <cell r="Y673" t="str">
            <v>PIPELINE - FAB/DELIVERY BULKS - ELECTRICAL</v>
          </cell>
          <cell r="AF673">
            <v>0</v>
          </cell>
        </row>
        <row r="674">
          <cell r="X674" t="str">
            <v>1DBBE</v>
          </cell>
          <cell r="Y674" t="str">
            <v>PIPELINE - FAB/DELIVERY BULKS - INSTRUMENTATION</v>
          </cell>
          <cell r="AF674">
            <v>0</v>
          </cell>
        </row>
        <row r="675">
          <cell r="X675" t="str">
            <v>1DBBF</v>
          </cell>
          <cell r="Y675" t="str">
            <v>PIPELINE - FAB/DELIVERY BULKS - PIPELINES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X676" t="str">
            <v>1DBB-</v>
          </cell>
          <cell r="Y676" t="str">
            <v>SUBTOTAL - PIPELINE - FAB/DELIVERY BULKS</v>
          </cell>
          <cell r="Z676">
            <v>0</v>
          </cell>
          <cell r="AA676" t="str">
            <v>N/A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8">
          <cell r="X678" t="str">
            <v>1DBCA</v>
          </cell>
          <cell r="Y678" t="str">
            <v>PIPELINE - FAB/DELIVERY ENG. SPECIALTIES - BUILDINGS</v>
          </cell>
          <cell r="Z678" t="str">
            <v>N/A</v>
          </cell>
          <cell r="AA678" t="str">
            <v>N/A</v>
          </cell>
          <cell r="AB678" t="str">
            <v>N/A</v>
          </cell>
          <cell r="AC678" t="str">
            <v>N/A</v>
          </cell>
          <cell r="AD678" t="str">
            <v>N/A</v>
          </cell>
          <cell r="AE678" t="str">
            <v>N/A</v>
          </cell>
          <cell r="AF678" t="str">
            <v>N/A</v>
          </cell>
        </row>
        <row r="679">
          <cell r="X679" t="str">
            <v>1DBCB</v>
          </cell>
          <cell r="Y679" t="str">
            <v>PIPELINE - FAB/DELIVERY ENG. SPECIALTIES - GENERAL</v>
          </cell>
          <cell r="Z679" t="str">
            <v>N/A</v>
          </cell>
          <cell r="AA679" t="str">
            <v>N/A</v>
          </cell>
          <cell r="AB679" t="str">
            <v>N/A</v>
          </cell>
          <cell r="AC679" t="str">
            <v>N/A</v>
          </cell>
          <cell r="AD679" t="str">
            <v>N/A</v>
          </cell>
          <cell r="AE679" t="str">
            <v>N/A</v>
          </cell>
          <cell r="AF679" t="str">
            <v>N/A</v>
          </cell>
        </row>
        <row r="680">
          <cell r="X680" t="str">
            <v>1DBC-</v>
          </cell>
          <cell r="Y680" t="str">
            <v>SUBTOTAL - PIPELINE - FAB/DELIVERY ENGINEERING SPECIALTIES</v>
          </cell>
          <cell r="Z680">
            <v>0</v>
          </cell>
          <cell r="AA680" t="str">
            <v>N/A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6">
          <cell r="W686" t="str">
            <v>LEVEL 2 PIPELINE PG.4</v>
          </cell>
          <cell r="X686" t="str">
            <v>WBS CODE</v>
          </cell>
          <cell r="Y686" t="str">
            <v>DESCRIPTION</v>
          </cell>
          <cell r="Z686" t="str">
            <v>QUANTITY</v>
          </cell>
          <cell r="AA686" t="str">
            <v>UNITS</v>
          </cell>
          <cell r="AB686" t="str">
            <v>TOTAL MANHOURS</v>
          </cell>
          <cell r="AC686" t="str">
            <v>TOTAL LABOR COST</v>
          </cell>
          <cell r="AD686" t="str">
            <v>TOTAL MAT'L COST</v>
          </cell>
          <cell r="AE686" t="str">
            <v>TOTAL S/C COST</v>
          </cell>
          <cell r="AF686" t="str">
            <v>TOTAL COST</v>
          </cell>
        </row>
        <row r="687">
          <cell r="X687" t="str">
            <v>1DCAA</v>
          </cell>
          <cell r="Y687" t="str">
            <v>PIPELINE - CONSTRUCTION, CIVIL - SITE WORK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X688" t="str">
            <v>1DCAB</v>
          </cell>
          <cell r="Y688" t="str">
            <v>PIPELINE - CONSTRUCTION, CIVIL - FOUNDATIONS</v>
          </cell>
          <cell r="AF688">
            <v>0</v>
          </cell>
        </row>
        <row r="689">
          <cell r="X689" t="str">
            <v>1DCA</v>
          </cell>
          <cell r="Y689" t="str">
            <v>SUBTOTAL - PIPELINE - CONSTRUCTION, CIVIL</v>
          </cell>
          <cell r="Z689">
            <v>0</v>
          </cell>
          <cell r="AA689" t="str">
            <v>N/A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1">
          <cell r="X691" t="str">
            <v>1DCBA</v>
          </cell>
          <cell r="Y691" t="str">
            <v>PIPELINE - CONSTRUCTION, MAJOR EQUIPMENT - PRESSURE VESSELS</v>
          </cell>
          <cell r="Z691" t="str">
            <v>N/A</v>
          </cell>
          <cell r="AA691" t="str">
            <v>N/A</v>
          </cell>
          <cell r="AB691" t="str">
            <v>N/A</v>
          </cell>
          <cell r="AC691" t="str">
            <v>N/A</v>
          </cell>
          <cell r="AD691" t="str">
            <v>N/A</v>
          </cell>
          <cell r="AE691" t="str">
            <v>N/A</v>
          </cell>
          <cell r="AF691" t="str">
            <v>N/A</v>
          </cell>
        </row>
        <row r="692">
          <cell r="X692" t="str">
            <v>1DCBB</v>
          </cell>
          <cell r="Y692" t="str">
            <v>PIPELINE - CONSTRUCTION, MAJOR EQUIPMENT - COLUMNS</v>
          </cell>
          <cell r="Z692" t="str">
            <v>N/A</v>
          </cell>
          <cell r="AA692" t="str">
            <v>N/A</v>
          </cell>
          <cell r="AB692" t="str">
            <v>N/A</v>
          </cell>
          <cell r="AC692" t="str">
            <v>N/A</v>
          </cell>
          <cell r="AD692" t="str">
            <v>N/A</v>
          </cell>
          <cell r="AE692" t="str">
            <v>N/A</v>
          </cell>
          <cell r="AF692" t="str">
            <v>N/A</v>
          </cell>
        </row>
        <row r="693">
          <cell r="X693" t="str">
            <v>1DCBC</v>
          </cell>
          <cell r="Y693" t="str">
            <v>PIPELINE - CONSTRUCTION, MAJOR EQUIPMENT - REACTORS</v>
          </cell>
          <cell r="Z693" t="str">
            <v>N/A</v>
          </cell>
          <cell r="AA693" t="str">
            <v>N/A</v>
          </cell>
          <cell r="AB693" t="str">
            <v>N/A</v>
          </cell>
          <cell r="AC693" t="str">
            <v>N/A</v>
          </cell>
          <cell r="AD693" t="str">
            <v>N/A</v>
          </cell>
          <cell r="AE693" t="str">
            <v>N/A</v>
          </cell>
          <cell r="AF693" t="str">
            <v>N/A</v>
          </cell>
        </row>
        <row r="694">
          <cell r="X694" t="str">
            <v>1DCBD</v>
          </cell>
          <cell r="Y694" t="str">
            <v>PIPELINE - CONSTRUCTION, MAJOR EQUIPMENT - FIELD ERECTED TANKS</v>
          </cell>
          <cell r="Z694" t="str">
            <v>N/A</v>
          </cell>
          <cell r="AA694" t="str">
            <v>N/A</v>
          </cell>
          <cell r="AB694" t="str">
            <v>N/A</v>
          </cell>
          <cell r="AC694" t="str">
            <v>N/A</v>
          </cell>
          <cell r="AD694" t="str">
            <v>N/A</v>
          </cell>
          <cell r="AE694" t="str">
            <v>N/A</v>
          </cell>
          <cell r="AF694" t="str">
            <v>N/A</v>
          </cell>
        </row>
        <row r="695">
          <cell r="X695" t="str">
            <v>1DCBE</v>
          </cell>
          <cell r="Y695" t="str">
            <v>PIPELINE - CONSTRUCTION, MAJOR EQUIPMENT - PUMPS</v>
          </cell>
          <cell r="Z695" t="str">
            <v>N/A</v>
          </cell>
          <cell r="AA695" t="str">
            <v>N/A</v>
          </cell>
          <cell r="AB695" t="str">
            <v>N/A</v>
          </cell>
          <cell r="AC695" t="str">
            <v>N/A</v>
          </cell>
          <cell r="AD695" t="str">
            <v>N/A</v>
          </cell>
          <cell r="AE695" t="str">
            <v>N/A</v>
          </cell>
          <cell r="AF695" t="str">
            <v>N/A</v>
          </cell>
        </row>
        <row r="696">
          <cell r="X696" t="str">
            <v>1DCBF</v>
          </cell>
          <cell r="Y696" t="str">
            <v>PIPELINE - CONSTRUCTION, MAJOR EQUIPMENT - HEAT EXCHANGERS S&amp;T</v>
          </cell>
          <cell r="Z696" t="str">
            <v>N/A</v>
          </cell>
          <cell r="AA696" t="str">
            <v>N/A</v>
          </cell>
          <cell r="AB696" t="str">
            <v>N/A</v>
          </cell>
          <cell r="AC696" t="str">
            <v>N/A</v>
          </cell>
          <cell r="AD696" t="str">
            <v>N/A</v>
          </cell>
          <cell r="AE696" t="str">
            <v>N/A</v>
          </cell>
          <cell r="AF696" t="str">
            <v>N/A</v>
          </cell>
        </row>
        <row r="697">
          <cell r="X697" t="str">
            <v>1DCBG</v>
          </cell>
          <cell r="Y697" t="str">
            <v>PIPELINE - CONSTRUCTION, MAJOR EQUIPMENT - HEAT EXCHANGERS FINNED</v>
          </cell>
          <cell r="Z697" t="str">
            <v>N/A</v>
          </cell>
          <cell r="AA697" t="str">
            <v>N/A</v>
          </cell>
          <cell r="AB697" t="str">
            <v>N/A</v>
          </cell>
          <cell r="AC697" t="str">
            <v>N/A</v>
          </cell>
          <cell r="AD697" t="str">
            <v>N/A</v>
          </cell>
          <cell r="AE697" t="str">
            <v>N/A</v>
          </cell>
          <cell r="AF697" t="str">
            <v>N/A</v>
          </cell>
        </row>
        <row r="698">
          <cell r="X698" t="str">
            <v>1DCBH</v>
          </cell>
          <cell r="Y698" t="str">
            <v>PIPELINE - CONSTRUCTION, MAJOR EQUIPMENT - EXTRUDERS</v>
          </cell>
          <cell r="Z698" t="str">
            <v>N/A</v>
          </cell>
          <cell r="AA698" t="str">
            <v>N/A</v>
          </cell>
          <cell r="AB698" t="str">
            <v>N/A</v>
          </cell>
          <cell r="AC698" t="str">
            <v>N/A</v>
          </cell>
          <cell r="AD698" t="str">
            <v>N/A</v>
          </cell>
          <cell r="AE698" t="str">
            <v>N/A</v>
          </cell>
          <cell r="AF698" t="str">
            <v>N/A</v>
          </cell>
        </row>
        <row r="699">
          <cell r="X699" t="str">
            <v>1DCBI</v>
          </cell>
          <cell r="Y699" t="str">
            <v>PIPELINE - CONSTRUCTION, MAJOR EQUIPMENT - COMPRESSORS</v>
          </cell>
          <cell r="Z699" t="str">
            <v>N/A</v>
          </cell>
          <cell r="AA699" t="str">
            <v>N/A</v>
          </cell>
          <cell r="AB699" t="str">
            <v>N/A</v>
          </cell>
          <cell r="AC699" t="str">
            <v>N/A</v>
          </cell>
          <cell r="AD699" t="str">
            <v>N/A</v>
          </cell>
          <cell r="AE699" t="str">
            <v>N/A</v>
          </cell>
          <cell r="AF699" t="str">
            <v>N/A</v>
          </cell>
        </row>
        <row r="700">
          <cell r="X700" t="str">
            <v>1DCBJ</v>
          </cell>
          <cell r="Y700" t="str">
            <v>PIPELINE - CONSTRUCTION, MAJOR EQUIPMENT - GENERATORS</v>
          </cell>
          <cell r="Z700" t="str">
            <v>N/A</v>
          </cell>
          <cell r="AA700" t="str">
            <v>N/A</v>
          </cell>
          <cell r="AB700" t="str">
            <v>N/A</v>
          </cell>
          <cell r="AC700" t="str">
            <v>N/A</v>
          </cell>
          <cell r="AD700" t="str">
            <v>N/A</v>
          </cell>
          <cell r="AE700" t="str">
            <v>N/A</v>
          </cell>
          <cell r="AF700" t="str">
            <v>N/A</v>
          </cell>
        </row>
        <row r="701">
          <cell r="X701" t="str">
            <v>1DCBK</v>
          </cell>
          <cell r="Y701" t="str">
            <v>PIPELINE - CONSTRUCTION, MAJOR EQUIPMENT - MOTORS &amp; DRIVERS</v>
          </cell>
          <cell r="Z701" t="str">
            <v>N/A</v>
          </cell>
          <cell r="AA701" t="str">
            <v>N/A</v>
          </cell>
          <cell r="AB701" t="str">
            <v>N/A</v>
          </cell>
          <cell r="AC701" t="str">
            <v>N/A</v>
          </cell>
          <cell r="AD701" t="str">
            <v>N/A</v>
          </cell>
          <cell r="AE701" t="str">
            <v>N/A</v>
          </cell>
          <cell r="AF701" t="str">
            <v>N/A</v>
          </cell>
        </row>
        <row r="702">
          <cell r="X702" t="str">
            <v>1DCBL</v>
          </cell>
          <cell r="Y702" t="str">
            <v>PIPELINE - CONSTRUCTION, MAJOR EQUIPMENT - FIRED EQUIPMENT</v>
          </cell>
          <cell r="Z702" t="str">
            <v>N/A</v>
          </cell>
          <cell r="AA702" t="str">
            <v>N/A</v>
          </cell>
          <cell r="AB702" t="str">
            <v>N/A</v>
          </cell>
          <cell r="AC702" t="str">
            <v>N/A</v>
          </cell>
          <cell r="AD702" t="str">
            <v>N/A</v>
          </cell>
          <cell r="AE702" t="str">
            <v>N/A</v>
          </cell>
          <cell r="AF702" t="str">
            <v>N/A</v>
          </cell>
        </row>
        <row r="703">
          <cell r="X703" t="str">
            <v>1DCBM</v>
          </cell>
          <cell r="Y703" t="str">
            <v>PIPELINE - CONSTRUCTION, MAJOR EQUIPMENT - BLOWERS, FANS</v>
          </cell>
          <cell r="Z703" t="str">
            <v>N/A</v>
          </cell>
          <cell r="AA703" t="str">
            <v>N/A</v>
          </cell>
          <cell r="AB703" t="str">
            <v>N/A</v>
          </cell>
          <cell r="AC703" t="str">
            <v>N/A</v>
          </cell>
          <cell r="AD703" t="str">
            <v>N/A</v>
          </cell>
          <cell r="AE703" t="str">
            <v>N/A</v>
          </cell>
          <cell r="AF703" t="str">
            <v>N/A</v>
          </cell>
        </row>
        <row r="704">
          <cell r="X704" t="str">
            <v>1DCBN</v>
          </cell>
          <cell r="Y704" t="str">
            <v>PIPELINE - CONSTRUCTION, MAJOR EQUIPMENT - FILTERS</v>
          </cell>
          <cell r="Z704" t="str">
            <v>N/A</v>
          </cell>
          <cell r="AA704" t="str">
            <v>N/A</v>
          </cell>
          <cell r="AB704" t="str">
            <v>N/A</v>
          </cell>
          <cell r="AC704" t="str">
            <v>N/A</v>
          </cell>
          <cell r="AD704" t="str">
            <v>N/A</v>
          </cell>
          <cell r="AE704" t="str">
            <v>N/A</v>
          </cell>
          <cell r="AF704" t="str">
            <v>N/A</v>
          </cell>
        </row>
        <row r="705">
          <cell r="X705" t="str">
            <v>1DCBO</v>
          </cell>
          <cell r="Y705" t="str">
            <v>PIPELINE - CONSTRUCTION, MAJOR EQUIPMENT - FLARES</v>
          </cell>
          <cell r="Z705" t="str">
            <v>N/A</v>
          </cell>
          <cell r="AA705" t="str">
            <v>N/A</v>
          </cell>
          <cell r="AB705" t="str">
            <v>N/A</v>
          </cell>
          <cell r="AC705" t="str">
            <v>N/A</v>
          </cell>
          <cell r="AD705" t="str">
            <v>N/A</v>
          </cell>
          <cell r="AE705" t="str">
            <v>N/A</v>
          </cell>
          <cell r="AF705" t="str">
            <v>N/A</v>
          </cell>
        </row>
        <row r="706">
          <cell r="X706" t="str">
            <v>1DCBP</v>
          </cell>
          <cell r="Y706" t="str">
            <v>PIPELINE - CONSTRUCTION, MAJOR EQUIPMENT - SOLIDS HANDLING EQUIPMENT</v>
          </cell>
          <cell r="Z706" t="str">
            <v>N/A</v>
          </cell>
          <cell r="AA706" t="str">
            <v>N/A</v>
          </cell>
          <cell r="AB706" t="str">
            <v>N/A</v>
          </cell>
          <cell r="AC706" t="str">
            <v>N/A</v>
          </cell>
          <cell r="AD706" t="str">
            <v>N/A</v>
          </cell>
          <cell r="AE706" t="str">
            <v>N/A</v>
          </cell>
          <cell r="AF706" t="str">
            <v>N/A</v>
          </cell>
        </row>
        <row r="707">
          <cell r="X707" t="str">
            <v>1DCBQ</v>
          </cell>
          <cell r="Y707" t="str">
            <v>PIPELINE - CONSTRUCTION, MAJOR EQUIPMENT - PACKAGED EQUIPMENT</v>
          </cell>
          <cell r="Z707" t="str">
            <v>N/A</v>
          </cell>
          <cell r="AA707" t="str">
            <v>N/A</v>
          </cell>
          <cell r="AB707" t="str">
            <v>N/A</v>
          </cell>
          <cell r="AC707" t="str">
            <v>N/A</v>
          </cell>
          <cell r="AD707" t="str">
            <v>N/A</v>
          </cell>
          <cell r="AE707" t="str">
            <v>N/A</v>
          </cell>
          <cell r="AF707" t="str">
            <v>N/A</v>
          </cell>
        </row>
        <row r="708">
          <cell r="X708" t="str">
            <v>1DCBX</v>
          </cell>
          <cell r="Y708" t="str">
            <v>PIPELINE - CONSTRUCTION, MAJOR EQUIPMENT - OTHERS</v>
          </cell>
          <cell r="Z708" t="str">
            <v>N/A</v>
          </cell>
          <cell r="AA708" t="str">
            <v>N/A</v>
          </cell>
          <cell r="AB708" t="str">
            <v>N/A</v>
          </cell>
          <cell r="AC708" t="str">
            <v>N/A</v>
          </cell>
          <cell r="AD708" t="str">
            <v>N/A</v>
          </cell>
          <cell r="AE708" t="str">
            <v>N/A</v>
          </cell>
          <cell r="AF708" t="str">
            <v>N/A</v>
          </cell>
        </row>
        <row r="709">
          <cell r="X709" t="str">
            <v>1DCB-</v>
          </cell>
          <cell r="Y709" t="str">
            <v>SUBTOTAL - PIPELINE - CONSTRUCTION, MAJOR EQUIPMENT</v>
          </cell>
          <cell r="Z709">
            <v>0</v>
          </cell>
          <cell r="AA709" t="str">
            <v>N/A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</row>
        <row r="711">
          <cell r="X711" t="str">
            <v>1DCCA</v>
          </cell>
          <cell r="Y711" t="str">
            <v>PIPELINE - CONSTRUCTION, BULKS - STRUCTURAL</v>
          </cell>
          <cell r="AF711">
            <v>0</v>
          </cell>
        </row>
        <row r="712">
          <cell r="X712" t="str">
            <v>1DCCB</v>
          </cell>
          <cell r="Y712" t="str">
            <v>PIPELINE - CONSTRUCTION, BULKS - PIPING</v>
          </cell>
          <cell r="AF712">
            <v>0</v>
          </cell>
        </row>
        <row r="713">
          <cell r="X713" t="str">
            <v>1DCCC</v>
          </cell>
          <cell r="Y713" t="str">
            <v>PIPELINE - CONSTRUCTION, BULKS - ELECTRICAL</v>
          </cell>
          <cell r="AF713">
            <v>0</v>
          </cell>
        </row>
        <row r="714">
          <cell r="X714" t="str">
            <v>1DCCD</v>
          </cell>
          <cell r="Y714" t="str">
            <v>PIPELINE - CONSTRUCTION, BULKS - INSTRUMENTATION</v>
          </cell>
          <cell r="AF714">
            <v>0</v>
          </cell>
        </row>
        <row r="715">
          <cell r="X715" t="str">
            <v>1DCCE</v>
          </cell>
          <cell r="Y715" t="str">
            <v>PIPELINE - CONSTRUCTION, BULKS - PIPELINES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</row>
        <row r="716">
          <cell r="X716" t="str">
            <v>1DCC-</v>
          </cell>
          <cell r="Y716" t="str">
            <v xml:space="preserve">SUBTOTAL - PIPELINE - CONSTRUCTION, BULKS </v>
          </cell>
          <cell r="Z716">
            <v>0</v>
          </cell>
          <cell r="AA716" t="str">
            <v>N/A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</row>
        <row r="718">
          <cell r="X718" t="str">
            <v>1DCDA</v>
          </cell>
          <cell r="Y718" t="str">
            <v>PIPELINE - CONSTRUCTION SPECIALTIES - BUILDINGS</v>
          </cell>
          <cell r="Z718" t="str">
            <v>N/A</v>
          </cell>
          <cell r="AA718" t="str">
            <v>N/A</v>
          </cell>
          <cell r="AB718" t="str">
            <v>N/A</v>
          </cell>
          <cell r="AC718" t="str">
            <v>N/A</v>
          </cell>
          <cell r="AD718" t="str">
            <v>N/A</v>
          </cell>
          <cell r="AE718" t="str">
            <v>N/A</v>
          </cell>
          <cell r="AF718" t="str">
            <v>N/A</v>
          </cell>
        </row>
        <row r="719">
          <cell r="X719" t="str">
            <v>1DCDB</v>
          </cell>
          <cell r="Y719" t="str">
            <v>PIPELINE - CONSTRUCTION SPECIALTIES - GENERAL</v>
          </cell>
          <cell r="AF719">
            <v>0</v>
          </cell>
        </row>
        <row r="720">
          <cell r="X720" t="str">
            <v>1DCD-</v>
          </cell>
          <cell r="Y720" t="str">
            <v>SUBTOTAL - PIPELINE - CONSTRUCTION SPECIALTIES</v>
          </cell>
          <cell r="Z720">
            <v>0</v>
          </cell>
          <cell r="AA720" t="str">
            <v>N/A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</row>
        <row r="724">
          <cell r="W724" t="str">
            <v>LEVEL 2 PIPELINE PG 5</v>
          </cell>
          <cell r="X724" t="str">
            <v>WBS CODE</v>
          </cell>
          <cell r="Y724" t="str">
            <v>DESCRIPTION</v>
          </cell>
          <cell r="Z724" t="str">
            <v>QUANTITY</v>
          </cell>
          <cell r="AA724" t="str">
            <v>UNITS</v>
          </cell>
          <cell r="AB724" t="str">
            <v>TOTAL MANHOURS</v>
          </cell>
          <cell r="AC724" t="str">
            <v>TOTAL LABOR COST</v>
          </cell>
          <cell r="AD724" t="str">
            <v>TOTAL MAT'L COST</v>
          </cell>
          <cell r="AE724" t="str">
            <v>TOTAL S/C COST</v>
          </cell>
          <cell r="AF724" t="str">
            <v>TOTAL COST</v>
          </cell>
        </row>
        <row r="726">
          <cell r="X726" t="str">
            <v>1DCEA</v>
          </cell>
          <cell r="Y726" t="str">
            <v>PIPELINE - CONSTRUCTION, OTHER DIRECT WORK - FIRE PROTECTION</v>
          </cell>
          <cell r="AF726">
            <v>0</v>
          </cell>
        </row>
        <row r="727">
          <cell r="X727" t="str">
            <v>1DCEB</v>
          </cell>
          <cell r="Y727" t="str">
            <v>PIPELINE - CONSTRUCTION, OTHER DIRECT WORK - FIREPROOFING</v>
          </cell>
          <cell r="AF727">
            <v>0</v>
          </cell>
        </row>
        <row r="728">
          <cell r="X728" t="str">
            <v>1DCEC</v>
          </cell>
          <cell r="Y728" t="str">
            <v>PIPELINE - CONSTRUCTION, OTHER DIRECT WORK - INSULATION</v>
          </cell>
          <cell r="AF728">
            <v>0</v>
          </cell>
        </row>
        <row r="729">
          <cell r="X729" t="str">
            <v>1DCED</v>
          </cell>
          <cell r="Y729" t="str">
            <v>PIPELINE - CONSTRUCTION, OTHER DIRECT WORK - PAINTING</v>
          </cell>
          <cell r="AF729">
            <v>0</v>
          </cell>
        </row>
        <row r="730">
          <cell r="X730" t="str">
            <v>1DCEE</v>
          </cell>
          <cell r="Y730" t="str">
            <v>PIPELINE - CONSTRUCTION, OTHER DIRECT WORK - SHUTDOWN</v>
          </cell>
          <cell r="AF730">
            <v>0</v>
          </cell>
        </row>
        <row r="731">
          <cell r="X731" t="str">
            <v>1DCEF</v>
          </cell>
          <cell r="Y731" t="str">
            <v>PIPELINE - CONSTRUCTION, OTHER DIRECT WORK - PRE-COMMISSIONING</v>
          </cell>
          <cell r="AF731">
            <v>0</v>
          </cell>
        </row>
        <row r="732">
          <cell r="X732" t="str">
            <v>1DCEG</v>
          </cell>
          <cell r="Y732" t="str">
            <v>PIPELINE - CONSTRUCTION, OTHER DIRECT WORK - ENVIRONMENTAL</v>
          </cell>
          <cell r="AF732">
            <v>0</v>
          </cell>
        </row>
        <row r="733">
          <cell r="X733" t="str">
            <v>1DCEX</v>
          </cell>
          <cell r="Y733" t="str">
            <v>PIPELINE - CONSTRUCTION, OTHER DIRECT WORK - OTHER</v>
          </cell>
          <cell r="AF733">
            <v>0</v>
          </cell>
        </row>
        <row r="734">
          <cell r="X734" t="str">
            <v>1DCE</v>
          </cell>
          <cell r="Y734" t="str">
            <v xml:space="preserve">SUBTOTAL - PIPELINE - CONSTRUCTION, OTHER DIRECT WORK - </v>
          </cell>
          <cell r="Z734">
            <v>0</v>
          </cell>
          <cell r="AA734" t="str">
            <v>N/A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</row>
        <row r="736">
          <cell r="X736" t="str">
            <v>1DCFA</v>
          </cell>
          <cell r="Y736" t="str">
            <v>PIPELINE - CONSTRUCTION INDIRECTS</v>
          </cell>
          <cell r="AF736">
            <v>0</v>
          </cell>
        </row>
        <row r="737">
          <cell r="X737" t="str">
            <v>1DCF</v>
          </cell>
          <cell r="Y737" t="str">
            <v>SUBTOTAL - PIPELINE - CONSTRUCTION INDIRECTS</v>
          </cell>
          <cell r="Z737">
            <v>0</v>
          </cell>
          <cell r="AA737" t="str">
            <v>N/A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9">
          <cell r="X739" t="str">
            <v>1DDAA</v>
          </cell>
          <cell r="Y739" t="str">
            <v>PIPELINE - COMMISSIONING - PROCESS</v>
          </cell>
          <cell r="AF739">
            <v>0</v>
          </cell>
        </row>
        <row r="740">
          <cell r="X740" t="str">
            <v>1DDAB</v>
          </cell>
          <cell r="Y740" t="str">
            <v>PIPELINE - COMMISSIONING - UTILITIES</v>
          </cell>
          <cell r="AF740">
            <v>0</v>
          </cell>
        </row>
        <row r="741">
          <cell r="X741" t="str">
            <v>1DDA-</v>
          </cell>
          <cell r="Y741" t="str">
            <v>SUBTOTAL - PIPELINE - COMMISSIONING</v>
          </cell>
          <cell r="Z741">
            <v>0</v>
          </cell>
          <cell r="AA741" t="str">
            <v>N/A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3">
          <cell r="X743" t="str">
            <v>1DDBA</v>
          </cell>
          <cell r="Y743" t="str">
            <v>PIPELINE - STARTUP - PROCESS</v>
          </cell>
          <cell r="AF743">
            <v>0</v>
          </cell>
        </row>
        <row r="744">
          <cell r="X744" t="str">
            <v>1DDBB</v>
          </cell>
          <cell r="Y744" t="str">
            <v>PIPELINE - STARTUP - UTILITIES</v>
          </cell>
          <cell r="AF744">
            <v>0</v>
          </cell>
        </row>
        <row r="745">
          <cell r="X745" t="str">
            <v>1DDB-</v>
          </cell>
          <cell r="Y745" t="str">
            <v>SUBTOTAL - PIPELINE - STARTUP</v>
          </cell>
          <cell r="Z745">
            <v>0</v>
          </cell>
          <cell r="AA745" t="str">
            <v>N/A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</row>
        <row r="747">
          <cell r="X747" t="str">
            <v>1DDCA</v>
          </cell>
          <cell r="Y747" t="str">
            <v>PIPELINE - TRAINING</v>
          </cell>
          <cell r="AF747">
            <v>0</v>
          </cell>
        </row>
        <row r="748">
          <cell r="X748" t="str">
            <v>1DDC-</v>
          </cell>
          <cell r="Y748" t="str">
            <v>SUBTOTAL - PIPELINE - TRAINING</v>
          </cell>
          <cell r="Z748">
            <v>0</v>
          </cell>
          <cell r="AA748" t="str">
            <v>N/A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62">
          <cell r="L762" t="str">
            <v>CYCLE &amp; LVL 1    TANK</v>
          </cell>
          <cell r="M762" t="str">
            <v>WBS CODE</v>
          </cell>
          <cell r="N762" t="str">
            <v>DESCRIPTION</v>
          </cell>
          <cell r="O762" t="str">
            <v>QUANTITY</v>
          </cell>
          <cell r="P762" t="str">
            <v>UNITS</v>
          </cell>
          <cell r="Q762" t="str">
            <v>TOTAL MANHOURS</v>
          </cell>
          <cell r="R762" t="str">
            <v>TOTAL LABOR COST</v>
          </cell>
          <cell r="S762" t="str">
            <v>TOTAL MAT'L COST</v>
          </cell>
          <cell r="T762" t="str">
            <v>TOTAL S/C COST</v>
          </cell>
          <cell r="U762" t="str">
            <v>TOTAL COST</v>
          </cell>
          <cell r="W762" t="str">
            <v>LEVEL 2 TANK PG.1</v>
          </cell>
          <cell r="X762" t="str">
            <v>WBS CODE</v>
          </cell>
          <cell r="Y762" t="str">
            <v>DESCRIPTION</v>
          </cell>
          <cell r="Z762" t="str">
            <v>QUANTITY</v>
          </cell>
          <cell r="AA762" t="str">
            <v>UNITS</v>
          </cell>
          <cell r="AB762" t="str">
            <v>TOTAL MANHOURS</v>
          </cell>
          <cell r="AC762" t="str">
            <v>TOTAL LABOR COST</v>
          </cell>
          <cell r="AD762" t="str">
            <v>TOTAL MAT'L COST</v>
          </cell>
          <cell r="AE762" t="str">
            <v>TOTAL S/C COST</v>
          </cell>
          <cell r="AF762" t="str">
            <v>TOTAL COST</v>
          </cell>
          <cell r="AH762" t="str">
            <v>LEVEL 3 TANK PG 1</v>
          </cell>
          <cell r="AI762" t="str">
            <v>WBS CODE</v>
          </cell>
          <cell r="AJ762" t="str">
            <v>DESCRIPTION</v>
          </cell>
          <cell r="AK762" t="str">
            <v>QUANTITY</v>
          </cell>
          <cell r="AL762" t="str">
            <v>UNITS</v>
          </cell>
          <cell r="AM762" t="str">
            <v>TOTAL MANHOURS</v>
          </cell>
          <cell r="AN762" t="str">
            <v>TOTAL LABOR COST</v>
          </cell>
          <cell r="AO762" t="str">
            <v>TOTAL MAT'L COST</v>
          </cell>
          <cell r="AP762" t="str">
            <v>TOTAL S/C COST</v>
          </cell>
          <cell r="AQ762" t="str">
            <v>TOTAL COST</v>
          </cell>
        </row>
        <row r="764">
          <cell r="M764" t="str">
            <v>1EAA-</v>
          </cell>
          <cell r="N764" t="str">
            <v>TANK - DIRECT ENGINEERING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X764" t="str">
            <v>1EAAA</v>
          </cell>
          <cell r="Y764" t="str">
            <v>TANK - DIR. ENG.  PROCESS</v>
          </cell>
          <cell r="AF764">
            <v>0</v>
          </cell>
          <cell r="AI764" t="str">
            <v>1ECBIA</v>
          </cell>
          <cell r="AJ764" t="str">
            <v>BOIL OFF GAS COMPRESSOR</v>
          </cell>
          <cell r="AQ764">
            <v>0</v>
          </cell>
        </row>
        <row r="765">
          <cell r="M765" t="str">
            <v>1EAH-</v>
          </cell>
          <cell r="N765" t="str">
            <v>TANK EQUIPMENT SPECIFICATION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X765" t="str">
            <v>1EAAB</v>
          </cell>
          <cell r="Y765" t="str">
            <v>TANK - DIR. ENG.  PERMITS</v>
          </cell>
          <cell r="AF765">
            <v>0</v>
          </cell>
          <cell r="AI765" t="str">
            <v>1ECBIX</v>
          </cell>
          <cell r="AJ765" t="str">
            <v>OTHER COMPRESSORS</v>
          </cell>
          <cell r="AQ765">
            <v>0</v>
          </cell>
        </row>
        <row r="766">
          <cell r="M766" t="str">
            <v>1EAI-</v>
          </cell>
          <cell r="N766" t="str">
            <v>TANK - ENGINEERING PROCUREMENT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X766" t="str">
            <v>1EAAC</v>
          </cell>
          <cell r="Y766" t="str">
            <v>TANK - DIR. ENG.  CIVIL/STRUCTURAL</v>
          </cell>
          <cell r="AF766">
            <v>0</v>
          </cell>
          <cell r="AI766" t="str">
            <v>1ECBI-</v>
          </cell>
          <cell r="AJ766" t="str">
            <v>TANK - CONSTRUCTION, MAJOR EQUIPMENT - COMPRESSORS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</row>
        <row r="767">
          <cell r="M767" t="str">
            <v>1EAJ-</v>
          </cell>
          <cell r="N767" t="str">
            <v>TANK - INDIRECT ENGINEERING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X767" t="str">
            <v>1EAAD</v>
          </cell>
          <cell r="Y767" t="str">
            <v>TANK - DIR. ENG.  MECHANICAL</v>
          </cell>
          <cell r="AF767">
            <v>0</v>
          </cell>
        </row>
        <row r="768">
          <cell r="M768" t="str">
            <v>1EA--</v>
          </cell>
          <cell r="N768" t="str">
            <v>SUBTOTAL TANK - ENGINEERING/PROCUREMENT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X768" t="str">
            <v>1EAAE</v>
          </cell>
          <cell r="Y768" t="str">
            <v>TANK - DIR. ENG.  PIPING</v>
          </cell>
          <cell r="AF768">
            <v>0</v>
          </cell>
          <cell r="AI768" t="str">
            <v>1ECBXA</v>
          </cell>
          <cell r="AJ768" t="str">
            <v>PROPANE STORAGE TANK</v>
          </cell>
          <cell r="AQ768">
            <v>0</v>
          </cell>
        </row>
        <row r="769">
          <cell r="X769" t="str">
            <v>1EAAF</v>
          </cell>
          <cell r="Y769" t="str">
            <v>TANK - DIR. ENG.  ELECTRICAL</v>
          </cell>
          <cell r="AF769">
            <v>0</v>
          </cell>
          <cell r="AI769" t="str">
            <v>1ECBXB</v>
          </cell>
          <cell r="AJ769" t="str">
            <v>TANK BOTTOM HEATING AND ACCESSORIES</v>
          </cell>
          <cell r="AQ769">
            <v>0</v>
          </cell>
        </row>
        <row r="770">
          <cell r="M770" t="str">
            <v>1EBA-</v>
          </cell>
          <cell r="N770" t="str">
            <v>TANK - FAB/DELIVERY - MAJOR EQUIPMENT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X770" t="str">
            <v>1EAAG</v>
          </cell>
          <cell r="Y770" t="str">
            <v>TANK - DIR. ENG.  INSTRUMENTATION</v>
          </cell>
          <cell r="AF770">
            <v>0</v>
          </cell>
          <cell r="AI770" t="str">
            <v>1ECBXC</v>
          </cell>
          <cell r="AJ770" t="str">
            <v>PUMPS</v>
          </cell>
          <cell r="AQ770">
            <v>0</v>
          </cell>
        </row>
        <row r="771">
          <cell r="M771" t="str">
            <v>1EBB-</v>
          </cell>
          <cell r="N771" t="str">
            <v>TANK - FAB/DELIVERY - BULKS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X771" t="str">
            <v>1EAAH</v>
          </cell>
          <cell r="Y771" t="str">
            <v>TANK - DIR. ENG.  ARCHITECTURAL</v>
          </cell>
          <cell r="AF771">
            <v>0</v>
          </cell>
          <cell r="AI771" t="str">
            <v>1ECBXD</v>
          </cell>
          <cell r="AJ771" t="str">
            <v>EXCHANGERS</v>
          </cell>
          <cell r="AQ771">
            <v>0</v>
          </cell>
        </row>
        <row r="772">
          <cell r="M772" t="str">
            <v>1EBC-</v>
          </cell>
          <cell r="N772" t="str">
            <v>TANK - FAB/DELIVERY - ENGINEERING SPECIALTIES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X772" t="str">
            <v>1EAAI</v>
          </cell>
          <cell r="Y772" t="str">
            <v>TANK - DIR. ENG.  PIPELINES</v>
          </cell>
          <cell r="Z772" t="str">
            <v>N/A</v>
          </cell>
          <cell r="AA772" t="str">
            <v>N/A</v>
          </cell>
          <cell r="AB772" t="str">
            <v>N/A</v>
          </cell>
          <cell r="AC772" t="str">
            <v>N/A</v>
          </cell>
          <cell r="AD772" t="str">
            <v>N/A</v>
          </cell>
          <cell r="AE772" t="str">
            <v>N/A</v>
          </cell>
          <cell r="AF772" t="str">
            <v>N/A</v>
          </cell>
          <cell r="AI772" t="str">
            <v>1ECBXE</v>
          </cell>
          <cell r="AJ772" t="str">
            <v>FIRE FIGHTING SYSTEM</v>
          </cell>
          <cell r="AQ772">
            <v>0</v>
          </cell>
        </row>
        <row r="773">
          <cell r="M773" t="str">
            <v>1EB--</v>
          </cell>
          <cell r="N773" t="str">
            <v>SUBTOTAL TANK - FABRICATION/DELIVERY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X773" t="str">
            <v>1EAA-</v>
          </cell>
          <cell r="Y773" t="str">
            <v>SUBTOTAL - TANK - DIRECT ENGINEERING</v>
          </cell>
          <cell r="Z773">
            <v>0</v>
          </cell>
          <cell r="AA773" t="str">
            <v>N/A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I773" t="str">
            <v>1ECBXX</v>
          </cell>
          <cell r="AJ773" t="str">
            <v>OTHER</v>
          </cell>
          <cell r="AQ773">
            <v>0</v>
          </cell>
        </row>
        <row r="774">
          <cell r="AI774" t="str">
            <v>1ECBX-</v>
          </cell>
          <cell r="AJ774" t="str">
            <v>TANK - CONSTRUCTION, MAJOR EQUIPMENT - OTHER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</row>
        <row r="775">
          <cell r="M775" t="str">
            <v>1ECA-</v>
          </cell>
          <cell r="N775" t="str">
            <v>TANK - CONSTRUCTION - CIVIL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X775" t="str">
            <v>1EAHA</v>
          </cell>
          <cell r="Y775" t="str">
            <v>TANK - EQUIP. SPECS - PRESSURE VESSELS</v>
          </cell>
          <cell r="Z775" t="str">
            <v>N/A</v>
          </cell>
          <cell r="AA775" t="str">
            <v>N/A</v>
          </cell>
          <cell r="AB775" t="str">
            <v>N/A</v>
          </cell>
          <cell r="AC775" t="str">
            <v>N/A</v>
          </cell>
          <cell r="AD775" t="str">
            <v>N/A</v>
          </cell>
          <cell r="AE775" t="str">
            <v>N/A</v>
          </cell>
          <cell r="AF775" t="str">
            <v>N/A</v>
          </cell>
        </row>
        <row r="776">
          <cell r="M776" t="str">
            <v>1ECB-</v>
          </cell>
          <cell r="N776" t="str">
            <v>TANK - CONSTRUCTION - MAJOR EQUIPMENT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X776" t="str">
            <v>1EAHB</v>
          </cell>
          <cell r="Y776" t="str">
            <v>TANK - EQUIP. SPECS - COLUMNS</v>
          </cell>
          <cell r="Z776" t="str">
            <v>N/A</v>
          </cell>
          <cell r="AA776" t="str">
            <v>N/A</v>
          </cell>
          <cell r="AB776" t="str">
            <v>N/A</v>
          </cell>
          <cell r="AC776" t="str">
            <v>N/A</v>
          </cell>
          <cell r="AD776" t="str">
            <v>N/A</v>
          </cell>
          <cell r="AE776" t="str">
            <v>N/A</v>
          </cell>
          <cell r="AF776" t="str">
            <v>N/A</v>
          </cell>
        </row>
        <row r="777">
          <cell r="M777" t="str">
            <v>1ECC-</v>
          </cell>
          <cell r="N777" t="str">
            <v>TANK - CONSTRUCTION - BULKS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X777" t="str">
            <v>1EAHC</v>
          </cell>
          <cell r="Y777" t="str">
            <v>TANK - EQUIP. SPECS - REACTORS</v>
          </cell>
          <cell r="Z777" t="str">
            <v>N/A</v>
          </cell>
          <cell r="AA777" t="str">
            <v>N/A</v>
          </cell>
          <cell r="AB777" t="str">
            <v>N/A</v>
          </cell>
          <cell r="AC777" t="str">
            <v>N/A</v>
          </cell>
          <cell r="AD777" t="str">
            <v>N/A</v>
          </cell>
          <cell r="AE777" t="str">
            <v>N/A</v>
          </cell>
          <cell r="AF777" t="str">
            <v>N/A</v>
          </cell>
        </row>
        <row r="778">
          <cell r="M778" t="str">
            <v>1ECD-</v>
          </cell>
          <cell r="N778" t="str">
            <v>TANK - CONSTRUCTION - CONSTRUCTION SPECIALTIES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X778" t="str">
            <v>1EAHD</v>
          </cell>
          <cell r="Y778" t="str">
            <v>TANK - EQUIP. SPECS - FIELD ERECTED TANKS</v>
          </cell>
          <cell r="Z778" t="str">
            <v>N/A</v>
          </cell>
          <cell r="AA778" t="str">
            <v>N/A</v>
          </cell>
          <cell r="AB778" t="str">
            <v>N/A</v>
          </cell>
          <cell r="AC778" t="str">
            <v>N/A</v>
          </cell>
          <cell r="AD778" t="str">
            <v>N/A</v>
          </cell>
          <cell r="AE778" t="str">
            <v>N/A</v>
          </cell>
          <cell r="AF778" t="str">
            <v>N/A</v>
          </cell>
        </row>
        <row r="779">
          <cell r="M779" t="str">
            <v>1ECE-</v>
          </cell>
          <cell r="N779" t="str">
            <v>TANK - CONSTRUCTION - OTHER DIRECT WORK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X779" t="str">
            <v>1EAHE</v>
          </cell>
          <cell r="Y779" t="str">
            <v>TANK - EQUIP. SPECS - PUMPS</v>
          </cell>
          <cell r="AF779">
            <v>0</v>
          </cell>
        </row>
        <row r="780">
          <cell r="M780" t="str">
            <v>1ECF-</v>
          </cell>
          <cell r="N780" t="str">
            <v>TANK - CONSTRUCTION - INDIRECTS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X780" t="str">
            <v>1EAHF</v>
          </cell>
          <cell r="Y780" t="str">
            <v>TANK - EQUIP. SPECS - HEAT EXCHANGERS - S &amp; T</v>
          </cell>
          <cell r="Z780" t="str">
            <v>N/A</v>
          </cell>
          <cell r="AA780" t="str">
            <v>N/A</v>
          </cell>
          <cell r="AB780" t="str">
            <v>N/A</v>
          </cell>
          <cell r="AC780" t="str">
            <v>N/A</v>
          </cell>
          <cell r="AD780" t="str">
            <v>N/A</v>
          </cell>
          <cell r="AE780" t="str">
            <v>N/A</v>
          </cell>
          <cell r="AF780" t="str">
            <v>N/A</v>
          </cell>
        </row>
        <row r="781">
          <cell r="M781" t="str">
            <v>1EC--</v>
          </cell>
          <cell r="N781" t="str">
            <v>SUBTOTAL TANK - CONSTRUCTION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X781" t="str">
            <v>1EAHG</v>
          </cell>
          <cell r="Y781" t="str">
            <v>TANK - EQUIP. SPECS - HEAT EXCHANGERS - FINNED</v>
          </cell>
          <cell r="Z781" t="str">
            <v>N/A</v>
          </cell>
          <cell r="AA781" t="str">
            <v>N/A</v>
          </cell>
          <cell r="AB781" t="str">
            <v>N/A</v>
          </cell>
          <cell r="AC781" t="str">
            <v>N/A</v>
          </cell>
          <cell r="AD781" t="str">
            <v>N/A</v>
          </cell>
          <cell r="AE781" t="str">
            <v>N/A</v>
          </cell>
          <cell r="AF781" t="str">
            <v>N/A</v>
          </cell>
        </row>
        <row r="782">
          <cell r="X782" t="str">
            <v>1EAHH</v>
          </cell>
          <cell r="Y782" t="str">
            <v>TANK - EQUIP. SPECS - EXTRUDERS</v>
          </cell>
          <cell r="Z782" t="str">
            <v>N/A</v>
          </cell>
          <cell r="AA782" t="str">
            <v>N/A</v>
          </cell>
          <cell r="AB782" t="str">
            <v>N/A</v>
          </cell>
          <cell r="AC782" t="str">
            <v>N/A</v>
          </cell>
          <cell r="AD782" t="str">
            <v>N/A</v>
          </cell>
          <cell r="AE782" t="str">
            <v>N/A</v>
          </cell>
          <cell r="AF782" t="str">
            <v>N/A</v>
          </cell>
        </row>
        <row r="783">
          <cell r="M783" t="str">
            <v>1EDA-</v>
          </cell>
          <cell r="N783" t="str">
            <v>TANK - COMMISSIONING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X783" t="str">
            <v>1EAHI</v>
          </cell>
          <cell r="Y783" t="str">
            <v>TANK - EQUIP. SPECS - COMPRESSORS</v>
          </cell>
          <cell r="AF783">
            <v>0</v>
          </cell>
        </row>
        <row r="784">
          <cell r="M784" t="str">
            <v>1EDB-</v>
          </cell>
          <cell r="N784" t="str">
            <v>TANK -STARTUP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X784" t="str">
            <v>1EAHJ</v>
          </cell>
          <cell r="Y784" t="str">
            <v>TANK - EQUIP. SPECS - GENERATORS</v>
          </cell>
          <cell r="Z784" t="str">
            <v>N/A</v>
          </cell>
          <cell r="AA784" t="str">
            <v>N/A</v>
          </cell>
          <cell r="AB784" t="str">
            <v>N/A</v>
          </cell>
          <cell r="AC784" t="str">
            <v>N/A</v>
          </cell>
          <cell r="AD784" t="str">
            <v>N/A</v>
          </cell>
          <cell r="AE784" t="str">
            <v>N/A</v>
          </cell>
          <cell r="AF784" t="str">
            <v>N/A</v>
          </cell>
        </row>
        <row r="785">
          <cell r="M785" t="str">
            <v>1EDC-</v>
          </cell>
          <cell r="N785" t="str">
            <v>TANK -TRAINING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X785" t="str">
            <v>1EAHK</v>
          </cell>
          <cell r="Y785" t="str">
            <v>TANK - EQUIP. SPECS - MOTORS &amp; DRIVERS</v>
          </cell>
          <cell r="Z785" t="str">
            <v>N/A</v>
          </cell>
          <cell r="AA785" t="str">
            <v>N/A</v>
          </cell>
          <cell r="AB785" t="str">
            <v>N/A</v>
          </cell>
          <cell r="AC785" t="str">
            <v>N/A</v>
          </cell>
          <cell r="AD785" t="str">
            <v>N/A</v>
          </cell>
          <cell r="AE785" t="str">
            <v>N/A</v>
          </cell>
          <cell r="AF785" t="str">
            <v>N/A</v>
          </cell>
        </row>
        <row r="786">
          <cell r="M786" t="str">
            <v>1ED--</v>
          </cell>
          <cell r="N786" t="str">
            <v>SUBTOTAL TANK - COMMISSIONING, STARTUP &amp; TRAINING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X786" t="str">
            <v>1EAHL</v>
          </cell>
          <cell r="Y786" t="str">
            <v>TANK - EQUIP. SPECS - FIRED EQUIPMENT</v>
          </cell>
          <cell r="Z786" t="str">
            <v>N/A</v>
          </cell>
          <cell r="AA786" t="str">
            <v>N/A</v>
          </cell>
          <cell r="AB786" t="str">
            <v>N/A</v>
          </cell>
          <cell r="AC786" t="str">
            <v>N/A</v>
          </cell>
          <cell r="AD786" t="str">
            <v>N/A</v>
          </cell>
          <cell r="AE786" t="str">
            <v>N/A</v>
          </cell>
          <cell r="AF786" t="str">
            <v>N/A</v>
          </cell>
        </row>
        <row r="787">
          <cell r="X787" t="str">
            <v>1EAHM</v>
          </cell>
          <cell r="Y787" t="str">
            <v>TANK - EQUIP. SPECS - BLOWERS, FANS</v>
          </cell>
          <cell r="Z787" t="str">
            <v>N/A</v>
          </cell>
          <cell r="AA787" t="str">
            <v>N/A</v>
          </cell>
          <cell r="AB787" t="str">
            <v>N/A</v>
          </cell>
          <cell r="AC787" t="str">
            <v>N/A</v>
          </cell>
          <cell r="AD787" t="str">
            <v>N/A</v>
          </cell>
          <cell r="AE787" t="str">
            <v>N/A</v>
          </cell>
          <cell r="AF787" t="str">
            <v>N/A</v>
          </cell>
        </row>
        <row r="788">
          <cell r="X788" t="str">
            <v>1EAHN</v>
          </cell>
          <cell r="Y788" t="str">
            <v>TANK - EQUIP. SPECS - FILTERS</v>
          </cell>
          <cell r="Z788" t="str">
            <v>N/A</v>
          </cell>
          <cell r="AA788" t="str">
            <v>N/A</v>
          </cell>
          <cell r="AB788" t="str">
            <v>N/A</v>
          </cell>
          <cell r="AC788" t="str">
            <v>N/A</v>
          </cell>
          <cell r="AD788" t="str">
            <v>N/A</v>
          </cell>
          <cell r="AE788" t="str">
            <v>N/A</v>
          </cell>
          <cell r="AF788" t="str">
            <v>N/A</v>
          </cell>
        </row>
        <row r="789">
          <cell r="X789" t="str">
            <v>1EAHO</v>
          </cell>
          <cell r="Y789" t="str">
            <v>TANK - EQUIP. SPECS - FLARES</v>
          </cell>
          <cell r="Z789" t="str">
            <v>N/A</v>
          </cell>
          <cell r="AA789" t="str">
            <v>N/A</v>
          </cell>
          <cell r="AB789" t="str">
            <v>N/A</v>
          </cell>
          <cell r="AC789" t="str">
            <v>N/A</v>
          </cell>
          <cell r="AD789" t="str">
            <v>N/A</v>
          </cell>
          <cell r="AE789" t="str">
            <v>N/A</v>
          </cell>
          <cell r="AF789" t="str">
            <v>N/A</v>
          </cell>
        </row>
        <row r="790">
          <cell r="X790" t="str">
            <v>1EAHP</v>
          </cell>
          <cell r="Y790" t="str">
            <v>TANK - EQUIP. SPECS - SOLIDS HANDLING EQUIPMENT</v>
          </cell>
          <cell r="Z790" t="str">
            <v>N/A</v>
          </cell>
          <cell r="AA790" t="str">
            <v>N/A</v>
          </cell>
          <cell r="AB790" t="str">
            <v>N/A</v>
          </cell>
          <cell r="AC790" t="str">
            <v>N/A</v>
          </cell>
          <cell r="AD790" t="str">
            <v>N/A</v>
          </cell>
          <cell r="AE790" t="str">
            <v>N/A</v>
          </cell>
          <cell r="AF790" t="str">
            <v>N/A</v>
          </cell>
        </row>
        <row r="791">
          <cell r="X791" t="str">
            <v>1EAHQ</v>
          </cell>
          <cell r="Y791" t="str">
            <v>TANK - EQUIP. SPECS - PACKAGED EQUIPMENT</v>
          </cell>
          <cell r="Z791" t="str">
            <v>N/A</v>
          </cell>
          <cell r="AA791" t="str">
            <v>N/A</v>
          </cell>
          <cell r="AB791" t="str">
            <v>N/A</v>
          </cell>
          <cell r="AC791" t="str">
            <v>N/A</v>
          </cell>
          <cell r="AD791" t="str">
            <v>N/A</v>
          </cell>
          <cell r="AE791" t="str">
            <v>N/A</v>
          </cell>
          <cell r="AF791" t="str">
            <v>N/A</v>
          </cell>
        </row>
        <row r="792">
          <cell r="X792" t="str">
            <v>1EAHX</v>
          </cell>
          <cell r="Y792" t="str">
            <v>TANK - EQUIP. SPECS - OTHERS</v>
          </cell>
          <cell r="AF792">
            <v>0</v>
          </cell>
        </row>
        <row r="793">
          <cell r="X793" t="str">
            <v>1EAH-</v>
          </cell>
          <cell r="Y793" t="str">
            <v xml:space="preserve">SUBTOTAL - TANK - EQUIP. SPECS </v>
          </cell>
          <cell r="Z793">
            <v>0</v>
          </cell>
          <cell r="AA793" t="str">
            <v>N/A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</row>
        <row r="800">
          <cell r="W800" t="str">
            <v>LEVEL 2 TANK PG.2</v>
          </cell>
          <cell r="X800" t="str">
            <v>WBS CODE</v>
          </cell>
          <cell r="Y800" t="str">
            <v>DESCRIPTION</v>
          </cell>
          <cell r="Z800" t="str">
            <v>QUANTITY</v>
          </cell>
          <cell r="AA800" t="str">
            <v>UNITS</v>
          </cell>
          <cell r="AB800" t="str">
            <v>TOTAL MANHOURS</v>
          </cell>
          <cell r="AC800" t="str">
            <v>TOTAL LABOR COST</v>
          </cell>
          <cell r="AD800" t="str">
            <v>TOTAL MAT'L COST</v>
          </cell>
          <cell r="AE800" t="str">
            <v>TOTAL S/C COST</v>
          </cell>
          <cell r="AF800" t="str">
            <v>TOTAL COST</v>
          </cell>
        </row>
        <row r="802">
          <cell r="X802" t="str">
            <v>1EAIA</v>
          </cell>
          <cell r="Y802" t="str">
            <v>TANK - PROCUREMENT PRESSURE VESSELS</v>
          </cell>
          <cell r="Z802" t="str">
            <v>N/A</v>
          </cell>
          <cell r="AA802" t="str">
            <v>N/A</v>
          </cell>
          <cell r="AB802" t="str">
            <v>N/A</v>
          </cell>
          <cell r="AC802" t="str">
            <v>N/A</v>
          </cell>
          <cell r="AD802" t="str">
            <v>N/A</v>
          </cell>
          <cell r="AE802" t="str">
            <v>N/A</v>
          </cell>
          <cell r="AF802" t="str">
            <v>N/A</v>
          </cell>
        </row>
        <row r="803">
          <cell r="X803" t="str">
            <v>1EAIB</v>
          </cell>
          <cell r="Y803" t="str">
            <v>TANK - PROCUREMENT   COLUMNS</v>
          </cell>
          <cell r="Z803" t="str">
            <v>N/A</v>
          </cell>
          <cell r="AA803" t="str">
            <v>N/A</v>
          </cell>
          <cell r="AB803" t="str">
            <v>N/A</v>
          </cell>
          <cell r="AC803" t="str">
            <v>N/A</v>
          </cell>
          <cell r="AD803" t="str">
            <v>N/A</v>
          </cell>
          <cell r="AE803" t="str">
            <v>N/A</v>
          </cell>
          <cell r="AF803" t="str">
            <v>N/A</v>
          </cell>
        </row>
        <row r="804">
          <cell r="X804" t="str">
            <v>1EAIC</v>
          </cell>
          <cell r="Y804" t="str">
            <v>TANK - PROCUREMENT   REACTORS</v>
          </cell>
          <cell r="Z804" t="str">
            <v>N/A</v>
          </cell>
          <cell r="AA804" t="str">
            <v>N/A</v>
          </cell>
          <cell r="AB804" t="str">
            <v>N/A</v>
          </cell>
          <cell r="AC804" t="str">
            <v>N/A</v>
          </cell>
          <cell r="AD804" t="str">
            <v>N/A</v>
          </cell>
          <cell r="AE804" t="str">
            <v>N/A</v>
          </cell>
          <cell r="AF804" t="str">
            <v>N/A</v>
          </cell>
        </row>
        <row r="805">
          <cell r="X805" t="str">
            <v>1EAID</v>
          </cell>
          <cell r="Y805" t="str">
            <v>TANK - PROCUREMENT   FIELD ERECTED TANKS</v>
          </cell>
          <cell r="Z805" t="str">
            <v>N/A</v>
          </cell>
          <cell r="AA805" t="str">
            <v>N/A</v>
          </cell>
          <cell r="AB805" t="str">
            <v>N/A</v>
          </cell>
          <cell r="AC805" t="str">
            <v>N/A</v>
          </cell>
          <cell r="AD805" t="str">
            <v>N/A</v>
          </cell>
          <cell r="AE805" t="str">
            <v>N/A</v>
          </cell>
          <cell r="AF805" t="str">
            <v>N/A</v>
          </cell>
        </row>
        <row r="806">
          <cell r="X806" t="str">
            <v>1EAIE</v>
          </cell>
          <cell r="Y806" t="str">
            <v>TANK - PROCUREMENT   PUMPS</v>
          </cell>
          <cell r="AF806">
            <v>0</v>
          </cell>
        </row>
        <row r="807">
          <cell r="X807" t="str">
            <v>1EAIF</v>
          </cell>
          <cell r="Y807" t="str">
            <v>TANK - PROCUREMENT   HEAT EXCHANGERS - S &amp; T</v>
          </cell>
          <cell r="Z807" t="str">
            <v>N/A</v>
          </cell>
          <cell r="AA807" t="str">
            <v>N/A</v>
          </cell>
          <cell r="AB807" t="str">
            <v>N/A</v>
          </cell>
          <cell r="AC807" t="str">
            <v>N/A</v>
          </cell>
          <cell r="AD807" t="str">
            <v>N/A</v>
          </cell>
          <cell r="AE807" t="str">
            <v>N/A</v>
          </cell>
          <cell r="AF807" t="str">
            <v>N/A</v>
          </cell>
        </row>
        <row r="808">
          <cell r="X808" t="str">
            <v>1EAIG</v>
          </cell>
          <cell r="Y808" t="str">
            <v>TANK - PROCUREMENT   HEAT EXCHANGERS - FINNED</v>
          </cell>
          <cell r="Z808" t="str">
            <v>N/A</v>
          </cell>
          <cell r="AA808" t="str">
            <v>N/A</v>
          </cell>
          <cell r="AB808" t="str">
            <v>N/A</v>
          </cell>
          <cell r="AC808" t="str">
            <v>N/A</v>
          </cell>
          <cell r="AD808" t="str">
            <v>N/A</v>
          </cell>
          <cell r="AE808" t="str">
            <v>N/A</v>
          </cell>
          <cell r="AF808" t="str">
            <v>N/A</v>
          </cell>
        </row>
        <row r="809">
          <cell r="X809" t="str">
            <v>1EAIH</v>
          </cell>
          <cell r="Y809" t="str">
            <v>TANK - PROCUREMENT   EXTRUDERS</v>
          </cell>
          <cell r="Z809" t="str">
            <v>N/A</v>
          </cell>
          <cell r="AA809" t="str">
            <v>N/A</v>
          </cell>
          <cell r="AB809" t="str">
            <v>N/A</v>
          </cell>
          <cell r="AC809" t="str">
            <v>N/A</v>
          </cell>
          <cell r="AD809" t="str">
            <v>N/A</v>
          </cell>
          <cell r="AE809" t="str">
            <v>N/A</v>
          </cell>
          <cell r="AF809" t="str">
            <v>N/A</v>
          </cell>
        </row>
        <row r="810">
          <cell r="X810" t="str">
            <v>1EAII</v>
          </cell>
          <cell r="Y810" t="str">
            <v>TANK - PROCUREMENT   COMPRESSORS</v>
          </cell>
          <cell r="AF810">
            <v>0</v>
          </cell>
        </row>
        <row r="811">
          <cell r="X811" t="str">
            <v>1EAIJ</v>
          </cell>
          <cell r="Y811" t="str">
            <v>TANK - PROCUREMENT   GENERATORS</v>
          </cell>
          <cell r="Z811" t="str">
            <v>N/A</v>
          </cell>
          <cell r="AA811" t="str">
            <v>N/A</v>
          </cell>
          <cell r="AB811" t="str">
            <v>N/A</v>
          </cell>
          <cell r="AC811" t="str">
            <v>N/A</v>
          </cell>
          <cell r="AD811" t="str">
            <v>N/A</v>
          </cell>
          <cell r="AE811" t="str">
            <v>N/A</v>
          </cell>
          <cell r="AF811" t="str">
            <v>N/A</v>
          </cell>
        </row>
        <row r="812">
          <cell r="X812" t="str">
            <v>1EAIK</v>
          </cell>
          <cell r="Y812" t="str">
            <v>TANK - PROCUREMENT   MOTORS &amp; DRIVERS</v>
          </cell>
          <cell r="Z812" t="str">
            <v>N/A</v>
          </cell>
          <cell r="AA812" t="str">
            <v>N/A</v>
          </cell>
          <cell r="AB812" t="str">
            <v>N/A</v>
          </cell>
          <cell r="AC812" t="str">
            <v>N/A</v>
          </cell>
          <cell r="AD812" t="str">
            <v>N/A</v>
          </cell>
          <cell r="AE812" t="str">
            <v>N/A</v>
          </cell>
          <cell r="AF812" t="str">
            <v>N/A</v>
          </cell>
        </row>
        <row r="813">
          <cell r="X813" t="str">
            <v>1EAIL</v>
          </cell>
          <cell r="Y813" t="str">
            <v>TANK - PROCUREMENT   FIRED EQUIPMENT</v>
          </cell>
          <cell r="Z813" t="str">
            <v>N/A</v>
          </cell>
          <cell r="AA813" t="str">
            <v>N/A</v>
          </cell>
          <cell r="AB813" t="str">
            <v>N/A</v>
          </cell>
          <cell r="AC813" t="str">
            <v>N/A</v>
          </cell>
          <cell r="AD813" t="str">
            <v>N/A</v>
          </cell>
          <cell r="AE813" t="str">
            <v>N/A</v>
          </cell>
          <cell r="AF813" t="str">
            <v>N/A</v>
          </cell>
        </row>
        <row r="814">
          <cell r="X814" t="str">
            <v>1EAIM</v>
          </cell>
          <cell r="Y814" t="str">
            <v>TANK - PROCUREMENT   BLOWERS &amp; FANS</v>
          </cell>
          <cell r="Z814" t="str">
            <v>N/A</v>
          </cell>
          <cell r="AA814" t="str">
            <v>N/A</v>
          </cell>
          <cell r="AB814" t="str">
            <v>N/A</v>
          </cell>
          <cell r="AC814" t="str">
            <v>N/A</v>
          </cell>
          <cell r="AD814" t="str">
            <v>N/A</v>
          </cell>
          <cell r="AE814" t="str">
            <v>N/A</v>
          </cell>
          <cell r="AF814" t="str">
            <v>N/A</v>
          </cell>
        </row>
        <row r="815">
          <cell r="X815" t="str">
            <v>1EAIN</v>
          </cell>
          <cell r="Y815" t="str">
            <v>TANK - PROCUREMENT   FILTERS</v>
          </cell>
          <cell r="Z815" t="str">
            <v>N/A</v>
          </cell>
          <cell r="AA815" t="str">
            <v>N/A</v>
          </cell>
          <cell r="AB815" t="str">
            <v>N/A</v>
          </cell>
          <cell r="AC815" t="str">
            <v>N/A</v>
          </cell>
          <cell r="AD815" t="str">
            <v>N/A</v>
          </cell>
          <cell r="AE815" t="str">
            <v>N/A</v>
          </cell>
          <cell r="AF815" t="str">
            <v>N/A</v>
          </cell>
        </row>
        <row r="816">
          <cell r="X816" t="str">
            <v>1EAIO</v>
          </cell>
          <cell r="Y816" t="str">
            <v>TANK - PROCUREMENT   FLARES</v>
          </cell>
          <cell r="Z816" t="str">
            <v>N/A</v>
          </cell>
          <cell r="AA816" t="str">
            <v>N/A</v>
          </cell>
          <cell r="AB816" t="str">
            <v>N/A</v>
          </cell>
          <cell r="AC816" t="str">
            <v>N/A</v>
          </cell>
          <cell r="AD816" t="str">
            <v>N/A</v>
          </cell>
          <cell r="AE816" t="str">
            <v>N/A</v>
          </cell>
          <cell r="AF816" t="str">
            <v>N/A</v>
          </cell>
        </row>
        <row r="817">
          <cell r="X817" t="str">
            <v>1EAIP</v>
          </cell>
          <cell r="Y817" t="str">
            <v>TANK - PROCUREMENT   SOLIDS HANDLING EQUIPMENT</v>
          </cell>
          <cell r="Z817" t="str">
            <v>N/A</v>
          </cell>
          <cell r="AA817" t="str">
            <v>N/A</v>
          </cell>
          <cell r="AB817" t="str">
            <v>N/A</v>
          </cell>
          <cell r="AC817" t="str">
            <v>N/A</v>
          </cell>
          <cell r="AD817" t="str">
            <v>N/A</v>
          </cell>
          <cell r="AE817" t="str">
            <v>N/A</v>
          </cell>
          <cell r="AF817" t="str">
            <v>N/A</v>
          </cell>
        </row>
        <row r="818">
          <cell r="X818" t="str">
            <v>1EAIQ</v>
          </cell>
          <cell r="Y818" t="str">
            <v>TANK - PROCUREMENT   PACKAGED EQUIPMENT</v>
          </cell>
          <cell r="Z818" t="str">
            <v>N/A</v>
          </cell>
          <cell r="AA818" t="str">
            <v>N/A</v>
          </cell>
          <cell r="AB818" t="str">
            <v>N/A</v>
          </cell>
          <cell r="AC818" t="str">
            <v>N/A</v>
          </cell>
          <cell r="AD818" t="str">
            <v>N/A</v>
          </cell>
          <cell r="AE818" t="str">
            <v>N/A</v>
          </cell>
          <cell r="AF818" t="str">
            <v>N/A</v>
          </cell>
        </row>
        <row r="819">
          <cell r="X819" t="str">
            <v>1EAIT</v>
          </cell>
          <cell r="Y819" t="str">
            <v>TANK - PROCUREMENT   BULKS</v>
          </cell>
          <cell r="AF819">
            <v>0</v>
          </cell>
        </row>
        <row r="820">
          <cell r="X820" t="str">
            <v>1EAIX</v>
          </cell>
          <cell r="Y820" t="str">
            <v>TANK - PROCUREMENT   OTHER</v>
          </cell>
          <cell r="AF820">
            <v>0</v>
          </cell>
        </row>
        <row r="821">
          <cell r="X821" t="str">
            <v>1EAI-</v>
          </cell>
          <cell r="Y821" t="str">
            <v>SUBTOTAL - TANK - PROCUREMENT</v>
          </cell>
          <cell r="Z821">
            <v>0</v>
          </cell>
          <cell r="AA821" t="str">
            <v>N/A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</row>
        <row r="823">
          <cell r="X823" t="str">
            <v>1EAJA</v>
          </cell>
          <cell r="Y823" t="str">
            <v>TANK - INDIRECT ENG'G CONTRACTS</v>
          </cell>
          <cell r="AF823">
            <v>0</v>
          </cell>
        </row>
        <row r="824">
          <cell r="X824" t="str">
            <v>1EAJB</v>
          </cell>
          <cell r="Y824" t="str">
            <v>TANK - INDIRECT ENG'G PROJECT MANAGEMENT</v>
          </cell>
          <cell r="AF824">
            <v>0</v>
          </cell>
        </row>
        <row r="825">
          <cell r="X825" t="str">
            <v>1EAJC</v>
          </cell>
          <cell r="Y825" t="str">
            <v>TANK - INDIRECT ENG'G ENGINEERING/NON-TECH</v>
          </cell>
          <cell r="AF825">
            <v>0</v>
          </cell>
        </row>
        <row r="826">
          <cell r="X826" t="str">
            <v>1EAJX</v>
          </cell>
          <cell r="Y826" t="str">
            <v>TANK - INDIRECT ENG'G OTHER</v>
          </cell>
          <cell r="AF826">
            <v>0</v>
          </cell>
        </row>
        <row r="827">
          <cell r="X827" t="str">
            <v>1EAJ-</v>
          </cell>
          <cell r="Y827" t="str">
            <v>SUBTOTAL - TANK - INDIRECT ENGINEERING</v>
          </cell>
          <cell r="Z827">
            <v>0</v>
          </cell>
          <cell r="AA827" t="str">
            <v>N/A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38">
          <cell r="W838" t="str">
            <v>LEVEL 2 TANK PG.3</v>
          </cell>
          <cell r="X838" t="str">
            <v>WBS CODE</v>
          </cell>
          <cell r="Y838" t="str">
            <v>DESCRIPTION</v>
          </cell>
          <cell r="Z838" t="str">
            <v>QUANTITY</v>
          </cell>
          <cell r="AA838" t="str">
            <v>UNITS</v>
          </cell>
          <cell r="AB838" t="str">
            <v>TOTAL MANHOURS</v>
          </cell>
          <cell r="AC838" t="str">
            <v>TOTAL LABOR COST</v>
          </cell>
          <cell r="AD838" t="str">
            <v>TOTAL MAT'L COST</v>
          </cell>
          <cell r="AE838" t="str">
            <v>TOTAL S/C COST</v>
          </cell>
          <cell r="AF838" t="str">
            <v>TOTAL COST</v>
          </cell>
        </row>
        <row r="840">
          <cell r="X840" t="str">
            <v>1EBAA</v>
          </cell>
          <cell r="Y840" t="str">
            <v>TANK - FAB/DELIVERY MAJOR EQUIP PRESSURE VESSELS</v>
          </cell>
          <cell r="Z840" t="str">
            <v>N/A</v>
          </cell>
          <cell r="AA840" t="str">
            <v>N/A</v>
          </cell>
          <cell r="AB840" t="str">
            <v>N/A</v>
          </cell>
          <cell r="AC840" t="str">
            <v>N/A</v>
          </cell>
          <cell r="AD840" t="str">
            <v>N/A</v>
          </cell>
          <cell r="AE840" t="str">
            <v>N/A</v>
          </cell>
          <cell r="AF840" t="str">
            <v>N/A</v>
          </cell>
        </row>
        <row r="841">
          <cell r="X841" t="str">
            <v>1EBAB</v>
          </cell>
          <cell r="Y841" t="str">
            <v>TANK - FAB/DELIVERY MAJOR EQUIP COLUMNS</v>
          </cell>
          <cell r="Z841" t="str">
            <v>N/A</v>
          </cell>
          <cell r="AA841" t="str">
            <v>N/A</v>
          </cell>
          <cell r="AB841" t="str">
            <v>N/A</v>
          </cell>
          <cell r="AC841" t="str">
            <v>N/A</v>
          </cell>
          <cell r="AD841" t="str">
            <v>N/A</v>
          </cell>
          <cell r="AE841" t="str">
            <v>N/A</v>
          </cell>
          <cell r="AF841" t="str">
            <v>N/A</v>
          </cell>
        </row>
        <row r="842">
          <cell r="X842" t="str">
            <v>1EBAC</v>
          </cell>
          <cell r="Y842" t="str">
            <v>TANK - FAB/DELIVERY MAJOR EQUIP REACTORS</v>
          </cell>
          <cell r="Z842" t="str">
            <v>N/A</v>
          </cell>
          <cell r="AA842" t="str">
            <v>N/A</v>
          </cell>
          <cell r="AB842" t="str">
            <v>N/A</v>
          </cell>
          <cell r="AC842" t="str">
            <v>N/A</v>
          </cell>
          <cell r="AD842" t="str">
            <v>N/A</v>
          </cell>
          <cell r="AE842" t="str">
            <v>N/A</v>
          </cell>
          <cell r="AF842" t="str">
            <v>N/A</v>
          </cell>
        </row>
        <row r="843">
          <cell r="X843" t="str">
            <v>1EBAD</v>
          </cell>
          <cell r="Y843" t="str">
            <v>TANK - FAB/DELIVERY MAJOR EQUIP FIELD ERECTED TANKS</v>
          </cell>
          <cell r="Z843" t="str">
            <v>N/A</v>
          </cell>
          <cell r="AA843" t="str">
            <v>N/A</v>
          </cell>
          <cell r="AB843" t="str">
            <v>N/A</v>
          </cell>
          <cell r="AC843" t="str">
            <v>N/A</v>
          </cell>
          <cell r="AD843" t="str">
            <v>N/A</v>
          </cell>
          <cell r="AE843" t="str">
            <v>N/A</v>
          </cell>
          <cell r="AF843" t="str">
            <v>N/A</v>
          </cell>
        </row>
        <row r="844">
          <cell r="X844" t="str">
            <v>1EBAE</v>
          </cell>
          <cell r="Y844" t="str">
            <v>TANK - FAB/DELIVERY MAJOR EQUIP PUMPS</v>
          </cell>
          <cell r="Z844" t="str">
            <v>N/A</v>
          </cell>
          <cell r="AA844" t="str">
            <v>N/A</v>
          </cell>
          <cell r="AB844" t="str">
            <v>N/A</v>
          </cell>
          <cell r="AC844" t="str">
            <v>N/A</v>
          </cell>
          <cell r="AD844" t="str">
            <v>N/A</v>
          </cell>
          <cell r="AE844" t="str">
            <v>N/A</v>
          </cell>
          <cell r="AF844" t="str">
            <v>N/A</v>
          </cell>
        </row>
        <row r="845">
          <cell r="X845" t="str">
            <v>1EBAF</v>
          </cell>
          <cell r="Y845" t="str">
            <v>TANK - FAB/DELIVERY MAJOR EQUIP HEAT EXCHANGERS S&amp;T</v>
          </cell>
          <cell r="Z845" t="str">
            <v>N/A</v>
          </cell>
          <cell r="AA845" t="str">
            <v>N/A</v>
          </cell>
          <cell r="AB845" t="str">
            <v>N/A</v>
          </cell>
          <cell r="AC845" t="str">
            <v>N/A</v>
          </cell>
          <cell r="AD845" t="str">
            <v>N/A</v>
          </cell>
          <cell r="AE845" t="str">
            <v>N/A</v>
          </cell>
          <cell r="AF845" t="str">
            <v>N/A</v>
          </cell>
        </row>
        <row r="846">
          <cell r="X846" t="str">
            <v>1EBAG</v>
          </cell>
          <cell r="Y846" t="str">
            <v>TANK - FAB/DELIVERY MAJOR EQUIP HEAT EXCHANGERS FINNED</v>
          </cell>
          <cell r="Z846" t="str">
            <v>N/A</v>
          </cell>
          <cell r="AA846" t="str">
            <v>N/A</v>
          </cell>
          <cell r="AB846" t="str">
            <v>N/A</v>
          </cell>
          <cell r="AC846" t="str">
            <v>N/A</v>
          </cell>
          <cell r="AD846" t="str">
            <v>N/A</v>
          </cell>
          <cell r="AE846" t="str">
            <v>N/A</v>
          </cell>
          <cell r="AF846" t="str">
            <v>N/A</v>
          </cell>
        </row>
        <row r="847">
          <cell r="X847" t="str">
            <v>1EBAH</v>
          </cell>
          <cell r="Y847" t="str">
            <v>TANK - FAB/DELIVERY MAJOR EQUIP EXTRUDERS</v>
          </cell>
          <cell r="Z847" t="str">
            <v>N/A</v>
          </cell>
          <cell r="AA847" t="str">
            <v>N/A</v>
          </cell>
          <cell r="AB847" t="str">
            <v>N/A</v>
          </cell>
          <cell r="AC847" t="str">
            <v>N/A</v>
          </cell>
          <cell r="AD847" t="str">
            <v>N/A</v>
          </cell>
          <cell r="AE847" t="str">
            <v>N/A</v>
          </cell>
          <cell r="AF847" t="str">
            <v>N/A</v>
          </cell>
        </row>
        <row r="848">
          <cell r="X848" t="str">
            <v>1EBAI</v>
          </cell>
          <cell r="Y848" t="str">
            <v>TANK - FAB/DELIVERY MAJOR EQUIP COMPRESSORS</v>
          </cell>
          <cell r="Z848" t="str">
            <v>N/A</v>
          </cell>
          <cell r="AA848" t="str">
            <v>N/A</v>
          </cell>
          <cell r="AB848" t="str">
            <v>N/A</v>
          </cell>
          <cell r="AC848" t="str">
            <v>N/A</v>
          </cell>
          <cell r="AD848" t="str">
            <v>N/A</v>
          </cell>
          <cell r="AE848" t="str">
            <v>N/A</v>
          </cell>
          <cell r="AF848" t="str">
            <v>N/A</v>
          </cell>
        </row>
        <row r="849">
          <cell r="X849" t="str">
            <v>1EBAJ</v>
          </cell>
          <cell r="Y849" t="str">
            <v>TANK - FAB/DELIVERY MAJOR EQUIP GENERATORS</v>
          </cell>
          <cell r="Z849" t="str">
            <v>N/A</v>
          </cell>
          <cell r="AA849" t="str">
            <v>N/A</v>
          </cell>
          <cell r="AB849" t="str">
            <v>N/A</v>
          </cell>
          <cell r="AC849" t="str">
            <v>N/A</v>
          </cell>
          <cell r="AD849" t="str">
            <v>N/A</v>
          </cell>
          <cell r="AE849" t="str">
            <v>N/A</v>
          </cell>
          <cell r="AF849" t="str">
            <v>N/A</v>
          </cell>
        </row>
        <row r="850">
          <cell r="X850" t="str">
            <v>1EBAJ</v>
          </cell>
          <cell r="Y850" t="str">
            <v>TANK - FAB/DELIVERY MAJOR EQUIP MOTORS &amp; DRIVERS</v>
          </cell>
          <cell r="Z850" t="str">
            <v>N/A</v>
          </cell>
          <cell r="AA850" t="str">
            <v>N/A</v>
          </cell>
          <cell r="AB850" t="str">
            <v>N/A</v>
          </cell>
          <cell r="AC850" t="str">
            <v>N/A</v>
          </cell>
          <cell r="AD850" t="str">
            <v>N/A</v>
          </cell>
          <cell r="AE850" t="str">
            <v>N/A</v>
          </cell>
          <cell r="AF850" t="str">
            <v>N/A</v>
          </cell>
        </row>
        <row r="851">
          <cell r="X851" t="str">
            <v>1EBAL</v>
          </cell>
          <cell r="Y851" t="str">
            <v>TANK - FAB/DELIVERY MAJOR EQUIP FIRED EQUIPMENT</v>
          </cell>
          <cell r="Z851" t="str">
            <v>N/A</v>
          </cell>
          <cell r="AA851" t="str">
            <v>N/A</v>
          </cell>
          <cell r="AB851" t="str">
            <v>N/A</v>
          </cell>
          <cell r="AC851" t="str">
            <v>N/A</v>
          </cell>
          <cell r="AD851" t="str">
            <v>N/A</v>
          </cell>
          <cell r="AE851" t="str">
            <v>N/A</v>
          </cell>
          <cell r="AF851" t="str">
            <v>N/A</v>
          </cell>
        </row>
        <row r="852">
          <cell r="X852" t="str">
            <v>1EBAM</v>
          </cell>
          <cell r="Y852" t="str">
            <v>TANK - FAB/DELIVERY MAJOR EQUIP BLOWERS, FANS</v>
          </cell>
          <cell r="Z852" t="str">
            <v>N/A</v>
          </cell>
          <cell r="AA852" t="str">
            <v>N/A</v>
          </cell>
          <cell r="AB852" t="str">
            <v>N/A</v>
          </cell>
          <cell r="AC852" t="str">
            <v>N/A</v>
          </cell>
          <cell r="AD852" t="str">
            <v>N/A</v>
          </cell>
          <cell r="AE852" t="str">
            <v>N/A</v>
          </cell>
          <cell r="AF852" t="str">
            <v>N/A</v>
          </cell>
        </row>
        <row r="853">
          <cell r="X853" t="str">
            <v>1EBAN</v>
          </cell>
          <cell r="Y853" t="str">
            <v>TANK - FAB/DELIVERY MAJOR EQUIP FILTERS</v>
          </cell>
          <cell r="Z853" t="str">
            <v>N/A</v>
          </cell>
          <cell r="AA853" t="str">
            <v>N/A</v>
          </cell>
          <cell r="AB853" t="str">
            <v>N/A</v>
          </cell>
          <cell r="AC853" t="str">
            <v>N/A</v>
          </cell>
          <cell r="AD853" t="str">
            <v>N/A</v>
          </cell>
          <cell r="AE853" t="str">
            <v>N/A</v>
          </cell>
          <cell r="AF853" t="str">
            <v>N/A</v>
          </cell>
        </row>
        <row r="854">
          <cell r="X854" t="str">
            <v>1EBAO</v>
          </cell>
          <cell r="Y854" t="str">
            <v>TANK - FAB/DELIVERY MAJOR EQUIP FLARES</v>
          </cell>
          <cell r="Z854" t="str">
            <v>N/A</v>
          </cell>
          <cell r="AA854" t="str">
            <v>N/A</v>
          </cell>
          <cell r="AB854" t="str">
            <v>N/A</v>
          </cell>
          <cell r="AC854" t="str">
            <v>N/A</v>
          </cell>
          <cell r="AD854" t="str">
            <v>N/A</v>
          </cell>
          <cell r="AE854" t="str">
            <v>N/A</v>
          </cell>
          <cell r="AF854" t="str">
            <v>N/A</v>
          </cell>
        </row>
        <row r="855">
          <cell r="X855" t="str">
            <v>1EBAP</v>
          </cell>
          <cell r="Y855" t="str">
            <v>TANK - FAB/DELIVERY MAJOR EQUIP SOLIDS HANDLING EQUIPMENT</v>
          </cell>
          <cell r="Z855" t="str">
            <v>N/A</v>
          </cell>
          <cell r="AA855" t="str">
            <v>N/A</v>
          </cell>
          <cell r="AB855" t="str">
            <v>N/A</v>
          </cell>
          <cell r="AC855" t="str">
            <v>N/A</v>
          </cell>
          <cell r="AD855" t="str">
            <v>N/A</v>
          </cell>
          <cell r="AE855" t="str">
            <v>N/A</v>
          </cell>
          <cell r="AF855" t="str">
            <v>N/A</v>
          </cell>
        </row>
        <row r="856">
          <cell r="X856" t="str">
            <v>1EBAQ</v>
          </cell>
          <cell r="Y856" t="str">
            <v>TANK - FAB/DELIVERY MAJOR EQUIP PACKAGED EQUIPMENT</v>
          </cell>
          <cell r="Z856" t="str">
            <v>N/A</v>
          </cell>
          <cell r="AA856" t="str">
            <v>N/A</v>
          </cell>
          <cell r="AB856" t="str">
            <v>N/A</v>
          </cell>
          <cell r="AC856" t="str">
            <v>N/A</v>
          </cell>
          <cell r="AD856" t="str">
            <v>N/A</v>
          </cell>
          <cell r="AE856" t="str">
            <v>N/A</v>
          </cell>
          <cell r="AF856" t="str">
            <v>N/A</v>
          </cell>
        </row>
        <row r="857">
          <cell r="X857" t="str">
            <v>1EBAX</v>
          </cell>
          <cell r="Y857" t="str">
            <v>TANK - FAB/DELIVERY MAJOR EQUIP OTHER</v>
          </cell>
          <cell r="Z857" t="str">
            <v>N/A</v>
          </cell>
          <cell r="AA857" t="str">
            <v>N/A</v>
          </cell>
          <cell r="AB857" t="str">
            <v>N/A</v>
          </cell>
          <cell r="AC857" t="str">
            <v>N/A</v>
          </cell>
          <cell r="AD857" t="str">
            <v>N/A</v>
          </cell>
          <cell r="AE857" t="str">
            <v>N/A</v>
          </cell>
          <cell r="AF857" t="str">
            <v>N/A</v>
          </cell>
        </row>
        <row r="858">
          <cell r="X858" t="str">
            <v>1EBA-</v>
          </cell>
          <cell r="Y858" t="str">
            <v>SUBTOTAL - TANK - FAB/DELIVERY MAJOR EQUIP.</v>
          </cell>
          <cell r="Z858">
            <v>0</v>
          </cell>
          <cell r="AA858" t="str">
            <v>N/A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</row>
        <row r="860">
          <cell r="X860" t="str">
            <v>1EBBA</v>
          </cell>
          <cell r="Y860" t="str">
            <v>TANK - FAB/DELIVERY BULKS - IMBEDS</v>
          </cell>
          <cell r="AF860">
            <v>0</v>
          </cell>
        </row>
        <row r="861">
          <cell r="X861" t="str">
            <v>1EBBB</v>
          </cell>
          <cell r="Y861" t="str">
            <v>TANK - FAB/DELIVERY BULKS - STRUCTURAL</v>
          </cell>
          <cell r="AF861">
            <v>0</v>
          </cell>
        </row>
        <row r="862">
          <cell r="X862" t="str">
            <v>1EBBC</v>
          </cell>
          <cell r="Y862" t="str">
            <v>TANK - FAB/DELIVERY BULKS - PIPING</v>
          </cell>
          <cell r="AF862">
            <v>0</v>
          </cell>
        </row>
        <row r="863">
          <cell r="X863" t="str">
            <v>1EBBD</v>
          </cell>
          <cell r="Y863" t="str">
            <v>TANK - FAB/DELIVERY BULKS - ELECTRICAL</v>
          </cell>
          <cell r="AF863">
            <v>0</v>
          </cell>
        </row>
        <row r="864">
          <cell r="X864" t="str">
            <v>1EBBE</v>
          </cell>
          <cell r="Y864" t="str">
            <v>TANK - FAB/DELIVERY BULKS - INSTRUMENTATION</v>
          </cell>
          <cell r="AF864">
            <v>0</v>
          </cell>
        </row>
        <row r="865">
          <cell r="X865" t="str">
            <v>1EBBF</v>
          </cell>
          <cell r="Y865" t="str">
            <v>TANK - FAB/DELIVERY BULKS - PIPELINES</v>
          </cell>
          <cell r="Z865" t="str">
            <v>N/A</v>
          </cell>
          <cell r="AA865" t="str">
            <v>N/A</v>
          </cell>
          <cell r="AB865" t="str">
            <v>N/A</v>
          </cell>
          <cell r="AC865" t="str">
            <v>N/A</v>
          </cell>
          <cell r="AD865" t="str">
            <v>N/A</v>
          </cell>
          <cell r="AE865" t="str">
            <v>N/A</v>
          </cell>
          <cell r="AF865" t="str">
            <v>N/A</v>
          </cell>
        </row>
        <row r="866">
          <cell r="X866" t="str">
            <v>1EBB-</v>
          </cell>
          <cell r="Y866" t="str">
            <v>SUBTOTAL - TANK - FAB/DELIVERY BULKS</v>
          </cell>
          <cell r="Z866">
            <v>0</v>
          </cell>
          <cell r="AA866" t="str">
            <v>N/A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8">
          <cell r="X868" t="str">
            <v>1EBCA</v>
          </cell>
          <cell r="Y868" t="str">
            <v>TANK - FAB/DELIVERY ENG. SPECIALTIES - BUILDINGS</v>
          </cell>
          <cell r="AF868">
            <v>0</v>
          </cell>
        </row>
        <row r="869">
          <cell r="X869" t="str">
            <v>1EBCB</v>
          </cell>
          <cell r="Y869" t="str">
            <v>TANK - FAB/DELIVERY ENG. SPECIALTIES - GENERAL</v>
          </cell>
          <cell r="AF869">
            <v>0</v>
          </cell>
        </row>
        <row r="870">
          <cell r="X870" t="str">
            <v>1EBC-</v>
          </cell>
          <cell r="Y870" t="str">
            <v>SUBTOTAL - TANK - FAB/DELIVERY ENGINEERING SPECIALTIES</v>
          </cell>
          <cell r="Z870">
            <v>0</v>
          </cell>
          <cell r="AA870" t="str">
            <v>N/A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</row>
        <row r="876">
          <cell r="W876" t="str">
            <v>LEVEL 2 TANK PG.4</v>
          </cell>
          <cell r="X876" t="str">
            <v>WBS CODE</v>
          </cell>
          <cell r="Y876" t="str">
            <v>DESCRIPTION</v>
          </cell>
          <cell r="Z876" t="str">
            <v>QUANTITY</v>
          </cell>
          <cell r="AA876" t="str">
            <v>UNITS</v>
          </cell>
          <cell r="AB876" t="str">
            <v>TOTAL MANHOURS</v>
          </cell>
          <cell r="AC876" t="str">
            <v>TOTAL LABOR COST</v>
          </cell>
          <cell r="AD876" t="str">
            <v>TOTAL MAT'L COST</v>
          </cell>
          <cell r="AE876" t="str">
            <v>TOTAL S/C COST</v>
          </cell>
          <cell r="AF876" t="str">
            <v>TOTAL COST</v>
          </cell>
        </row>
        <row r="877">
          <cell r="X877" t="str">
            <v>1ECAA</v>
          </cell>
          <cell r="Y877" t="str">
            <v>TANK - CONSTRUCTION, CIVIL - SITE WORK</v>
          </cell>
          <cell r="AF877">
            <v>0</v>
          </cell>
        </row>
        <row r="878">
          <cell r="X878" t="str">
            <v>1ECAB</v>
          </cell>
          <cell r="Y878" t="str">
            <v>TANK - CONSTRUCTION, CIVIL - FOUNDATIONS</v>
          </cell>
          <cell r="AF878">
            <v>0</v>
          </cell>
        </row>
        <row r="879">
          <cell r="X879" t="str">
            <v>1ECA</v>
          </cell>
          <cell r="Y879" t="str">
            <v>SUBTOTAL - TANK - CONSTRUCTION, CIVIL</v>
          </cell>
          <cell r="Z879">
            <v>0</v>
          </cell>
          <cell r="AA879" t="str">
            <v>N/A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</row>
        <row r="881">
          <cell r="X881" t="str">
            <v>1ECBA</v>
          </cell>
          <cell r="Y881" t="str">
            <v>TANK - CONSTRUCTION, MAJOR EQUIPMENT - PRESSURE VESSELS</v>
          </cell>
          <cell r="Z881" t="str">
            <v>N/A</v>
          </cell>
          <cell r="AA881" t="str">
            <v>N/A</v>
          </cell>
          <cell r="AB881" t="str">
            <v>N/A</v>
          </cell>
          <cell r="AC881" t="str">
            <v>N/A</v>
          </cell>
          <cell r="AD881" t="str">
            <v>N/A</v>
          </cell>
          <cell r="AE881" t="str">
            <v>N/A</v>
          </cell>
          <cell r="AF881" t="str">
            <v>N/A</v>
          </cell>
        </row>
        <row r="882">
          <cell r="X882" t="str">
            <v>1ECBB</v>
          </cell>
          <cell r="Y882" t="str">
            <v>TANK - CONSTRUCTION, MAJOR EQUIPMENT - COLUMNS</v>
          </cell>
          <cell r="Z882" t="str">
            <v>N/A</v>
          </cell>
          <cell r="AA882" t="str">
            <v>N/A</v>
          </cell>
          <cell r="AB882" t="str">
            <v>N/A</v>
          </cell>
          <cell r="AC882" t="str">
            <v>N/A</v>
          </cell>
          <cell r="AD882" t="str">
            <v>N/A</v>
          </cell>
          <cell r="AE882" t="str">
            <v>N/A</v>
          </cell>
          <cell r="AF882" t="str">
            <v>N/A</v>
          </cell>
        </row>
        <row r="883">
          <cell r="X883" t="str">
            <v>1ECBC</v>
          </cell>
          <cell r="Y883" t="str">
            <v>TANK - CONSTRUCTION, MAJOR EQUIPMENT - REACTORS</v>
          </cell>
          <cell r="Z883" t="str">
            <v>N/A</v>
          </cell>
          <cell r="AA883" t="str">
            <v>N/A</v>
          </cell>
          <cell r="AB883" t="str">
            <v>N/A</v>
          </cell>
          <cell r="AC883" t="str">
            <v>N/A</v>
          </cell>
          <cell r="AD883" t="str">
            <v>N/A</v>
          </cell>
          <cell r="AE883" t="str">
            <v>N/A</v>
          </cell>
          <cell r="AF883" t="str">
            <v>N/A</v>
          </cell>
        </row>
        <row r="884">
          <cell r="X884" t="str">
            <v>1ECBD</v>
          </cell>
          <cell r="Y884" t="str">
            <v>TANK - CONSTRUCTION, MAJOR EQUIPMENT - FIELD ERECTED TANKS</v>
          </cell>
          <cell r="Z884" t="str">
            <v>N/A</v>
          </cell>
          <cell r="AA884" t="str">
            <v>N/A</v>
          </cell>
          <cell r="AB884" t="str">
            <v>N/A</v>
          </cell>
          <cell r="AC884" t="str">
            <v>N/A</v>
          </cell>
          <cell r="AD884" t="str">
            <v>N/A</v>
          </cell>
          <cell r="AE884" t="str">
            <v>N/A</v>
          </cell>
          <cell r="AF884" t="str">
            <v>N/A</v>
          </cell>
        </row>
        <row r="885">
          <cell r="X885" t="str">
            <v>1ECBE</v>
          </cell>
          <cell r="Y885" t="str">
            <v>TANK - CONSTRUCTION, MAJOR EQUIPMENT - PUMPS</v>
          </cell>
          <cell r="AF885">
            <v>0</v>
          </cell>
        </row>
        <row r="886">
          <cell r="X886" t="str">
            <v>1ECBF</v>
          </cell>
          <cell r="Y886" t="str">
            <v>TANK - CONSTRUCTION, MAJOR EQUIPMENT - HEAT EXCHANGERS S&amp;T</v>
          </cell>
          <cell r="Z886" t="str">
            <v>N/A</v>
          </cell>
          <cell r="AA886" t="str">
            <v>N/A</v>
          </cell>
          <cell r="AB886" t="str">
            <v>N/A</v>
          </cell>
          <cell r="AC886" t="str">
            <v>N/A</v>
          </cell>
          <cell r="AD886" t="str">
            <v>N/A</v>
          </cell>
          <cell r="AE886" t="str">
            <v>N/A</v>
          </cell>
          <cell r="AF886" t="str">
            <v>N/A</v>
          </cell>
        </row>
        <row r="887">
          <cell r="X887" t="str">
            <v>1ECBG</v>
          </cell>
          <cell r="Y887" t="str">
            <v>TANK - CONSTRUCTION, MAJOR EQUIPMENT - HEAT EXCHANGERS FINNED</v>
          </cell>
          <cell r="Z887" t="str">
            <v>N/A</v>
          </cell>
          <cell r="AA887" t="str">
            <v>N/A</v>
          </cell>
          <cell r="AB887" t="str">
            <v>N/A</v>
          </cell>
          <cell r="AC887" t="str">
            <v>N/A</v>
          </cell>
          <cell r="AD887" t="str">
            <v>N/A</v>
          </cell>
          <cell r="AE887" t="str">
            <v>N/A</v>
          </cell>
          <cell r="AF887" t="str">
            <v>N/A</v>
          </cell>
        </row>
        <row r="888">
          <cell r="X888" t="str">
            <v>1ECBH</v>
          </cell>
          <cell r="Y888" t="str">
            <v>TANK - CONSTRUCTION, MAJOR EQUIPMENT - EXTRUDERS</v>
          </cell>
          <cell r="Z888" t="str">
            <v>N/A</v>
          </cell>
          <cell r="AA888" t="str">
            <v>N/A</v>
          </cell>
          <cell r="AB888" t="str">
            <v>N/A</v>
          </cell>
          <cell r="AC888" t="str">
            <v>N/A</v>
          </cell>
          <cell r="AD888" t="str">
            <v>N/A</v>
          </cell>
          <cell r="AE888" t="str">
            <v>N/A</v>
          </cell>
          <cell r="AF888" t="str">
            <v>N/A</v>
          </cell>
        </row>
        <row r="889">
          <cell r="X889" t="str">
            <v>1ECBI</v>
          </cell>
          <cell r="Y889" t="str">
            <v>TANK - CONSTRUCTION, MAJOR EQUIPMENT - COMPRESSORS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</row>
        <row r="890">
          <cell r="X890" t="str">
            <v>1ECBJ</v>
          </cell>
          <cell r="Y890" t="str">
            <v>TANK - CONSTRUCTION, MAJOR EQUIPMENT - GENERATORS</v>
          </cell>
          <cell r="Z890" t="str">
            <v>N/A</v>
          </cell>
          <cell r="AA890" t="str">
            <v>N/A</v>
          </cell>
          <cell r="AB890" t="str">
            <v>N/A</v>
          </cell>
          <cell r="AC890" t="str">
            <v>N/A</v>
          </cell>
          <cell r="AD890" t="str">
            <v>N/A</v>
          </cell>
          <cell r="AE890" t="str">
            <v>N/A</v>
          </cell>
          <cell r="AF890" t="str">
            <v>N/A</v>
          </cell>
        </row>
        <row r="891">
          <cell r="X891" t="str">
            <v>1ECBK</v>
          </cell>
          <cell r="Y891" t="str">
            <v>TANK - CONSTRUCTION, MAJOR EQUIPMENT - MOTORS &amp; DRIVERS</v>
          </cell>
          <cell r="Z891" t="str">
            <v>N/A</v>
          </cell>
          <cell r="AA891" t="str">
            <v>N/A</v>
          </cell>
          <cell r="AB891" t="str">
            <v>N/A</v>
          </cell>
          <cell r="AC891" t="str">
            <v>N/A</v>
          </cell>
          <cell r="AD891" t="str">
            <v>N/A</v>
          </cell>
          <cell r="AE891" t="str">
            <v>N/A</v>
          </cell>
          <cell r="AF891" t="str">
            <v>N/A</v>
          </cell>
        </row>
        <row r="892">
          <cell r="X892" t="str">
            <v>1ECBL</v>
          </cell>
          <cell r="Y892" t="str">
            <v>TANK - CONSTRUCTION, MAJOR EQUIPMENT - FIRED EQUIPMENT</v>
          </cell>
          <cell r="Z892" t="str">
            <v>N/A</v>
          </cell>
          <cell r="AA892" t="str">
            <v>N/A</v>
          </cell>
          <cell r="AB892" t="str">
            <v>N/A</v>
          </cell>
          <cell r="AC892" t="str">
            <v>N/A</v>
          </cell>
          <cell r="AD892" t="str">
            <v>N/A</v>
          </cell>
          <cell r="AE892" t="str">
            <v>N/A</v>
          </cell>
          <cell r="AF892" t="str">
            <v>N/A</v>
          </cell>
        </row>
        <row r="893">
          <cell r="X893" t="str">
            <v>1ECBM</v>
          </cell>
          <cell r="Y893" t="str">
            <v>TANK - CONSTRUCTION, MAJOR EQUIPMENT - BLOWERS, FANS</v>
          </cell>
          <cell r="Z893" t="str">
            <v>N/A</v>
          </cell>
          <cell r="AA893" t="str">
            <v>N/A</v>
          </cell>
          <cell r="AB893" t="str">
            <v>N/A</v>
          </cell>
          <cell r="AC893" t="str">
            <v>N/A</v>
          </cell>
          <cell r="AD893" t="str">
            <v>N/A</v>
          </cell>
          <cell r="AE893" t="str">
            <v>N/A</v>
          </cell>
          <cell r="AF893" t="str">
            <v>N/A</v>
          </cell>
        </row>
        <row r="894">
          <cell r="X894" t="str">
            <v>1ECBN</v>
          </cell>
          <cell r="Y894" t="str">
            <v>TANK - CONSTRUCTION, MAJOR EQUIPMENT - FILTERS</v>
          </cell>
          <cell r="Z894" t="str">
            <v>N/A</v>
          </cell>
          <cell r="AA894" t="str">
            <v>N/A</v>
          </cell>
          <cell r="AB894" t="str">
            <v>N/A</v>
          </cell>
          <cell r="AC894" t="str">
            <v>N/A</v>
          </cell>
          <cell r="AD894" t="str">
            <v>N/A</v>
          </cell>
          <cell r="AE894" t="str">
            <v>N/A</v>
          </cell>
          <cell r="AF894" t="str">
            <v>N/A</v>
          </cell>
        </row>
        <row r="895">
          <cell r="X895" t="str">
            <v>1ECBO</v>
          </cell>
          <cell r="Y895" t="str">
            <v>TANK - CONSTRUCTION, MAJOR EQUIPMENT - FLARES</v>
          </cell>
          <cell r="Z895" t="str">
            <v>N/A</v>
          </cell>
          <cell r="AA895" t="str">
            <v>N/A</v>
          </cell>
          <cell r="AB895" t="str">
            <v>N/A</v>
          </cell>
          <cell r="AC895" t="str">
            <v>N/A</v>
          </cell>
          <cell r="AD895" t="str">
            <v>N/A</v>
          </cell>
          <cell r="AE895" t="str">
            <v>N/A</v>
          </cell>
          <cell r="AF895" t="str">
            <v>N/A</v>
          </cell>
        </row>
        <row r="896">
          <cell r="X896" t="str">
            <v>1ECBP</v>
          </cell>
          <cell r="Y896" t="str">
            <v>TANK - CONSTRUCTION, MAJOR EQUIPMENT - SOLIDS HANDLING EQUIPMENT</v>
          </cell>
          <cell r="Z896" t="str">
            <v>N/A</v>
          </cell>
          <cell r="AA896" t="str">
            <v>N/A</v>
          </cell>
          <cell r="AB896" t="str">
            <v>N/A</v>
          </cell>
          <cell r="AC896" t="str">
            <v>N/A</v>
          </cell>
          <cell r="AD896" t="str">
            <v>N/A</v>
          </cell>
          <cell r="AE896" t="str">
            <v>N/A</v>
          </cell>
          <cell r="AF896" t="str">
            <v>N/A</v>
          </cell>
        </row>
        <row r="897">
          <cell r="X897" t="str">
            <v>1ECBQ</v>
          </cell>
          <cell r="Y897" t="str">
            <v>TANK - CONSTRUCTION, MAJOR EQUIPMENT - PACKAGED EQUIPMENT</v>
          </cell>
          <cell r="Z897" t="str">
            <v>N/A</v>
          </cell>
          <cell r="AA897" t="str">
            <v>N/A</v>
          </cell>
          <cell r="AB897" t="str">
            <v>N/A</v>
          </cell>
          <cell r="AC897" t="str">
            <v>N/A</v>
          </cell>
          <cell r="AD897" t="str">
            <v>N/A</v>
          </cell>
          <cell r="AE897" t="str">
            <v>N/A</v>
          </cell>
          <cell r="AF897" t="str">
            <v>N/A</v>
          </cell>
        </row>
        <row r="898">
          <cell r="X898" t="str">
            <v>1ECBX</v>
          </cell>
          <cell r="Y898" t="str">
            <v>TANK - CONSTRUCTION, MAJOR EQUIPMENT - OTHERS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</row>
        <row r="899">
          <cell r="X899" t="str">
            <v>1ECB-</v>
          </cell>
          <cell r="Y899" t="str">
            <v>SUBTOTAL - TANK - CONSTRUCTION, MAJOR EQUIPMENT</v>
          </cell>
          <cell r="Z899">
            <v>0</v>
          </cell>
          <cell r="AA899" t="str">
            <v>N/A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</row>
        <row r="901">
          <cell r="X901" t="str">
            <v>1ECCA</v>
          </cell>
          <cell r="Y901" t="str">
            <v>TANK - CONSTRUCTION, BULKS - STRUCTURAL</v>
          </cell>
          <cell r="AF901">
            <v>0</v>
          </cell>
        </row>
        <row r="902">
          <cell r="X902" t="str">
            <v>1ECCB</v>
          </cell>
          <cell r="Y902" t="str">
            <v>TANK - CONSTRUCTION, BULKS - PIPING</v>
          </cell>
          <cell r="AF902">
            <v>0</v>
          </cell>
        </row>
        <row r="903">
          <cell r="X903" t="str">
            <v>1ECCC</v>
          </cell>
          <cell r="Y903" t="str">
            <v>TANK - CONSTRUCTION, BULKS - ELECTRICAL</v>
          </cell>
          <cell r="AF903">
            <v>0</v>
          </cell>
        </row>
        <row r="904">
          <cell r="X904" t="str">
            <v>1ECCD</v>
          </cell>
          <cell r="Y904" t="str">
            <v>TANK - CONSTRUCTION, BULKS - INSTRUMENTATION</v>
          </cell>
          <cell r="AF904">
            <v>0</v>
          </cell>
        </row>
        <row r="905">
          <cell r="X905" t="str">
            <v>1ECCE</v>
          </cell>
          <cell r="Y905" t="str">
            <v>TANK - CONSTRUCTION, BULKS - PIPELINES</v>
          </cell>
          <cell r="Z905" t="str">
            <v>N/A</v>
          </cell>
          <cell r="AA905" t="str">
            <v>N/A</v>
          </cell>
          <cell r="AB905" t="str">
            <v>N/A</v>
          </cell>
          <cell r="AC905" t="str">
            <v>N/A</v>
          </cell>
          <cell r="AD905" t="str">
            <v>N/A</v>
          </cell>
          <cell r="AE905" t="str">
            <v>N/A</v>
          </cell>
          <cell r="AF905" t="str">
            <v>N/A</v>
          </cell>
        </row>
        <row r="906">
          <cell r="X906" t="str">
            <v>1ECC-</v>
          </cell>
          <cell r="Y906" t="str">
            <v xml:space="preserve">SUBTOTAL - TANK - CONSTRUCTION, BULKS </v>
          </cell>
          <cell r="Z906">
            <v>0</v>
          </cell>
          <cell r="AA906" t="str">
            <v>N/A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</row>
        <row r="908">
          <cell r="X908" t="str">
            <v>1ECDA</v>
          </cell>
          <cell r="Y908" t="str">
            <v>TANK - CONSTRUCTION SPECIALTIES - BUILDINGS</v>
          </cell>
          <cell r="AF908">
            <v>0</v>
          </cell>
        </row>
        <row r="909">
          <cell r="X909" t="str">
            <v>1ECDB</v>
          </cell>
          <cell r="Y909" t="str">
            <v>TANK - CONSTRUCTION SPECIALTIES - GENERAL</v>
          </cell>
          <cell r="AF909">
            <v>0</v>
          </cell>
        </row>
        <row r="910">
          <cell r="X910" t="str">
            <v>1ECD-</v>
          </cell>
          <cell r="Y910" t="str">
            <v>SUBTOTAL - TANK - CONSTRUCTION SPECIALTIES</v>
          </cell>
          <cell r="Z910">
            <v>0</v>
          </cell>
          <cell r="AA910" t="str">
            <v>N/A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4">
          <cell r="W914" t="str">
            <v>LEVEL 2 TANK PG 5</v>
          </cell>
          <cell r="X914" t="str">
            <v>WBS CODE</v>
          </cell>
          <cell r="Y914" t="str">
            <v>DESCRIPTION</v>
          </cell>
          <cell r="Z914" t="str">
            <v>QUANTITY</v>
          </cell>
          <cell r="AA914" t="str">
            <v>UNITS</v>
          </cell>
          <cell r="AB914" t="str">
            <v>TOTAL MANHOURS</v>
          </cell>
          <cell r="AC914" t="str">
            <v>TOTAL LABOR COST</v>
          </cell>
          <cell r="AD914" t="str">
            <v>TOTAL MAT'L COST</v>
          </cell>
          <cell r="AE914" t="str">
            <v>TOTAL S/C COST</v>
          </cell>
          <cell r="AF914" t="str">
            <v>TOTAL COST</v>
          </cell>
        </row>
        <row r="916">
          <cell r="X916" t="str">
            <v>1ECEA</v>
          </cell>
          <cell r="Y916" t="str">
            <v>TANK - CONSTRUCTION, OTHER DIRECT WORK - FIRE PROTECTION</v>
          </cell>
          <cell r="AF916">
            <v>0</v>
          </cell>
        </row>
        <row r="917">
          <cell r="X917" t="str">
            <v>1ECEB</v>
          </cell>
          <cell r="Y917" t="str">
            <v>TANK - CONSTRUCTION, OTHER DIRECT WORK - FIREPROOFING</v>
          </cell>
          <cell r="AF917">
            <v>0</v>
          </cell>
        </row>
        <row r="918">
          <cell r="X918" t="str">
            <v>1ECEC</v>
          </cell>
          <cell r="Y918" t="str">
            <v>TANK - CONSTRUCTION, OTHER DIRECT WORK - INSULATION</v>
          </cell>
          <cell r="AF918">
            <v>0</v>
          </cell>
        </row>
        <row r="919">
          <cell r="X919" t="str">
            <v>1ECED</v>
          </cell>
          <cell r="Y919" t="str">
            <v>TANK - CONSTRUCTION, OTHER DIRECT WORK - PAINTING</v>
          </cell>
          <cell r="AF919">
            <v>0</v>
          </cell>
        </row>
        <row r="920">
          <cell r="X920" t="str">
            <v>1ECEE</v>
          </cell>
          <cell r="Y920" t="str">
            <v>TANK - CONSTRUCTION, OTHER DIRECT WORK - SHUTDOWN</v>
          </cell>
          <cell r="AF920">
            <v>0</v>
          </cell>
        </row>
        <row r="921">
          <cell r="X921" t="str">
            <v>1ECEF</v>
          </cell>
          <cell r="Y921" t="str">
            <v>TANK - CONSTRUCTION, OTHER DIRECT WORK - PRE-COMMISSIONING</v>
          </cell>
          <cell r="AF921">
            <v>0</v>
          </cell>
        </row>
        <row r="922">
          <cell r="X922" t="str">
            <v>1ECEG</v>
          </cell>
          <cell r="Y922" t="str">
            <v>TANK - CONSTRUCTION, OTHER DIRECT WORK - ENVIRONMENTAL</v>
          </cell>
          <cell r="AF922">
            <v>0</v>
          </cell>
        </row>
        <row r="923">
          <cell r="X923" t="str">
            <v>1ECEX</v>
          </cell>
          <cell r="Y923" t="str">
            <v>TANK - CONSTRUCTION, OTHER DIRECT WORK - OTHER</v>
          </cell>
          <cell r="AF923">
            <v>0</v>
          </cell>
        </row>
        <row r="924">
          <cell r="X924" t="str">
            <v>1ECE</v>
          </cell>
          <cell r="Y924" t="str">
            <v xml:space="preserve">SUBTOTAL - TANK - CONSTRUCTION, OTHER DIRECT WORK - </v>
          </cell>
          <cell r="Z924">
            <v>0</v>
          </cell>
          <cell r="AA924" t="str">
            <v>N/A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</row>
        <row r="926">
          <cell r="X926" t="str">
            <v>1ECFA</v>
          </cell>
          <cell r="Y926" t="str">
            <v>TANK - CONSTRUCTION INDIRECTS</v>
          </cell>
          <cell r="AF926">
            <v>0</v>
          </cell>
        </row>
        <row r="927">
          <cell r="X927" t="str">
            <v>1ECF</v>
          </cell>
          <cell r="Y927" t="str">
            <v>SUBTOTAL - TANK - CONSTRUCTION INDIRECTS</v>
          </cell>
          <cell r="Z927">
            <v>0</v>
          </cell>
          <cell r="AA927" t="str">
            <v>N/A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</row>
        <row r="929">
          <cell r="X929" t="str">
            <v>1EDAA</v>
          </cell>
          <cell r="Y929" t="str">
            <v>TANK - COMMISSIONING - PROCESS</v>
          </cell>
          <cell r="AF929">
            <v>0</v>
          </cell>
        </row>
        <row r="930">
          <cell r="X930" t="str">
            <v>1EDAB</v>
          </cell>
          <cell r="Y930" t="str">
            <v>TANK - COMMISSIONING - UTILITIES</v>
          </cell>
          <cell r="AF930">
            <v>0</v>
          </cell>
        </row>
        <row r="931">
          <cell r="X931" t="str">
            <v>1EDA-</v>
          </cell>
          <cell r="Y931" t="str">
            <v>SUBTOTAL - TANK - COMMISSIONING</v>
          </cell>
          <cell r="Z931">
            <v>0</v>
          </cell>
          <cell r="AA931" t="str">
            <v>N/A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</row>
        <row r="933">
          <cell r="X933" t="str">
            <v>1EDBA</v>
          </cell>
          <cell r="Y933" t="str">
            <v>TANK - STARTUP - PROCESS</v>
          </cell>
          <cell r="AF933">
            <v>0</v>
          </cell>
        </row>
        <row r="934">
          <cell r="X934" t="str">
            <v>1EDBB</v>
          </cell>
          <cell r="Y934" t="str">
            <v>TANK - STARTUP - UTILITIES</v>
          </cell>
          <cell r="AF934">
            <v>0</v>
          </cell>
        </row>
        <row r="935">
          <cell r="X935" t="str">
            <v>1EDB-</v>
          </cell>
          <cell r="Y935" t="str">
            <v>SUBTOTAL - TANK - STARTUP</v>
          </cell>
          <cell r="Z935">
            <v>0</v>
          </cell>
          <cell r="AA935" t="str">
            <v>N/A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</row>
        <row r="937">
          <cell r="X937" t="str">
            <v>1EDCA</v>
          </cell>
          <cell r="Y937" t="str">
            <v>TANK - TRAINING</v>
          </cell>
          <cell r="AF937">
            <v>0</v>
          </cell>
        </row>
        <row r="938">
          <cell r="X938" t="str">
            <v>1EDC-</v>
          </cell>
          <cell r="Y938" t="str">
            <v>SUBTOTAL - TANK - TRAINING</v>
          </cell>
          <cell r="Z938">
            <v>0</v>
          </cell>
          <cell r="AA938" t="str">
            <v>N/A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 3"/>
      <sheetName val="PAGE 4 (1)"/>
      <sheetName val="PAGE 4 (2)"/>
      <sheetName val="PAGE 4 (3)"/>
      <sheetName val="PAGE 4 (4)"/>
      <sheetName val="PAGE 4 (5)"/>
      <sheetName val="SP"/>
      <sheetName val="THL"/>
      <sheetName val="SPEC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"/>
    </sheetNames>
    <sheetDataSet>
      <sheetData sheetId="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 Summary"/>
      <sheetName val="Totals"/>
      <sheetName val="Hydro"/>
      <sheetName val="Hydro HV"/>
      <sheetName val="Thermal"/>
      <sheetName val="Thermal HV"/>
      <sheetName val="IO Modules"/>
      <sheetName val="Services"/>
      <sheetName val="Spares"/>
      <sheetName val="D20 Model"/>
      <sheetName val="ModelParts"/>
      <sheetName val="Documentation"/>
      <sheetName val="Sheet1"/>
      <sheetName val="Module1"/>
      <sheetName val="Module3"/>
      <sheetName val="Module4"/>
      <sheetName val="Module5"/>
      <sheetName val="Module6"/>
      <sheetName val="Module7"/>
      <sheetName val="Module8"/>
      <sheetName val="Module2"/>
      <sheetName val="Price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ATA"/>
      <sheetName val="CURENCY"/>
      <sheetName val="220 kV Protection System"/>
      <sheetName val="66 kV Protection System "/>
      <sheetName val="Metering System"/>
      <sheetName val="220kV Remote Control"/>
      <sheetName val="66kV Remote Control"/>
      <sheetName val="220kV Local Control"/>
      <sheetName val="66kV Local Control "/>
      <sheetName val="220KV Tele-comm"/>
      <sheetName val="66KV Tele-comm"/>
      <sheetName val="11KV Tele-comm"/>
      <sheetName val="RTU-PLC"/>
      <sheetName val="Cables-Rev A"/>
      <sheetName val="Summary Transformers"/>
      <sheetName val="cables"/>
      <sheetName val="Electrical Works"/>
      <sheetName val="power"/>
      <sheetName val="#REF"/>
      <sheetName val="BOQ"/>
      <sheetName val="PRICE-COMP - Insulation"/>
    </sheetNames>
    <sheetDataSet>
      <sheetData sheetId="0" refreshError="1"/>
      <sheetData sheetId="1" refreshError="1"/>
      <sheetData sheetId="2" refreshError="1">
        <row r="3">
          <cell r="D3" t="str">
            <v>-----</v>
          </cell>
        </row>
        <row r="4">
          <cell r="D4" t="str">
            <v>SEK</v>
          </cell>
        </row>
        <row r="5">
          <cell r="D5" t="str">
            <v>USD</v>
          </cell>
        </row>
        <row r="6">
          <cell r="D6" t="str">
            <v>GBP</v>
          </cell>
        </row>
        <row r="7">
          <cell r="D7" t="str">
            <v>CHF</v>
          </cell>
        </row>
        <row r="8">
          <cell r="D8" t="str">
            <v>EUR</v>
          </cell>
        </row>
        <row r="9">
          <cell r="D9" t="str">
            <v>EGP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erta Técnica"/>
      <sheetName val="Datos"/>
    </sheetNames>
    <sheetDataSet>
      <sheetData sheetId="0" refreshError="1"/>
      <sheetData sheetId="1" refreshError="1">
        <row r="18">
          <cell r="A18" t="str">
            <v>ENCARGADO</v>
          </cell>
          <cell r="B18" t="str">
            <v>ENC</v>
          </cell>
        </row>
        <row r="19">
          <cell r="A19" t="str">
            <v>JEFE DE EQUIPO O CAPATAZ</v>
          </cell>
          <cell r="B19" t="str">
            <v>CAP</v>
          </cell>
        </row>
        <row r="20">
          <cell r="A20" t="str">
            <v>ENCOFRADOR</v>
          </cell>
          <cell r="B20" t="str">
            <v>ENC</v>
          </cell>
        </row>
        <row r="21">
          <cell r="A21" t="str">
            <v>FERRALLISTA</v>
          </cell>
          <cell r="B21" t="str">
            <v>FER</v>
          </cell>
        </row>
        <row r="22">
          <cell r="A22" t="str">
            <v>OFICIAL DE 1ª OFICIOS VARIOS</v>
          </cell>
          <cell r="B22" t="str">
            <v>OF1</v>
          </cell>
        </row>
        <row r="23">
          <cell r="A23" t="str">
            <v>OFICIAL DE 2ª OFICIOS VARIOS</v>
          </cell>
          <cell r="B23" t="str">
            <v>OF2</v>
          </cell>
        </row>
        <row r="24">
          <cell r="A24" t="str">
            <v>PEÓN</v>
          </cell>
          <cell r="B24" t="str">
            <v>PEO</v>
          </cell>
        </row>
        <row r="25">
          <cell r="A25" t="str">
            <v>ADMINISTRATIVO</v>
          </cell>
          <cell r="B25" t="str">
            <v>ADM</v>
          </cell>
        </row>
        <row r="26">
          <cell r="A26" t="str">
            <v>OTROS</v>
          </cell>
          <cell r="B26" t="str">
            <v>OTR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dim"/>
      <sheetName val="SUPTYPE"/>
      <sheetName val="Sheet1"/>
      <sheetName val="cdsload"/>
      <sheetName val="chsload"/>
      <sheetName val="cvsload"/>
      <sheetName val="csdim"/>
      <sheetName val="CLAMP"/>
      <sheetName val="pipe"/>
      <sheetName val="Cash2"/>
      <sheetName val="Z"/>
      <sheetName val="MixBed"/>
      <sheetName val="CondPol"/>
      <sheetName val="Code03"/>
      <sheetName val="Summary"/>
      <sheetName val="환산표"/>
      <sheetName val="TTL"/>
      <sheetName val="VSDATA"/>
      <sheetName val="보일러"/>
      <sheetName val="eq_data"/>
      <sheetName val="Testing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QMCT"/>
      <sheetName val="insulation"/>
      <sheetName val="-15.0"/>
    </sheetNames>
    <sheetDataSet>
      <sheetData sheetId="0"/>
      <sheetData sheetId="1"/>
      <sheetData sheetId="2"/>
      <sheetData sheetId="3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</sheetData>
      <sheetData sheetId="4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</sheetData>
      <sheetData sheetId="5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</sheetData>
      <sheetData sheetId="6">
        <row r="2">
          <cell r="A2" t="str">
            <v>CD05001</v>
          </cell>
        </row>
        <row r="3">
          <cell r="A3" t="str">
            <v>CD05002</v>
          </cell>
        </row>
        <row r="4">
          <cell r="A4" t="str">
            <v>CD05003</v>
          </cell>
        </row>
        <row r="5">
          <cell r="A5" t="str">
            <v>CD05004</v>
          </cell>
        </row>
        <row r="6">
          <cell r="A6" t="str">
            <v>CD05005</v>
          </cell>
        </row>
        <row r="7">
          <cell r="A7" t="str">
            <v>CD05006</v>
          </cell>
        </row>
        <row r="8">
          <cell r="A8" t="str">
            <v>CD05007</v>
          </cell>
        </row>
        <row r="9">
          <cell r="A9" t="str">
            <v>CD05008</v>
          </cell>
        </row>
        <row r="10">
          <cell r="A10" t="str">
            <v>CD05009</v>
          </cell>
        </row>
        <row r="11">
          <cell r="A11" t="str">
            <v>CD05010</v>
          </cell>
        </row>
        <row r="12">
          <cell r="A12" t="str">
            <v>CD05011</v>
          </cell>
        </row>
        <row r="13">
          <cell r="A13" t="str">
            <v>CD05012</v>
          </cell>
        </row>
        <row r="14">
          <cell r="A14" t="str">
            <v>CD06001</v>
          </cell>
        </row>
        <row r="15">
          <cell r="A15" t="str">
            <v>CD06002</v>
          </cell>
        </row>
        <row r="16">
          <cell r="A16" t="str">
            <v>CD06003</v>
          </cell>
        </row>
        <row r="17">
          <cell r="A17" t="str">
            <v>CD06004</v>
          </cell>
        </row>
        <row r="18">
          <cell r="A18" t="str">
            <v>CD06005</v>
          </cell>
        </row>
        <row r="19">
          <cell r="A19" t="str">
            <v>CD06006</v>
          </cell>
        </row>
        <row r="20">
          <cell r="A20" t="str">
            <v>CD06007</v>
          </cell>
        </row>
        <row r="21">
          <cell r="A21" t="str">
            <v>CD06008</v>
          </cell>
        </row>
        <row r="22">
          <cell r="A22" t="str">
            <v>CD06009</v>
          </cell>
        </row>
        <row r="23">
          <cell r="A23" t="str">
            <v>CD06010</v>
          </cell>
        </row>
        <row r="24">
          <cell r="A24" t="str">
            <v>CD06011</v>
          </cell>
        </row>
        <row r="25">
          <cell r="A25" t="str">
            <v>CD06012</v>
          </cell>
        </row>
        <row r="26">
          <cell r="A26" t="str">
            <v>CD06013</v>
          </cell>
        </row>
        <row r="27">
          <cell r="A27" t="str">
            <v>CD06014</v>
          </cell>
        </row>
        <row r="28">
          <cell r="A28" t="str">
            <v>CD06015</v>
          </cell>
        </row>
        <row r="29">
          <cell r="A29" t="str">
            <v>CD06016</v>
          </cell>
        </row>
        <row r="30">
          <cell r="A30" t="str">
            <v>CD06017</v>
          </cell>
        </row>
        <row r="31">
          <cell r="A31" t="str">
            <v>CD06018</v>
          </cell>
        </row>
        <row r="32">
          <cell r="A32" t="str">
            <v>CD06019</v>
          </cell>
        </row>
        <row r="33">
          <cell r="A33" t="str">
            <v>CD06020</v>
          </cell>
        </row>
        <row r="34">
          <cell r="A34" t="str">
            <v>CD06021</v>
          </cell>
        </row>
        <row r="35">
          <cell r="A35" t="str">
            <v>CD06022</v>
          </cell>
        </row>
        <row r="36">
          <cell r="A36" t="str">
            <v>CD06023</v>
          </cell>
        </row>
        <row r="37">
          <cell r="A37" t="str">
            <v>CD06024</v>
          </cell>
        </row>
        <row r="38">
          <cell r="A38" t="str">
            <v>CD06025</v>
          </cell>
        </row>
        <row r="39">
          <cell r="A39" t="str">
            <v>CD06026</v>
          </cell>
        </row>
        <row r="40">
          <cell r="A40" t="str">
            <v>CD06027</v>
          </cell>
        </row>
        <row r="41">
          <cell r="A41" t="str">
            <v>CD06028</v>
          </cell>
        </row>
        <row r="42">
          <cell r="A42" t="str">
            <v>CD07001</v>
          </cell>
        </row>
        <row r="43">
          <cell r="A43" t="str">
            <v>CD07002</v>
          </cell>
        </row>
        <row r="44">
          <cell r="A44" t="str">
            <v>CD07003</v>
          </cell>
        </row>
        <row r="45">
          <cell r="A45" t="str">
            <v>CD07004</v>
          </cell>
        </row>
        <row r="46">
          <cell r="A46" t="str">
            <v>CD07005</v>
          </cell>
        </row>
        <row r="47">
          <cell r="A47" t="str">
            <v>CD07006</v>
          </cell>
        </row>
        <row r="48">
          <cell r="A48" t="str">
            <v>CD07007</v>
          </cell>
        </row>
        <row r="49">
          <cell r="A49" t="str">
            <v>CD07008</v>
          </cell>
        </row>
        <row r="50">
          <cell r="A50" t="str">
            <v>CD07009</v>
          </cell>
        </row>
        <row r="51">
          <cell r="A51" t="str">
            <v>CD07010</v>
          </cell>
        </row>
        <row r="52">
          <cell r="A52" t="str">
            <v>CD07011</v>
          </cell>
        </row>
        <row r="53">
          <cell r="A53" t="str">
            <v>CD07012</v>
          </cell>
        </row>
        <row r="54">
          <cell r="A54" t="str">
            <v>CD07013</v>
          </cell>
        </row>
        <row r="55">
          <cell r="A55" t="str">
            <v>CD07014</v>
          </cell>
        </row>
        <row r="56">
          <cell r="A56" t="str">
            <v>CD07015</v>
          </cell>
        </row>
        <row r="57">
          <cell r="A57" t="str">
            <v>CD07016</v>
          </cell>
        </row>
        <row r="58">
          <cell r="A58" t="str">
            <v>CD07017</v>
          </cell>
        </row>
        <row r="59">
          <cell r="A59" t="str">
            <v>CD07018</v>
          </cell>
        </row>
        <row r="60">
          <cell r="A60" t="str">
            <v>CD07019</v>
          </cell>
        </row>
        <row r="61">
          <cell r="A61" t="str">
            <v>CD07020</v>
          </cell>
        </row>
        <row r="62">
          <cell r="A62" t="str">
            <v>CD07021</v>
          </cell>
        </row>
        <row r="63">
          <cell r="A63" t="str">
            <v>CD07022</v>
          </cell>
        </row>
        <row r="64">
          <cell r="A64" t="str">
            <v>CD07023</v>
          </cell>
        </row>
        <row r="65">
          <cell r="A65" t="str">
            <v>CD07024</v>
          </cell>
        </row>
        <row r="66">
          <cell r="A66" t="str">
            <v>CD07025</v>
          </cell>
        </row>
        <row r="67">
          <cell r="A67" t="str">
            <v>CD07026</v>
          </cell>
        </row>
        <row r="68">
          <cell r="A68" t="str">
            <v>CD07027</v>
          </cell>
        </row>
        <row r="69">
          <cell r="A69" t="str">
            <v>CD07028</v>
          </cell>
        </row>
        <row r="70">
          <cell r="A70" t="str">
            <v>CD08001</v>
          </cell>
        </row>
        <row r="71">
          <cell r="A71" t="str">
            <v>CD08002</v>
          </cell>
        </row>
        <row r="72">
          <cell r="A72" t="str">
            <v>CD08003</v>
          </cell>
        </row>
        <row r="73">
          <cell r="A73" t="str">
            <v>CD08004</v>
          </cell>
        </row>
        <row r="74">
          <cell r="A74" t="str">
            <v>CD08005</v>
          </cell>
        </row>
        <row r="75">
          <cell r="A75" t="str">
            <v>CD08006</v>
          </cell>
        </row>
        <row r="76">
          <cell r="A76" t="str">
            <v>CD08007</v>
          </cell>
        </row>
        <row r="77">
          <cell r="A77" t="str">
            <v>CD08008</v>
          </cell>
        </row>
        <row r="78">
          <cell r="A78" t="str">
            <v>CD08009</v>
          </cell>
        </row>
        <row r="79">
          <cell r="A79" t="str">
            <v>CD08010</v>
          </cell>
        </row>
        <row r="80">
          <cell r="A80" t="str">
            <v>CD08011</v>
          </cell>
        </row>
        <row r="81">
          <cell r="A81" t="str">
            <v>CD08012</v>
          </cell>
        </row>
        <row r="82">
          <cell r="A82" t="str">
            <v>CD08013</v>
          </cell>
        </row>
        <row r="83">
          <cell r="A83" t="str">
            <v>CD08014</v>
          </cell>
        </row>
        <row r="84">
          <cell r="A84" t="str">
            <v>CD08015</v>
          </cell>
        </row>
        <row r="85">
          <cell r="A85" t="str">
            <v>CD08016</v>
          </cell>
        </row>
        <row r="86">
          <cell r="A86" t="str">
            <v>CD08017</v>
          </cell>
        </row>
        <row r="87">
          <cell r="A87" t="str">
            <v>CD08018</v>
          </cell>
        </row>
        <row r="88">
          <cell r="A88" t="str">
            <v>CD08019</v>
          </cell>
        </row>
        <row r="89">
          <cell r="A89" t="str">
            <v>CD08020</v>
          </cell>
        </row>
        <row r="90">
          <cell r="A90" t="str">
            <v>CD08021</v>
          </cell>
        </row>
        <row r="91">
          <cell r="A91" t="str">
            <v>CD08022</v>
          </cell>
        </row>
        <row r="92">
          <cell r="A92" t="str">
            <v>CD08023</v>
          </cell>
        </row>
        <row r="93">
          <cell r="A93" t="str">
            <v>CD08024</v>
          </cell>
        </row>
        <row r="94">
          <cell r="A94" t="str">
            <v>CD08025</v>
          </cell>
        </row>
        <row r="95">
          <cell r="A95" t="str">
            <v>CD08026</v>
          </cell>
        </row>
        <row r="96">
          <cell r="A96" t="str">
            <v>CD08027</v>
          </cell>
        </row>
        <row r="97">
          <cell r="A97" t="str">
            <v>CD08028</v>
          </cell>
        </row>
        <row r="98">
          <cell r="A98" t="str">
            <v>CD08029</v>
          </cell>
        </row>
        <row r="99">
          <cell r="A99" t="str">
            <v>CD08030</v>
          </cell>
        </row>
        <row r="100">
          <cell r="A100" t="str">
            <v>CD08031</v>
          </cell>
        </row>
        <row r="101">
          <cell r="A101" t="str">
            <v>CD08032</v>
          </cell>
        </row>
        <row r="102">
          <cell r="A102" t="str">
            <v>CD08033</v>
          </cell>
        </row>
        <row r="103">
          <cell r="A103" t="str">
            <v>CD08034</v>
          </cell>
        </row>
        <row r="104">
          <cell r="A104" t="str">
            <v>CD08035</v>
          </cell>
        </row>
        <row r="105">
          <cell r="A105" t="str">
            <v>CD08036</v>
          </cell>
        </row>
        <row r="106">
          <cell r="A106" t="str">
            <v>CD09001</v>
          </cell>
        </row>
        <row r="107">
          <cell r="A107" t="str">
            <v>CD09002</v>
          </cell>
        </row>
        <row r="108">
          <cell r="A108" t="str">
            <v>CD09003</v>
          </cell>
        </row>
        <row r="109">
          <cell r="A109" t="str">
            <v>CD09004</v>
          </cell>
        </row>
        <row r="110">
          <cell r="A110" t="str">
            <v>CD09005</v>
          </cell>
        </row>
        <row r="111">
          <cell r="A111" t="str">
            <v>CD09006</v>
          </cell>
        </row>
        <row r="112">
          <cell r="A112" t="str">
            <v>CD09007</v>
          </cell>
        </row>
        <row r="113">
          <cell r="A113" t="str">
            <v>CD09008</v>
          </cell>
        </row>
        <row r="114">
          <cell r="A114" t="str">
            <v>CD09009</v>
          </cell>
        </row>
        <row r="115">
          <cell r="A115" t="str">
            <v>CD09010</v>
          </cell>
        </row>
        <row r="116">
          <cell r="A116" t="str">
            <v>CD09011</v>
          </cell>
        </row>
        <row r="117">
          <cell r="A117" t="str">
            <v>CD09012</v>
          </cell>
        </row>
        <row r="118">
          <cell r="A118" t="str">
            <v>CD09013</v>
          </cell>
        </row>
        <row r="119">
          <cell r="A119" t="str">
            <v>CD09014</v>
          </cell>
        </row>
        <row r="120">
          <cell r="A120" t="str">
            <v>CD09015</v>
          </cell>
        </row>
        <row r="121">
          <cell r="A121" t="str">
            <v>CD09016</v>
          </cell>
        </row>
        <row r="122">
          <cell r="A122" t="str">
            <v>CD09017</v>
          </cell>
        </row>
        <row r="123">
          <cell r="A123" t="str">
            <v>CD09018</v>
          </cell>
        </row>
        <row r="124">
          <cell r="A124" t="str">
            <v>CD09019</v>
          </cell>
        </row>
        <row r="125">
          <cell r="A125" t="str">
            <v>CD09020</v>
          </cell>
        </row>
        <row r="126">
          <cell r="A126" t="str">
            <v>CD09021</v>
          </cell>
        </row>
        <row r="127">
          <cell r="A127" t="str">
            <v>CD09022</v>
          </cell>
        </row>
        <row r="128">
          <cell r="A128" t="str">
            <v>CD09023</v>
          </cell>
        </row>
        <row r="129">
          <cell r="A129" t="str">
            <v>CD09024</v>
          </cell>
        </row>
        <row r="130">
          <cell r="A130" t="str">
            <v>CD09025</v>
          </cell>
        </row>
        <row r="131">
          <cell r="A131" t="str">
            <v>CD09026</v>
          </cell>
        </row>
        <row r="132">
          <cell r="A132" t="str">
            <v>CD09027</v>
          </cell>
        </row>
        <row r="133">
          <cell r="A133" t="str">
            <v>CD09028</v>
          </cell>
        </row>
        <row r="134">
          <cell r="A134" t="str">
            <v>CD09029</v>
          </cell>
        </row>
        <row r="135">
          <cell r="A135" t="str">
            <v>CD09030</v>
          </cell>
        </row>
        <row r="136">
          <cell r="A136" t="str">
            <v>CD09031</v>
          </cell>
        </row>
        <row r="137">
          <cell r="A137" t="str">
            <v>CD09032</v>
          </cell>
        </row>
        <row r="138">
          <cell r="A138" t="str">
            <v>CD09033</v>
          </cell>
        </row>
        <row r="139">
          <cell r="A139" t="str">
            <v>CD09034</v>
          </cell>
        </row>
        <row r="140">
          <cell r="A140" t="str">
            <v>CD09035</v>
          </cell>
        </row>
        <row r="141">
          <cell r="A141" t="str">
            <v>CD09036</v>
          </cell>
        </row>
        <row r="142">
          <cell r="A142" t="str">
            <v>CD10001</v>
          </cell>
        </row>
        <row r="143">
          <cell r="A143" t="str">
            <v>CD10002</v>
          </cell>
        </row>
        <row r="144">
          <cell r="A144" t="str">
            <v>CD10003</v>
          </cell>
        </row>
        <row r="145">
          <cell r="A145" t="str">
            <v>CD10004</v>
          </cell>
        </row>
        <row r="146">
          <cell r="A146" t="str">
            <v>CD10005</v>
          </cell>
        </row>
        <row r="147">
          <cell r="A147" t="str">
            <v>CD10006</v>
          </cell>
        </row>
        <row r="148">
          <cell r="A148" t="str">
            <v>CD10007</v>
          </cell>
        </row>
        <row r="149">
          <cell r="A149" t="str">
            <v>CD10008</v>
          </cell>
        </row>
        <row r="150">
          <cell r="A150" t="str">
            <v>CD10009</v>
          </cell>
        </row>
        <row r="151">
          <cell r="A151" t="str">
            <v>CD10010</v>
          </cell>
        </row>
        <row r="152">
          <cell r="A152" t="str">
            <v>CD10011</v>
          </cell>
        </row>
        <row r="153">
          <cell r="A153" t="str">
            <v>CD10012</v>
          </cell>
        </row>
        <row r="154">
          <cell r="A154" t="str">
            <v>CD10013</v>
          </cell>
        </row>
        <row r="155">
          <cell r="A155" t="str">
            <v>CD10014</v>
          </cell>
        </row>
        <row r="156">
          <cell r="A156" t="str">
            <v>CD10015</v>
          </cell>
        </row>
        <row r="157">
          <cell r="A157" t="str">
            <v>CD10016</v>
          </cell>
        </row>
        <row r="158">
          <cell r="A158" t="str">
            <v>CD10017</v>
          </cell>
        </row>
        <row r="159">
          <cell r="A159" t="str">
            <v>CD10018</v>
          </cell>
        </row>
        <row r="160">
          <cell r="A160" t="str">
            <v>CD10019</v>
          </cell>
        </row>
        <row r="161">
          <cell r="A161" t="str">
            <v>CD10020</v>
          </cell>
        </row>
        <row r="162">
          <cell r="A162" t="str">
            <v>CD10021</v>
          </cell>
        </row>
        <row r="163">
          <cell r="A163" t="str">
            <v>CD10022</v>
          </cell>
        </row>
        <row r="164">
          <cell r="A164" t="str">
            <v>CD10023</v>
          </cell>
        </row>
        <row r="165">
          <cell r="A165" t="str">
            <v>CD10024</v>
          </cell>
        </row>
        <row r="166">
          <cell r="A166" t="str">
            <v>CD10025</v>
          </cell>
        </row>
        <row r="167">
          <cell r="A167" t="str">
            <v>CD10026</v>
          </cell>
        </row>
        <row r="168">
          <cell r="A168" t="str">
            <v>CD10027</v>
          </cell>
        </row>
        <row r="169">
          <cell r="A169" t="str">
            <v>CD10028</v>
          </cell>
        </row>
        <row r="170">
          <cell r="A170" t="str">
            <v>CD10029</v>
          </cell>
        </row>
        <row r="171">
          <cell r="A171" t="str">
            <v>CD10030</v>
          </cell>
        </row>
        <row r="172">
          <cell r="A172" t="str">
            <v>CD10031</v>
          </cell>
        </row>
        <row r="173">
          <cell r="A173" t="str">
            <v>CD10032</v>
          </cell>
        </row>
        <row r="174">
          <cell r="A174" t="str">
            <v>CD10033</v>
          </cell>
        </row>
        <row r="175">
          <cell r="A175" t="str">
            <v>CD10034</v>
          </cell>
        </row>
        <row r="176">
          <cell r="A176" t="str">
            <v>CD10035</v>
          </cell>
        </row>
        <row r="177">
          <cell r="A177" t="str">
            <v>CD10036</v>
          </cell>
        </row>
        <row r="178">
          <cell r="A178" t="str">
            <v>CD10037</v>
          </cell>
        </row>
        <row r="179">
          <cell r="A179" t="str">
            <v>CD10038</v>
          </cell>
        </row>
        <row r="180">
          <cell r="A180" t="str">
            <v>CD10039</v>
          </cell>
        </row>
        <row r="181">
          <cell r="A181" t="str">
            <v>CD10040</v>
          </cell>
        </row>
        <row r="182">
          <cell r="A182" t="str">
            <v>CD10041</v>
          </cell>
        </row>
        <row r="183">
          <cell r="A183" t="str">
            <v>CD10042</v>
          </cell>
        </row>
        <row r="184">
          <cell r="A184" t="str">
            <v>CD10043</v>
          </cell>
        </row>
        <row r="185">
          <cell r="A185" t="str">
            <v>CD10044</v>
          </cell>
        </row>
        <row r="186">
          <cell r="A186" t="str">
            <v>CD10045</v>
          </cell>
        </row>
        <row r="187">
          <cell r="A187" t="str">
            <v>CD10046</v>
          </cell>
        </row>
        <row r="188">
          <cell r="A188" t="str">
            <v>CD11001</v>
          </cell>
        </row>
        <row r="189">
          <cell r="A189" t="str">
            <v>CD11002</v>
          </cell>
        </row>
        <row r="190">
          <cell r="A190" t="str">
            <v>CD11003</v>
          </cell>
        </row>
        <row r="191">
          <cell r="A191" t="str">
            <v>CD11004</v>
          </cell>
        </row>
        <row r="192">
          <cell r="A192" t="str">
            <v>CD11005</v>
          </cell>
        </row>
        <row r="193">
          <cell r="A193" t="str">
            <v>CD11006</v>
          </cell>
        </row>
        <row r="194">
          <cell r="A194" t="str">
            <v>CD11007</v>
          </cell>
        </row>
        <row r="195">
          <cell r="A195" t="str">
            <v>CD11008</v>
          </cell>
        </row>
        <row r="196">
          <cell r="A196" t="str">
            <v>CD11009</v>
          </cell>
        </row>
        <row r="197">
          <cell r="A197" t="str">
            <v>CD11010</v>
          </cell>
        </row>
        <row r="198">
          <cell r="A198" t="str">
            <v>CD11011</v>
          </cell>
        </row>
        <row r="199">
          <cell r="A199" t="str">
            <v>CD11012</v>
          </cell>
        </row>
        <row r="200">
          <cell r="A200" t="str">
            <v>CD11013</v>
          </cell>
        </row>
        <row r="201">
          <cell r="A201" t="str">
            <v>CD11014</v>
          </cell>
        </row>
        <row r="202">
          <cell r="A202" t="str">
            <v>CD11015</v>
          </cell>
        </row>
        <row r="203">
          <cell r="A203" t="str">
            <v>CD11016</v>
          </cell>
        </row>
        <row r="204">
          <cell r="A204" t="str">
            <v>CD11017</v>
          </cell>
        </row>
        <row r="205">
          <cell r="A205" t="str">
            <v>CD11018</v>
          </cell>
        </row>
        <row r="206">
          <cell r="A206" t="str">
            <v>CD11019</v>
          </cell>
        </row>
        <row r="207">
          <cell r="A207" t="str">
            <v>CD11020</v>
          </cell>
        </row>
        <row r="208">
          <cell r="A208" t="str">
            <v>CD11021</v>
          </cell>
        </row>
        <row r="209">
          <cell r="A209" t="str">
            <v>CD11022</v>
          </cell>
        </row>
        <row r="210">
          <cell r="A210" t="str">
            <v>CD11023</v>
          </cell>
        </row>
        <row r="211">
          <cell r="A211" t="str">
            <v>CD11024</v>
          </cell>
        </row>
        <row r="212">
          <cell r="A212" t="str">
            <v>CD11025</v>
          </cell>
        </row>
        <row r="213">
          <cell r="A213" t="str">
            <v>CD11026</v>
          </cell>
        </row>
        <row r="214">
          <cell r="A214" t="str">
            <v>CD11027</v>
          </cell>
        </row>
        <row r="215">
          <cell r="A215" t="str">
            <v>CD11028</v>
          </cell>
        </row>
        <row r="216">
          <cell r="A216" t="str">
            <v>CD11029</v>
          </cell>
        </row>
        <row r="217">
          <cell r="A217" t="str">
            <v>CD11030</v>
          </cell>
        </row>
        <row r="218">
          <cell r="A218" t="str">
            <v>CD11031</v>
          </cell>
        </row>
        <row r="219">
          <cell r="A219" t="str">
            <v>CD11032</v>
          </cell>
        </row>
        <row r="220">
          <cell r="A220" t="str">
            <v>CD11033</v>
          </cell>
        </row>
        <row r="221">
          <cell r="A221" t="str">
            <v>CD11034</v>
          </cell>
        </row>
        <row r="222">
          <cell r="A222" t="str">
            <v>CD11035</v>
          </cell>
        </row>
        <row r="223">
          <cell r="A223" t="str">
            <v>CD11036</v>
          </cell>
        </row>
        <row r="224">
          <cell r="A224" t="str">
            <v>CD11037</v>
          </cell>
        </row>
        <row r="225">
          <cell r="A225" t="str">
            <v>CD11038</v>
          </cell>
        </row>
        <row r="226">
          <cell r="A226" t="str">
            <v>CD11039</v>
          </cell>
        </row>
        <row r="227">
          <cell r="A227" t="str">
            <v>CD11040</v>
          </cell>
        </row>
        <row r="228">
          <cell r="A228" t="str">
            <v>CD11041</v>
          </cell>
        </row>
        <row r="229">
          <cell r="A229" t="str">
            <v>CD11042</v>
          </cell>
        </row>
        <row r="230">
          <cell r="A230" t="str">
            <v>CD11043</v>
          </cell>
        </row>
        <row r="231">
          <cell r="A231" t="str">
            <v>CD11044</v>
          </cell>
        </row>
        <row r="232">
          <cell r="A232" t="str">
            <v>CD11045</v>
          </cell>
        </row>
        <row r="233">
          <cell r="A233" t="str">
            <v>CD11046</v>
          </cell>
        </row>
        <row r="234">
          <cell r="A234" t="str">
            <v>CD11047</v>
          </cell>
        </row>
        <row r="235">
          <cell r="A235" t="str">
            <v>CD11048</v>
          </cell>
        </row>
        <row r="236">
          <cell r="A236" t="str">
            <v>CD11049</v>
          </cell>
        </row>
        <row r="237">
          <cell r="A237" t="str">
            <v>CD11050</v>
          </cell>
        </row>
        <row r="238">
          <cell r="A238" t="str">
            <v>CD11051</v>
          </cell>
        </row>
        <row r="239">
          <cell r="A239" t="str">
            <v>CD11052</v>
          </cell>
        </row>
        <row r="240">
          <cell r="A240" t="str">
            <v>CD11053</v>
          </cell>
        </row>
        <row r="241">
          <cell r="A241" t="str">
            <v>CD11054</v>
          </cell>
        </row>
        <row r="242">
          <cell r="A242" t="str">
            <v>CD11055</v>
          </cell>
        </row>
        <row r="243">
          <cell r="A243" t="str">
            <v>CD11056</v>
          </cell>
        </row>
        <row r="244">
          <cell r="A244" t="str">
            <v>CD11057</v>
          </cell>
        </row>
        <row r="245">
          <cell r="A245" t="str">
            <v>CD11058</v>
          </cell>
        </row>
        <row r="246">
          <cell r="A246" t="str">
            <v>CD11059</v>
          </cell>
        </row>
        <row r="247">
          <cell r="A247" t="str">
            <v>CD11060</v>
          </cell>
        </row>
        <row r="248">
          <cell r="A248" t="str">
            <v>CD12001</v>
          </cell>
        </row>
        <row r="249">
          <cell r="A249" t="str">
            <v>CD12002</v>
          </cell>
        </row>
        <row r="250">
          <cell r="A250" t="str">
            <v>CD12003</v>
          </cell>
        </row>
        <row r="251">
          <cell r="A251" t="str">
            <v>CD12004</v>
          </cell>
        </row>
        <row r="252">
          <cell r="A252" t="str">
            <v>CD12005</v>
          </cell>
        </row>
        <row r="253">
          <cell r="A253" t="str">
            <v>CD12006</v>
          </cell>
        </row>
        <row r="254">
          <cell r="A254" t="str">
            <v>CD12007</v>
          </cell>
        </row>
        <row r="255">
          <cell r="A255" t="str">
            <v>CD12008</v>
          </cell>
        </row>
        <row r="256">
          <cell r="A256" t="str">
            <v>CD12009</v>
          </cell>
        </row>
        <row r="257">
          <cell r="A257" t="str">
            <v>CD12010</v>
          </cell>
        </row>
        <row r="258">
          <cell r="A258" t="str">
            <v>CD12011</v>
          </cell>
        </row>
        <row r="259">
          <cell r="A259" t="str">
            <v>CD12012</v>
          </cell>
        </row>
        <row r="260">
          <cell r="A260" t="str">
            <v>CD12013</v>
          </cell>
        </row>
        <row r="261">
          <cell r="A261" t="str">
            <v>CD12014</v>
          </cell>
        </row>
        <row r="262">
          <cell r="A262" t="str">
            <v>CD12015</v>
          </cell>
        </row>
        <row r="263">
          <cell r="A263" t="str">
            <v>CD12016</v>
          </cell>
        </row>
        <row r="264">
          <cell r="A264" t="str">
            <v>CD12017</v>
          </cell>
        </row>
        <row r="265">
          <cell r="A265" t="str">
            <v>CD12018</v>
          </cell>
        </row>
        <row r="266">
          <cell r="A266" t="str">
            <v>CD12019</v>
          </cell>
        </row>
        <row r="267">
          <cell r="A267" t="str">
            <v>CD12020</v>
          </cell>
        </row>
        <row r="268">
          <cell r="A268" t="str">
            <v>CD12021</v>
          </cell>
        </row>
        <row r="269">
          <cell r="A269" t="str">
            <v>CD12022</v>
          </cell>
        </row>
        <row r="270">
          <cell r="A270" t="str">
            <v>CD12023</v>
          </cell>
        </row>
        <row r="271">
          <cell r="A271" t="str">
            <v>CD12024</v>
          </cell>
        </row>
        <row r="272">
          <cell r="A272" t="str">
            <v>CD12025</v>
          </cell>
        </row>
        <row r="273">
          <cell r="A273" t="str">
            <v>CD12026</v>
          </cell>
        </row>
        <row r="274">
          <cell r="A274" t="str">
            <v>CD12027</v>
          </cell>
        </row>
        <row r="275">
          <cell r="A275" t="str">
            <v>CD12028</v>
          </cell>
        </row>
        <row r="276">
          <cell r="A276" t="str">
            <v>CD12029</v>
          </cell>
        </row>
        <row r="277">
          <cell r="A277" t="str">
            <v>CD12030</v>
          </cell>
        </row>
        <row r="278">
          <cell r="A278" t="str">
            <v>CD12031</v>
          </cell>
        </row>
        <row r="279">
          <cell r="A279" t="str">
            <v>CD12032</v>
          </cell>
        </row>
        <row r="280">
          <cell r="A280" t="str">
            <v>CD12033</v>
          </cell>
        </row>
        <row r="281">
          <cell r="A281" t="str">
            <v>CD12034</v>
          </cell>
        </row>
        <row r="282">
          <cell r="A282" t="str">
            <v>CD12035</v>
          </cell>
        </row>
        <row r="283">
          <cell r="A283" t="str">
            <v>CD12036</v>
          </cell>
        </row>
        <row r="284">
          <cell r="A284" t="str">
            <v>CD12037</v>
          </cell>
        </row>
        <row r="285">
          <cell r="A285" t="str">
            <v>CD12038</v>
          </cell>
        </row>
        <row r="286">
          <cell r="A286" t="str">
            <v>CD12039</v>
          </cell>
        </row>
        <row r="287">
          <cell r="A287" t="str">
            <v>CD12040</v>
          </cell>
        </row>
        <row r="288">
          <cell r="A288" t="str">
            <v>CD12041</v>
          </cell>
        </row>
        <row r="289">
          <cell r="A289" t="str">
            <v>CD12042</v>
          </cell>
        </row>
        <row r="290">
          <cell r="A290" t="str">
            <v>CD12043</v>
          </cell>
        </row>
        <row r="291">
          <cell r="A291" t="str">
            <v>CD12044</v>
          </cell>
        </row>
        <row r="292">
          <cell r="A292" t="str">
            <v>CD12045</v>
          </cell>
        </row>
        <row r="293">
          <cell r="A293" t="str">
            <v>CD12046</v>
          </cell>
        </row>
        <row r="294">
          <cell r="A294" t="str">
            <v>CD12047</v>
          </cell>
        </row>
        <row r="295">
          <cell r="A295" t="str">
            <v>CD12048</v>
          </cell>
        </row>
        <row r="296">
          <cell r="A296" t="str">
            <v>CD12049</v>
          </cell>
        </row>
        <row r="297">
          <cell r="A297" t="str">
            <v>CD12050</v>
          </cell>
        </row>
        <row r="298">
          <cell r="A298" t="str">
            <v>CD12051</v>
          </cell>
        </row>
        <row r="299">
          <cell r="A299" t="str">
            <v>CD12052</v>
          </cell>
        </row>
        <row r="300">
          <cell r="A300" t="str">
            <v>CD12053</v>
          </cell>
        </row>
        <row r="301">
          <cell r="A301" t="str">
            <v>CD12054</v>
          </cell>
        </row>
        <row r="302">
          <cell r="A302" t="str">
            <v>CD12055</v>
          </cell>
        </row>
        <row r="303">
          <cell r="A303" t="str">
            <v>CD12056</v>
          </cell>
        </row>
        <row r="304">
          <cell r="A304" t="str">
            <v>CD12057</v>
          </cell>
        </row>
        <row r="305">
          <cell r="A305" t="str">
            <v>CD12058</v>
          </cell>
        </row>
        <row r="306">
          <cell r="A306" t="str">
            <v>CD12059</v>
          </cell>
        </row>
        <row r="307">
          <cell r="A307" t="str">
            <v>CD12060</v>
          </cell>
        </row>
        <row r="308">
          <cell r="A308" t="str">
            <v>CD13001</v>
          </cell>
        </row>
        <row r="309">
          <cell r="A309" t="str">
            <v>CD13002</v>
          </cell>
        </row>
        <row r="310">
          <cell r="A310" t="str">
            <v>CD13003</v>
          </cell>
        </row>
        <row r="311">
          <cell r="A311" t="str">
            <v>CD13004</v>
          </cell>
        </row>
        <row r="312">
          <cell r="A312" t="str">
            <v>CD13005</v>
          </cell>
        </row>
        <row r="313">
          <cell r="A313" t="str">
            <v>CD13006</v>
          </cell>
        </row>
        <row r="314">
          <cell r="A314" t="str">
            <v>CD13007</v>
          </cell>
        </row>
        <row r="315">
          <cell r="A315" t="str">
            <v>CD13008</v>
          </cell>
        </row>
        <row r="316">
          <cell r="A316" t="str">
            <v>CD13009</v>
          </cell>
        </row>
        <row r="317">
          <cell r="A317" t="str">
            <v>CD13010</v>
          </cell>
        </row>
        <row r="318">
          <cell r="A318" t="str">
            <v>CD13011</v>
          </cell>
        </row>
        <row r="319">
          <cell r="A319" t="str">
            <v>CD13012</v>
          </cell>
        </row>
        <row r="320">
          <cell r="A320" t="str">
            <v>CD13013</v>
          </cell>
        </row>
        <row r="321">
          <cell r="A321" t="str">
            <v>CD13014</v>
          </cell>
        </row>
        <row r="322">
          <cell r="A322" t="str">
            <v>CD13015</v>
          </cell>
        </row>
        <row r="323">
          <cell r="A323" t="str">
            <v>CD13016</v>
          </cell>
        </row>
        <row r="324">
          <cell r="A324" t="str">
            <v>CD13017</v>
          </cell>
        </row>
        <row r="325">
          <cell r="A325" t="str">
            <v>CD13018</v>
          </cell>
        </row>
        <row r="326">
          <cell r="A326" t="str">
            <v>CD13019</v>
          </cell>
        </row>
        <row r="327">
          <cell r="A327" t="str">
            <v>CD13020</v>
          </cell>
        </row>
        <row r="328">
          <cell r="A328" t="str">
            <v>CD13021</v>
          </cell>
        </row>
        <row r="329">
          <cell r="A329" t="str">
            <v>CD13022</v>
          </cell>
        </row>
        <row r="330">
          <cell r="A330" t="str">
            <v>CD13023</v>
          </cell>
        </row>
        <row r="331">
          <cell r="A331" t="str">
            <v>CD13024</v>
          </cell>
        </row>
        <row r="332">
          <cell r="A332" t="str">
            <v>CD13025</v>
          </cell>
        </row>
        <row r="333">
          <cell r="A333" t="str">
            <v>CD13026</v>
          </cell>
        </row>
        <row r="334">
          <cell r="A334" t="str">
            <v>CD13027</v>
          </cell>
        </row>
        <row r="335">
          <cell r="A335" t="str">
            <v>CD13028</v>
          </cell>
        </row>
        <row r="336">
          <cell r="A336" t="str">
            <v>CD13029</v>
          </cell>
        </row>
        <row r="337">
          <cell r="A337" t="str">
            <v>CD13030</v>
          </cell>
        </row>
        <row r="338">
          <cell r="A338" t="str">
            <v>CD13031</v>
          </cell>
        </row>
        <row r="339">
          <cell r="A339" t="str">
            <v>CD13032</v>
          </cell>
        </row>
        <row r="340">
          <cell r="A340" t="str">
            <v>CD13033</v>
          </cell>
        </row>
        <row r="341">
          <cell r="A341" t="str">
            <v>CD13034</v>
          </cell>
        </row>
        <row r="342">
          <cell r="A342" t="str">
            <v>CD13035</v>
          </cell>
        </row>
        <row r="343">
          <cell r="A343" t="str">
            <v>CD13036</v>
          </cell>
        </row>
        <row r="344">
          <cell r="A344" t="str">
            <v>CD13037</v>
          </cell>
        </row>
        <row r="345">
          <cell r="A345" t="str">
            <v>CD13038</v>
          </cell>
        </row>
        <row r="346">
          <cell r="A346" t="str">
            <v>CD13039</v>
          </cell>
        </row>
        <row r="347">
          <cell r="A347" t="str">
            <v>CD13040</v>
          </cell>
        </row>
        <row r="348">
          <cell r="A348" t="str">
            <v>CD13041</v>
          </cell>
        </row>
        <row r="349">
          <cell r="A349" t="str">
            <v>CD13042</v>
          </cell>
        </row>
        <row r="350">
          <cell r="A350" t="str">
            <v>CD13043</v>
          </cell>
        </row>
        <row r="351">
          <cell r="A351" t="str">
            <v>CD13044</v>
          </cell>
        </row>
        <row r="352">
          <cell r="A352" t="str">
            <v>CD13045</v>
          </cell>
        </row>
        <row r="353">
          <cell r="A353" t="str">
            <v>CD13046</v>
          </cell>
        </row>
        <row r="354">
          <cell r="A354" t="str">
            <v>CD13047</v>
          </cell>
        </row>
        <row r="355">
          <cell r="A355" t="str">
            <v>CD13048</v>
          </cell>
        </row>
        <row r="356">
          <cell r="A356" t="str">
            <v>CD13049</v>
          </cell>
        </row>
        <row r="357">
          <cell r="A357" t="str">
            <v>CD13050</v>
          </cell>
        </row>
        <row r="358">
          <cell r="A358" t="str">
            <v>CD13051</v>
          </cell>
        </row>
        <row r="359">
          <cell r="A359" t="str">
            <v>CD13052</v>
          </cell>
        </row>
        <row r="360">
          <cell r="A360" t="str">
            <v>CD13053</v>
          </cell>
        </row>
        <row r="361">
          <cell r="A361" t="str">
            <v>CD13054</v>
          </cell>
        </row>
        <row r="362">
          <cell r="A362" t="str">
            <v>CD13055</v>
          </cell>
        </row>
        <row r="363">
          <cell r="A363" t="str">
            <v>CD13056</v>
          </cell>
        </row>
        <row r="364">
          <cell r="A364" t="str">
            <v>CD13057</v>
          </cell>
        </row>
        <row r="365">
          <cell r="A365" t="str">
            <v>CD13058</v>
          </cell>
        </row>
        <row r="366">
          <cell r="A366" t="str">
            <v>CD13059</v>
          </cell>
        </row>
        <row r="367">
          <cell r="A367" t="str">
            <v>CD13060</v>
          </cell>
        </row>
        <row r="368">
          <cell r="A368" t="str">
            <v>CD13061</v>
          </cell>
        </row>
        <row r="369">
          <cell r="A369" t="str">
            <v>CD13062</v>
          </cell>
        </row>
        <row r="370">
          <cell r="A370" t="str">
            <v>CD13063</v>
          </cell>
        </row>
        <row r="371">
          <cell r="A371" t="str">
            <v>CD13064</v>
          </cell>
        </row>
        <row r="372">
          <cell r="A372" t="str">
            <v>CD14001</v>
          </cell>
        </row>
        <row r="373">
          <cell r="A373" t="str">
            <v>CD14002</v>
          </cell>
        </row>
        <row r="374">
          <cell r="A374" t="str">
            <v>CD14003</v>
          </cell>
        </row>
        <row r="375">
          <cell r="A375" t="str">
            <v>CD14004</v>
          </cell>
        </row>
        <row r="376">
          <cell r="A376" t="str">
            <v>CD14005</v>
          </cell>
        </row>
        <row r="377">
          <cell r="A377" t="str">
            <v>CD14006</v>
          </cell>
        </row>
        <row r="378">
          <cell r="A378" t="str">
            <v>CD14007</v>
          </cell>
        </row>
        <row r="379">
          <cell r="A379" t="str">
            <v>CD14008</v>
          </cell>
        </row>
        <row r="380">
          <cell r="A380" t="str">
            <v>CD14009</v>
          </cell>
        </row>
        <row r="381">
          <cell r="A381" t="str">
            <v>CD14010</v>
          </cell>
        </row>
        <row r="382">
          <cell r="A382" t="str">
            <v>CD14011</v>
          </cell>
        </row>
        <row r="383">
          <cell r="A383" t="str">
            <v>CD14012</v>
          </cell>
        </row>
        <row r="384">
          <cell r="A384" t="str">
            <v>CD14013</v>
          </cell>
        </row>
        <row r="385">
          <cell r="A385" t="str">
            <v>CD14014</v>
          </cell>
        </row>
        <row r="386">
          <cell r="A386" t="str">
            <v>CD14015</v>
          </cell>
        </row>
        <row r="387">
          <cell r="A387" t="str">
            <v>CD14016</v>
          </cell>
        </row>
        <row r="388">
          <cell r="A388" t="str">
            <v>CD14017</v>
          </cell>
        </row>
        <row r="389">
          <cell r="A389" t="str">
            <v>CD14018</v>
          </cell>
        </row>
        <row r="390">
          <cell r="A390" t="str">
            <v>CD14019</v>
          </cell>
        </row>
        <row r="391">
          <cell r="A391" t="str">
            <v>CD14020</v>
          </cell>
        </row>
        <row r="392">
          <cell r="A392" t="str">
            <v>CD14021</v>
          </cell>
        </row>
        <row r="393">
          <cell r="A393" t="str">
            <v>CD14022</v>
          </cell>
        </row>
        <row r="394">
          <cell r="A394" t="str">
            <v>CD14023</v>
          </cell>
        </row>
        <row r="395">
          <cell r="A395" t="str">
            <v>CD14024</v>
          </cell>
        </row>
        <row r="396">
          <cell r="A396" t="str">
            <v>CD14025</v>
          </cell>
        </row>
        <row r="397">
          <cell r="A397" t="str">
            <v>CD14026</v>
          </cell>
        </row>
        <row r="398">
          <cell r="A398" t="str">
            <v>CD14027</v>
          </cell>
        </row>
        <row r="399">
          <cell r="A399" t="str">
            <v>CD14028</v>
          </cell>
        </row>
        <row r="400">
          <cell r="A400" t="str">
            <v>CD14029</v>
          </cell>
        </row>
        <row r="401">
          <cell r="A401" t="str">
            <v>CD14030</v>
          </cell>
        </row>
        <row r="402">
          <cell r="A402" t="str">
            <v>CD14031</v>
          </cell>
        </row>
        <row r="403">
          <cell r="A403" t="str">
            <v>CD14032</v>
          </cell>
        </row>
        <row r="404">
          <cell r="A404" t="str">
            <v>CD14033</v>
          </cell>
        </row>
        <row r="405">
          <cell r="A405" t="str">
            <v>CD14034</v>
          </cell>
        </row>
        <row r="406">
          <cell r="A406" t="str">
            <v>CD14035</v>
          </cell>
        </row>
        <row r="407">
          <cell r="A407" t="str">
            <v>CD14036</v>
          </cell>
        </row>
        <row r="408">
          <cell r="A408" t="str">
            <v>CD14037</v>
          </cell>
        </row>
        <row r="409">
          <cell r="A409" t="str">
            <v>CD14038</v>
          </cell>
        </row>
        <row r="410">
          <cell r="A410" t="str">
            <v>CD14039</v>
          </cell>
        </row>
        <row r="411">
          <cell r="A411" t="str">
            <v>CD14040</v>
          </cell>
        </row>
        <row r="412">
          <cell r="A412" t="str">
            <v>CD14041</v>
          </cell>
        </row>
        <row r="413">
          <cell r="A413" t="str">
            <v>CD14042</v>
          </cell>
        </row>
        <row r="414">
          <cell r="A414" t="str">
            <v>CD14043</v>
          </cell>
        </row>
        <row r="415">
          <cell r="A415" t="str">
            <v>CD14044</v>
          </cell>
        </row>
        <row r="416">
          <cell r="A416" t="str">
            <v>CD14045</v>
          </cell>
        </row>
        <row r="417">
          <cell r="A417" t="str">
            <v>CD14046</v>
          </cell>
        </row>
        <row r="418">
          <cell r="A418" t="str">
            <v>CD14047</v>
          </cell>
        </row>
        <row r="419">
          <cell r="A419" t="str">
            <v>CD14048</v>
          </cell>
        </row>
        <row r="420">
          <cell r="A420" t="str">
            <v>CD14049</v>
          </cell>
        </row>
        <row r="421">
          <cell r="A421" t="str">
            <v>CD14050</v>
          </cell>
        </row>
        <row r="422">
          <cell r="A422" t="str">
            <v>CD14051</v>
          </cell>
        </row>
        <row r="423">
          <cell r="A423" t="str">
            <v>CD14052</v>
          </cell>
        </row>
        <row r="424">
          <cell r="A424" t="str">
            <v>CD14053</v>
          </cell>
        </row>
        <row r="425">
          <cell r="A425" t="str">
            <v>CD14054</v>
          </cell>
        </row>
        <row r="426">
          <cell r="A426" t="str">
            <v>CD14055</v>
          </cell>
        </row>
        <row r="427">
          <cell r="A427" t="str">
            <v>CD14056</v>
          </cell>
        </row>
        <row r="428">
          <cell r="A428" t="str">
            <v>CD14057</v>
          </cell>
        </row>
        <row r="429">
          <cell r="A429" t="str">
            <v>CD14058</v>
          </cell>
        </row>
        <row r="430">
          <cell r="A430" t="str">
            <v>CD14059</v>
          </cell>
        </row>
        <row r="431">
          <cell r="A431" t="str">
            <v>CD14060</v>
          </cell>
        </row>
        <row r="432">
          <cell r="A432" t="str">
            <v>CD14061</v>
          </cell>
        </row>
        <row r="433">
          <cell r="A433" t="str">
            <v>CD14062</v>
          </cell>
        </row>
        <row r="434">
          <cell r="A434" t="str">
            <v>CD14063</v>
          </cell>
        </row>
        <row r="435">
          <cell r="A435" t="str">
            <v>CD14064</v>
          </cell>
        </row>
        <row r="436">
          <cell r="A436" t="str">
            <v>CD15001</v>
          </cell>
        </row>
        <row r="437">
          <cell r="A437" t="str">
            <v>CD15002</v>
          </cell>
        </row>
        <row r="438">
          <cell r="A438" t="str">
            <v>CD15003</v>
          </cell>
        </row>
        <row r="439">
          <cell r="A439" t="str">
            <v>CD15004</v>
          </cell>
        </row>
        <row r="440">
          <cell r="A440" t="str">
            <v>CD15005</v>
          </cell>
        </row>
        <row r="441">
          <cell r="A441" t="str">
            <v>CD15006</v>
          </cell>
        </row>
        <row r="442">
          <cell r="A442" t="str">
            <v>CD15007</v>
          </cell>
        </row>
        <row r="443">
          <cell r="A443" t="str">
            <v>CD15008</v>
          </cell>
        </row>
        <row r="444">
          <cell r="A444" t="str">
            <v>CD15009</v>
          </cell>
        </row>
        <row r="445">
          <cell r="A445" t="str">
            <v>CD15010</v>
          </cell>
        </row>
        <row r="446">
          <cell r="A446" t="str">
            <v>CD15011</v>
          </cell>
        </row>
        <row r="447">
          <cell r="A447" t="str">
            <v>CD15012</v>
          </cell>
        </row>
        <row r="448">
          <cell r="A448" t="str">
            <v>CD15013</v>
          </cell>
        </row>
        <row r="449">
          <cell r="A449" t="str">
            <v>CD15014</v>
          </cell>
        </row>
        <row r="450">
          <cell r="A450" t="str">
            <v>CD15015</v>
          </cell>
        </row>
        <row r="451">
          <cell r="A451" t="str">
            <v>CD15016</v>
          </cell>
        </row>
        <row r="452">
          <cell r="A452" t="str">
            <v>CD15017</v>
          </cell>
        </row>
        <row r="453">
          <cell r="A453" t="str">
            <v>CD15018</v>
          </cell>
        </row>
        <row r="454">
          <cell r="A454" t="str">
            <v>CD15019</v>
          </cell>
        </row>
        <row r="455">
          <cell r="A455" t="str">
            <v>CD15020</v>
          </cell>
        </row>
        <row r="456">
          <cell r="A456" t="str">
            <v>CD15021</v>
          </cell>
        </row>
        <row r="457">
          <cell r="A457" t="str">
            <v>CD15022</v>
          </cell>
        </row>
        <row r="458">
          <cell r="A458" t="str">
            <v>CD15023</v>
          </cell>
        </row>
        <row r="459">
          <cell r="A459" t="str">
            <v>CD15024</v>
          </cell>
        </row>
        <row r="460">
          <cell r="A460" t="str">
            <v>CD15025</v>
          </cell>
        </row>
        <row r="461">
          <cell r="A461" t="str">
            <v>CD15026</v>
          </cell>
        </row>
        <row r="462">
          <cell r="A462" t="str">
            <v>CD15027</v>
          </cell>
        </row>
        <row r="463">
          <cell r="A463" t="str">
            <v>CD15028</v>
          </cell>
        </row>
        <row r="464">
          <cell r="A464" t="str">
            <v>CD15029</v>
          </cell>
        </row>
        <row r="465">
          <cell r="A465" t="str">
            <v>CD15030</v>
          </cell>
        </row>
        <row r="466">
          <cell r="A466" t="str">
            <v>CD15031</v>
          </cell>
        </row>
        <row r="467">
          <cell r="A467" t="str">
            <v>CD15032</v>
          </cell>
        </row>
        <row r="468">
          <cell r="A468" t="str">
            <v>CD15033</v>
          </cell>
        </row>
        <row r="469">
          <cell r="A469" t="str">
            <v>CD15034</v>
          </cell>
        </row>
        <row r="470">
          <cell r="A470" t="str">
            <v>CD15035</v>
          </cell>
        </row>
        <row r="471">
          <cell r="A471" t="str">
            <v>CD15036</v>
          </cell>
        </row>
        <row r="472">
          <cell r="A472" t="str">
            <v>CD15037</v>
          </cell>
        </row>
        <row r="473">
          <cell r="A473" t="str">
            <v>CD15038</v>
          </cell>
        </row>
        <row r="474">
          <cell r="A474" t="str">
            <v>CD15039</v>
          </cell>
        </row>
        <row r="475">
          <cell r="A475" t="str">
            <v>CD15040</v>
          </cell>
        </row>
        <row r="476">
          <cell r="A476" t="str">
            <v>CD15041</v>
          </cell>
        </row>
        <row r="477">
          <cell r="A477" t="str">
            <v>CD15042</v>
          </cell>
        </row>
        <row r="478">
          <cell r="A478" t="str">
            <v>CD15043</v>
          </cell>
        </row>
        <row r="479">
          <cell r="A479" t="str">
            <v>CD15044</v>
          </cell>
        </row>
        <row r="480">
          <cell r="A480" t="str">
            <v>CD15045</v>
          </cell>
        </row>
        <row r="481">
          <cell r="A481" t="str">
            <v>CD15046</v>
          </cell>
        </row>
        <row r="482">
          <cell r="A482" t="str">
            <v>CD15047</v>
          </cell>
        </row>
        <row r="483">
          <cell r="A483" t="str">
            <v>CD15048</v>
          </cell>
        </row>
        <row r="484">
          <cell r="A484" t="str">
            <v>CD15049</v>
          </cell>
        </row>
        <row r="485">
          <cell r="A485" t="str">
            <v>CD15050</v>
          </cell>
        </row>
        <row r="486">
          <cell r="A486" t="str">
            <v>CD15051</v>
          </cell>
        </row>
        <row r="487">
          <cell r="A487" t="str">
            <v>CD15052</v>
          </cell>
        </row>
        <row r="488">
          <cell r="A488" t="str">
            <v>CD15053</v>
          </cell>
        </row>
        <row r="489">
          <cell r="A489" t="str">
            <v>CD15054</v>
          </cell>
        </row>
        <row r="490">
          <cell r="A490" t="str">
            <v>CD15055</v>
          </cell>
        </row>
        <row r="491">
          <cell r="A491" t="str">
            <v>CD15056</v>
          </cell>
        </row>
        <row r="492">
          <cell r="A492" t="str">
            <v>CD15057</v>
          </cell>
        </row>
        <row r="493">
          <cell r="A493" t="str">
            <v>CD15058</v>
          </cell>
        </row>
        <row r="494">
          <cell r="A494" t="str">
            <v>CD15059</v>
          </cell>
        </row>
        <row r="495">
          <cell r="A495" t="str">
            <v>CD15060</v>
          </cell>
        </row>
        <row r="496">
          <cell r="A496" t="str">
            <v>CD15061</v>
          </cell>
        </row>
        <row r="497">
          <cell r="A497" t="str">
            <v>CD15062</v>
          </cell>
        </row>
        <row r="498">
          <cell r="A498" t="str">
            <v>CD15063</v>
          </cell>
        </row>
        <row r="499">
          <cell r="A499" t="str">
            <v>CD15064</v>
          </cell>
        </row>
        <row r="500">
          <cell r="A500" t="str">
            <v>CD16001</v>
          </cell>
        </row>
        <row r="501">
          <cell r="A501" t="str">
            <v>CD16002</v>
          </cell>
        </row>
        <row r="502">
          <cell r="A502" t="str">
            <v>CD16003</v>
          </cell>
        </row>
        <row r="503">
          <cell r="A503" t="str">
            <v>CD16004</v>
          </cell>
        </row>
        <row r="504">
          <cell r="A504" t="str">
            <v>CD16005</v>
          </cell>
        </row>
        <row r="505">
          <cell r="A505" t="str">
            <v>CD16006</v>
          </cell>
        </row>
        <row r="506">
          <cell r="A506" t="str">
            <v>CD16007</v>
          </cell>
        </row>
        <row r="507">
          <cell r="A507" t="str">
            <v>CD16008</v>
          </cell>
        </row>
        <row r="508">
          <cell r="A508" t="str">
            <v>CD16009</v>
          </cell>
        </row>
        <row r="509">
          <cell r="A509" t="str">
            <v>CD16010</v>
          </cell>
        </row>
        <row r="510">
          <cell r="A510" t="str">
            <v>CD16011</v>
          </cell>
        </row>
        <row r="511">
          <cell r="A511" t="str">
            <v>CD16012</v>
          </cell>
        </row>
        <row r="512">
          <cell r="A512" t="str">
            <v>CD16013</v>
          </cell>
        </row>
        <row r="513">
          <cell r="A513" t="str">
            <v>CD16014</v>
          </cell>
        </row>
        <row r="514">
          <cell r="A514" t="str">
            <v>CD16015</v>
          </cell>
        </row>
        <row r="515">
          <cell r="A515" t="str">
            <v>CD16016</v>
          </cell>
        </row>
        <row r="516">
          <cell r="A516" t="str">
            <v>CD16017</v>
          </cell>
        </row>
        <row r="517">
          <cell r="A517" t="str">
            <v>CD16018</v>
          </cell>
        </row>
        <row r="518">
          <cell r="A518" t="str">
            <v>CD16019</v>
          </cell>
        </row>
        <row r="519">
          <cell r="A519" t="str">
            <v>CD16020</v>
          </cell>
        </row>
        <row r="520">
          <cell r="A520" t="str">
            <v>CD16021</v>
          </cell>
        </row>
        <row r="521">
          <cell r="A521" t="str">
            <v>CD16022</v>
          </cell>
        </row>
        <row r="522">
          <cell r="A522" t="str">
            <v>CD16023</v>
          </cell>
        </row>
        <row r="523">
          <cell r="A523" t="str">
            <v>CD16024</v>
          </cell>
        </row>
        <row r="524">
          <cell r="A524" t="str">
            <v>CD16025</v>
          </cell>
        </row>
        <row r="525">
          <cell r="A525" t="str">
            <v>CD16026</v>
          </cell>
        </row>
        <row r="526">
          <cell r="A526" t="str">
            <v>CD16027</v>
          </cell>
        </row>
        <row r="527">
          <cell r="A527" t="str">
            <v>CD16028</v>
          </cell>
        </row>
        <row r="528">
          <cell r="A528" t="str">
            <v>CD16029</v>
          </cell>
        </row>
        <row r="529">
          <cell r="A529" t="str">
            <v>CD16030</v>
          </cell>
        </row>
        <row r="530">
          <cell r="A530" t="str">
            <v>CD16031</v>
          </cell>
        </row>
        <row r="531">
          <cell r="A531" t="str">
            <v>CD16032</v>
          </cell>
        </row>
        <row r="532">
          <cell r="A532" t="str">
            <v>CD16033</v>
          </cell>
        </row>
        <row r="533">
          <cell r="A533" t="str">
            <v>CD16034</v>
          </cell>
        </row>
        <row r="534">
          <cell r="A534" t="str">
            <v>CD16035</v>
          </cell>
        </row>
        <row r="535">
          <cell r="A535" t="str">
            <v>CD16036</v>
          </cell>
        </row>
        <row r="536">
          <cell r="A536" t="str">
            <v>CD16037</v>
          </cell>
        </row>
        <row r="537">
          <cell r="A537" t="str">
            <v>CD16038</v>
          </cell>
        </row>
        <row r="538">
          <cell r="A538" t="str">
            <v>CD16039</v>
          </cell>
        </row>
        <row r="539">
          <cell r="A539" t="str">
            <v>CD16040</v>
          </cell>
        </row>
        <row r="540">
          <cell r="A540" t="str">
            <v>CD16041</v>
          </cell>
        </row>
        <row r="541">
          <cell r="A541" t="str">
            <v>CD16042</v>
          </cell>
        </row>
        <row r="542">
          <cell r="A542" t="str">
            <v>CD16043</v>
          </cell>
        </row>
        <row r="543">
          <cell r="A543" t="str">
            <v>CD16044</v>
          </cell>
        </row>
        <row r="544">
          <cell r="A544" t="str">
            <v>CD16045</v>
          </cell>
        </row>
        <row r="545">
          <cell r="A545" t="str">
            <v>CD16046</v>
          </cell>
        </row>
        <row r="546">
          <cell r="A546" t="str">
            <v>CD16047</v>
          </cell>
        </row>
        <row r="547">
          <cell r="A547" t="str">
            <v>CD16048</v>
          </cell>
        </row>
        <row r="548">
          <cell r="A548" t="str">
            <v>CD16049</v>
          </cell>
        </row>
        <row r="549">
          <cell r="A549" t="str">
            <v>CD16050</v>
          </cell>
        </row>
        <row r="550">
          <cell r="A550" t="str">
            <v>CD16051</v>
          </cell>
        </row>
        <row r="551">
          <cell r="A551" t="str">
            <v>CD16052</v>
          </cell>
        </row>
        <row r="552">
          <cell r="A552" t="str">
            <v>CD16053</v>
          </cell>
        </row>
        <row r="553">
          <cell r="A553" t="str">
            <v>CD16054</v>
          </cell>
        </row>
        <row r="554">
          <cell r="A554" t="str">
            <v>CD16055</v>
          </cell>
        </row>
        <row r="555">
          <cell r="A555" t="str">
            <v>CD16056</v>
          </cell>
        </row>
        <row r="556">
          <cell r="A556" t="str">
            <v>CD16057</v>
          </cell>
        </row>
        <row r="557">
          <cell r="A557" t="str">
            <v>CD16058</v>
          </cell>
        </row>
        <row r="558">
          <cell r="A558" t="str">
            <v>CD16059</v>
          </cell>
        </row>
        <row r="559">
          <cell r="A559" t="str">
            <v>CD16060</v>
          </cell>
        </row>
        <row r="560">
          <cell r="A560" t="str">
            <v>CD16061</v>
          </cell>
        </row>
        <row r="561">
          <cell r="A561" t="str">
            <v>CD16062</v>
          </cell>
        </row>
        <row r="562">
          <cell r="A562" t="str">
            <v>CD16063</v>
          </cell>
        </row>
        <row r="563">
          <cell r="A563" t="str">
            <v>CD16064</v>
          </cell>
        </row>
        <row r="564">
          <cell r="A564" t="str">
            <v>CD17001</v>
          </cell>
        </row>
        <row r="565">
          <cell r="A565" t="str">
            <v>CD17002</v>
          </cell>
        </row>
        <row r="566">
          <cell r="A566" t="str">
            <v>CD17003</v>
          </cell>
        </row>
        <row r="567">
          <cell r="A567" t="str">
            <v>CD17004</v>
          </cell>
        </row>
        <row r="568">
          <cell r="A568" t="str">
            <v>CD17005</v>
          </cell>
        </row>
        <row r="569">
          <cell r="A569" t="str">
            <v>CD17006</v>
          </cell>
        </row>
        <row r="570">
          <cell r="A570" t="str">
            <v>CD17007</v>
          </cell>
        </row>
        <row r="571">
          <cell r="A571" t="str">
            <v>CD17008</v>
          </cell>
        </row>
        <row r="572">
          <cell r="A572" t="str">
            <v>CD17009</v>
          </cell>
        </row>
        <row r="573">
          <cell r="A573" t="str">
            <v>CD17010</v>
          </cell>
        </row>
        <row r="574">
          <cell r="A574" t="str">
            <v>CD17011</v>
          </cell>
        </row>
        <row r="575">
          <cell r="A575" t="str">
            <v>CD17012</v>
          </cell>
        </row>
        <row r="576">
          <cell r="A576" t="str">
            <v>CD17013</v>
          </cell>
        </row>
        <row r="577">
          <cell r="A577" t="str">
            <v>CD17014</v>
          </cell>
        </row>
        <row r="578">
          <cell r="A578" t="str">
            <v>CD17015</v>
          </cell>
        </row>
        <row r="579">
          <cell r="A579" t="str">
            <v>CD17016</v>
          </cell>
        </row>
        <row r="580">
          <cell r="A580" t="str">
            <v>CD17017</v>
          </cell>
        </row>
        <row r="581">
          <cell r="A581" t="str">
            <v>CD17018</v>
          </cell>
        </row>
        <row r="582">
          <cell r="A582" t="str">
            <v>CD17019</v>
          </cell>
        </row>
        <row r="583">
          <cell r="A583" t="str">
            <v>CD17020</v>
          </cell>
        </row>
        <row r="584">
          <cell r="A584" t="str">
            <v>CD17021</v>
          </cell>
        </row>
        <row r="585">
          <cell r="A585" t="str">
            <v>CD17022</v>
          </cell>
        </row>
        <row r="586">
          <cell r="A586" t="str">
            <v>CD17023</v>
          </cell>
        </row>
        <row r="587">
          <cell r="A587" t="str">
            <v>CD17024</v>
          </cell>
        </row>
        <row r="588">
          <cell r="A588" t="str">
            <v>CD17025</v>
          </cell>
        </row>
        <row r="589">
          <cell r="A589" t="str">
            <v>CD17026</v>
          </cell>
        </row>
        <row r="590">
          <cell r="A590" t="str">
            <v>CD17027</v>
          </cell>
        </row>
        <row r="591">
          <cell r="A591" t="str">
            <v>CD17028</v>
          </cell>
        </row>
        <row r="592">
          <cell r="A592" t="str">
            <v>CD17029</v>
          </cell>
        </row>
        <row r="593">
          <cell r="A593" t="str">
            <v>CD17030</v>
          </cell>
        </row>
        <row r="594">
          <cell r="A594" t="str">
            <v>CD17031</v>
          </cell>
        </row>
        <row r="595">
          <cell r="A595" t="str">
            <v>CD17032</v>
          </cell>
        </row>
        <row r="596">
          <cell r="A596" t="str">
            <v>CD17033</v>
          </cell>
        </row>
        <row r="597">
          <cell r="A597" t="str">
            <v>CD17034</v>
          </cell>
        </row>
        <row r="598">
          <cell r="A598" t="str">
            <v>CD17035</v>
          </cell>
        </row>
        <row r="599">
          <cell r="A599" t="str">
            <v>CD17036</v>
          </cell>
        </row>
        <row r="600">
          <cell r="A600" t="str">
            <v>CD17037</v>
          </cell>
        </row>
        <row r="601">
          <cell r="A601" t="str">
            <v>CD17038</v>
          </cell>
        </row>
        <row r="602">
          <cell r="A602" t="str">
            <v>CD17039</v>
          </cell>
        </row>
        <row r="603">
          <cell r="A603" t="str">
            <v>CD17040</v>
          </cell>
        </row>
        <row r="604">
          <cell r="A604" t="str">
            <v>CD17041</v>
          </cell>
        </row>
        <row r="605">
          <cell r="A605" t="str">
            <v>CD17042</v>
          </cell>
        </row>
        <row r="606">
          <cell r="A606" t="str">
            <v>CD17043</v>
          </cell>
        </row>
        <row r="607">
          <cell r="A607" t="str">
            <v>CD17044</v>
          </cell>
        </row>
        <row r="608">
          <cell r="A608" t="str">
            <v>CD17045</v>
          </cell>
        </row>
        <row r="609">
          <cell r="A609" t="str">
            <v>CD17046</v>
          </cell>
        </row>
        <row r="610">
          <cell r="A610" t="str">
            <v>CD17047</v>
          </cell>
        </row>
        <row r="611">
          <cell r="A611" t="str">
            <v>CD17048</v>
          </cell>
        </row>
        <row r="612">
          <cell r="A612" t="str">
            <v>CD17049</v>
          </cell>
        </row>
        <row r="613">
          <cell r="A613" t="str">
            <v>CD17050</v>
          </cell>
        </row>
        <row r="614">
          <cell r="A614" t="str">
            <v>CD17051</v>
          </cell>
        </row>
        <row r="615">
          <cell r="A615" t="str">
            <v>CD17052</v>
          </cell>
        </row>
        <row r="616">
          <cell r="A616" t="str">
            <v>CD17053</v>
          </cell>
        </row>
        <row r="617">
          <cell r="A617" t="str">
            <v>CD17054</v>
          </cell>
        </row>
        <row r="618">
          <cell r="A618" t="str">
            <v>CD17055</v>
          </cell>
        </row>
        <row r="619">
          <cell r="A619" t="str">
            <v>CD17056</v>
          </cell>
        </row>
        <row r="620">
          <cell r="A620" t="str">
            <v>CD17057</v>
          </cell>
        </row>
        <row r="621">
          <cell r="A621" t="str">
            <v>CD17058</v>
          </cell>
        </row>
        <row r="622">
          <cell r="A622" t="str">
            <v>CD17059</v>
          </cell>
        </row>
        <row r="623">
          <cell r="A623" t="str">
            <v>CD17060</v>
          </cell>
        </row>
        <row r="624">
          <cell r="A624" t="str">
            <v>CD17061</v>
          </cell>
        </row>
        <row r="625">
          <cell r="A625" t="str">
            <v>CD17062</v>
          </cell>
        </row>
        <row r="626">
          <cell r="A626" t="str">
            <v>CD17063</v>
          </cell>
        </row>
        <row r="627">
          <cell r="A627" t="str">
            <v>CD17064</v>
          </cell>
        </row>
        <row r="628">
          <cell r="A628" t="str">
            <v>CD18001</v>
          </cell>
        </row>
        <row r="629">
          <cell r="A629" t="str">
            <v>CD18002</v>
          </cell>
        </row>
        <row r="630">
          <cell r="A630" t="str">
            <v>CD18003</v>
          </cell>
        </row>
        <row r="631">
          <cell r="A631" t="str">
            <v>CD18004</v>
          </cell>
        </row>
        <row r="632">
          <cell r="A632" t="str">
            <v>CD18005</v>
          </cell>
        </row>
        <row r="633">
          <cell r="A633" t="str">
            <v>CD18006</v>
          </cell>
        </row>
        <row r="634">
          <cell r="A634" t="str">
            <v>CD18007</v>
          </cell>
        </row>
        <row r="635">
          <cell r="A635" t="str">
            <v>CD18008</v>
          </cell>
        </row>
        <row r="636">
          <cell r="A636" t="str">
            <v>CD18009</v>
          </cell>
        </row>
        <row r="637">
          <cell r="A637" t="str">
            <v>CD18010</v>
          </cell>
        </row>
        <row r="638">
          <cell r="A638" t="str">
            <v>CD18011</v>
          </cell>
        </row>
        <row r="639">
          <cell r="A639" t="str">
            <v>CD18012</v>
          </cell>
        </row>
        <row r="640">
          <cell r="A640" t="str">
            <v>CD18013</v>
          </cell>
        </row>
        <row r="641">
          <cell r="A641" t="str">
            <v>CD18014</v>
          </cell>
        </row>
        <row r="642">
          <cell r="A642" t="str">
            <v>CD18015</v>
          </cell>
        </row>
        <row r="643">
          <cell r="A643" t="str">
            <v>CD18016</v>
          </cell>
        </row>
        <row r="644">
          <cell r="A644" t="str">
            <v>CD18017</v>
          </cell>
        </row>
        <row r="645">
          <cell r="A645" t="str">
            <v>CD18018</v>
          </cell>
        </row>
        <row r="646">
          <cell r="A646" t="str">
            <v>CD18019</v>
          </cell>
        </row>
        <row r="647">
          <cell r="A647" t="str">
            <v>CD18020</v>
          </cell>
        </row>
        <row r="648">
          <cell r="A648" t="str">
            <v>CD18021</v>
          </cell>
        </row>
        <row r="649">
          <cell r="A649" t="str">
            <v>CD18022</v>
          </cell>
        </row>
        <row r="650">
          <cell r="A650" t="str">
            <v>CD18023</v>
          </cell>
        </row>
        <row r="651">
          <cell r="A651" t="str">
            <v>CD18024</v>
          </cell>
        </row>
        <row r="652">
          <cell r="A652" t="str">
            <v>CD18025</v>
          </cell>
        </row>
        <row r="653">
          <cell r="A653" t="str">
            <v>CD18026</v>
          </cell>
        </row>
        <row r="654">
          <cell r="A654" t="str">
            <v>CD18027</v>
          </cell>
        </row>
        <row r="655">
          <cell r="A655" t="str">
            <v>CD18028</v>
          </cell>
        </row>
        <row r="656">
          <cell r="A656" t="str">
            <v>CD18029</v>
          </cell>
        </row>
        <row r="657">
          <cell r="A657" t="str">
            <v>CD18030</v>
          </cell>
        </row>
        <row r="658">
          <cell r="A658" t="str">
            <v>CD18031</v>
          </cell>
        </row>
        <row r="659">
          <cell r="A659" t="str">
            <v>CD18032</v>
          </cell>
        </row>
        <row r="660">
          <cell r="A660" t="str">
            <v>CD18033</v>
          </cell>
        </row>
        <row r="661">
          <cell r="A661" t="str">
            <v>CD18034</v>
          </cell>
        </row>
        <row r="662">
          <cell r="A662" t="str">
            <v>CD18035</v>
          </cell>
        </row>
        <row r="663">
          <cell r="A663" t="str">
            <v>CD18036</v>
          </cell>
        </row>
        <row r="664">
          <cell r="A664" t="str">
            <v>CD18037</v>
          </cell>
        </row>
        <row r="665">
          <cell r="A665" t="str">
            <v>CD18038</v>
          </cell>
        </row>
        <row r="666">
          <cell r="A666" t="str">
            <v>CD18039</v>
          </cell>
        </row>
        <row r="667">
          <cell r="A667" t="str">
            <v>CD18040</v>
          </cell>
        </row>
        <row r="668">
          <cell r="A668" t="str">
            <v>CD18041</v>
          </cell>
        </row>
        <row r="669">
          <cell r="A669" t="str">
            <v>CD18042</v>
          </cell>
        </row>
        <row r="670">
          <cell r="A670" t="str">
            <v>CD18043</v>
          </cell>
        </row>
        <row r="671">
          <cell r="A671" t="str">
            <v>CD18044</v>
          </cell>
        </row>
        <row r="672">
          <cell r="A672" t="str">
            <v>CD18045</v>
          </cell>
        </row>
        <row r="673">
          <cell r="A673" t="str">
            <v>CD18046</v>
          </cell>
        </row>
        <row r="674">
          <cell r="A674" t="str">
            <v>CD18047</v>
          </cell>
        </row>
        <row r="675">
          <cell r="A675" t="str">
            <v>CD18048</v>
          </cell>
        </row>
        <row r="676">
          <cell r="A676" t="str">
            <v>CD18049</v>
          </cell>
        </row>
        <row r="677">
          <cell r="A677" t="str">
            <v>CD18050</v>
          </cell>
        </row>
        <row r="678">
          <cell r="A678" t="str">
            <v>CD18051</v>
          </cell>
        </row>
        <row r="679">
          <cell r="A679" t="str">
            <v>CD18052</v>
          </cell>
        </row>
        <row r="680">
          <cell r="A680" t="str">
            <v>CD18053</v>
          </cell>
        </row>
        <row r="681">
          <cell r="A681" t="str">
            <v>CD18054</v>
          </cell>
        </row>
        <row r="682">
          <cell r="A682" t="str">
            <v>CD18055</v>
          </cell>
        </row>
        <row r="683">
          <cell r="A683" t="str">
            <v>CD18056</v>
          </cell>
        </row>
        <row r="684">
          <cell r="A684" t="str">
            <v>CD18057</v>
          </cell>
        </row>
        <row r="685">
          <cell r="A685" t="str">
            <v>CD18058</v>
          </cell>
        </row>
        <row r="686">
          <cell r="A686" t="str">
            <v>CD18059</v>
          </cell>
        </row>
        <row r="687">
          <cell r="A687" t="str">
            <v>CD18060</v>
          </cell>
        </row>
        <row r="688">
          <cell r="A688" t="str">
            <v>CD18061</v>
          </cell>
        </row>
        <row r="689">
          <cell r="A689" t="str">
            <v>CD18062</v>
          </cell>
        </row>
        <row r="690">
          <cell r="A690" t="str">
            <v>CD18063</v>
          </cell>
        </row>
        <row r="691">
          <cell r="A691" t="str">
            <v>CD18064</v>
          </cell>
        </row>
        <row r="692">
          <cell r="A692" t="str">
            <v>CD18065</v>
          </cell>
        </row>
        <row r="693">
          <cell r="A693" t="str">
            <v>CD18066</v>
          </cell>
        </row>
        <row r="694">
          <cell r="A694" t="str">
            <v>CD18067</v>
          </cell>
        </row>
        <row r="695">
          <cell r="A695" t="str">
            <v>CD18068</v>
          </cell>
        </row>
        <row r="696">
          <cell r="A696" t="str">
            <v>CD19001</v>
          </cell>
        </row>
        <row r="697">
          <cell r="A697" t="str">
            <v>CD19002</v>
          </cell>
        </row>
        <row r="698">
          <cell r="A698" t="str">
            <v>CD19003</v>
          </cell>
        </row>
        <row r="699">
          <cell r="A699" t="str">
            <v>CD19004</v>
          </cell>
        </row>
        <row r="700">
          <cell r="A700" t="str">
            <v>CD19005</v>
          </cell>
        </row>
        <row r="701">
          <cell r="A701" t="str">
            <v>CD19006</v>
          </cell>
        </row>
        <row r="702">
          <cell r="A702" t="str">
            <v>CD19007</v>
          </cell>
        </row>
        <row r="703">
          <cell r="A703" t="str">
            <v>CD19008</v>
          </cell>
        </row>
        <row r="704">
          <cell r="A704" t="str">
            <v>CD19009</v>
          </cell>
        </row>
        <row r="705">
          <cell r="A705" t="str">
            <v>CD19010</v>
          </cell>
        </row>
        <row r="706">
          <cell r="A706" t="str">
            <v>CD19011</v>
          </cell>
        </row>
        <row r="707">
          <cell r="A707" t="str">
            <v>CD19012</v>
          </cell>
        </row>
        <row r="708">
          <cell r="A708" t="str">
            <v>CD19013</v>
          </cell>
        </row>
        <row r="709">
          <cell r="A709" t="str">
            <v>CD19014</v>
          </cell>
        </row>
        <row r="710">
          <cell r="A710" t="str">
            <v>CD19015</v>
          </cell>
        </row>
        <row r="711">
          <cell r="A711" t="str">
            <v>CD19016</v>
          </cell>
        </row>
        <row r="712">
          <cell r="A712" t="str">
            <v>CD19017</v>
          </cell>
        </row>
        <row r="713">
          <cell r="A713" t="str">
            <v>CD19018</v>
          </cell>
        </row>
        <row r="714">
          <cell r="A714" t="str">
            <v>CD19019</v>
          </cell>
        </row>
        <row r="715">
          <cell r="A715" t="str">
            <v>CD19020</v>
          </cell>
        </row>
        <row r="716">
          <cell r="A716" t="str">
            <v>CD19021</v>
          </cell>
        </row>
        <row r="717">
          <cell r="A717" t="str">
            <v>CD19022</v>
          </cell>
        </row>
        <row r="718">
          <cell r="A718" t="str">
            <v>CD19023</v>
          </cell>
        </row>
        <row r="719">
          <cell r="A719" t="str">
            <v>CD19024</v>
          </cell>
        </row>
        <row r="720">
          <cell r="A720" t="str">
            <v>CD19025</v>
          </cell>
        </row>
        <row r="721">
          <cell r="A721" t="str">
            <v>CD19026</v>
          </cell>
        </row>
        <row r="722">
          <cell r="A722" t="str">
            <v>CD19027</v>
          </cell>
        </row>
        <row r="723">
          <cell r="A723" t="str">
            <v>CD19028</v>
          </cell>
        </row>
        <row r="724">
          <cell r="A724" t="str">
            <v>CD19029</v>
          </cell>
        </row>
        <row r="725">
          <cell r="A725" t="str">
            <v>CD19030</v>
          </cell>
        </row>
        <row r="726">
          <cell r="A726" t="str">
            <v>CD19031</v>
          </cell>
        </row>
        <row r="727">
          <cell r="A727" t="str">
            <v>CD19032</v>
          </cell>
        </row>
        <row r="728">
          <cell r="A728" t="str">
            <v>CD19033</v>
          </cell>
        </row>
        <row r="729">
          <cell r="A729" t="str">
            <v>CD19034</v>
          </cell>
        </row>
        <row r="730">
          <cell r="A730" t="str">
            <v>CD19035</v>
          </cell>
        </row>
        <row r="731">
          <cell r="A731" t="str">
            <v>CD19036</v>
          </cell>
        </row>
        <row r="732">
          <cell r="A732" t="str">
            <v>CD19037</v>
          </cell>
        </row>
        <row r="733">
          <cell r="A733" t="str">
            <v>CD19038</v>
          </cell>
        </row>
        <row r="734">
          <cell r="A734" t="str">
            <v>CD19039</v>
          </cell>
        </row>
        <row r="735">
          <cell r="A735" t="str">
            <v>CD19040</v>
          </cell>
        </row>
        <row r="736">
          <cell r="A736" t="str">
            <v>CD19041</v>
          </cell>
        </row>
        <row r="737">
          <cell r="A737" t="str">
            <v>CD19042</v>
          </cell>
        </row>
        <row r="738">
          <cell r="A738" t="str">
            <v>CD19043</v>
          </cell>
        </row>
        <row r="739">
          <cell r="A739" t="str">
            <v>CD19044</v>
          </cell>
        </row>
        <row r="740">
          <cell r="A740" t="str">
            <v>CD19045</v>
          </cell>
        </row>
        <row r="741">
          <cell r="A741" t="str">
            <v>CD19046</v>
          </cell>
        </row>
        <row r="742">
          <cell r="A742" t="str">
            <v>CD19047</v>
          </cell>
        </row>
        <row r="743">
          <cell r="A743" t="str">
            <v>CD19048</v>
          </cell>
        </row>
        <row r="744">
          <cell r="A744" t="str">
            <v>CD19049</v>
          </cell>
        </row>
        <row r="745">
          <cell r="A745" t="str">
            <v>CD19050</v>
          </cell>
        </row>
        <row r="746">
          <cell r="A746" t="str">
            <v>CD19051</v>
          </cell>
        </row>
        <row r="747">
          <cell r="A747" t="str">
            <v>CD19052</v>
          </cell>
        </row>
        <row r="748">
          <cell r="A748" t="str">
            <v>CD19053</v>
          </cell>
        </row>
        <row r="749">
          <cell r="A749" t="str">
            <v>CD19054</v>
          </cell>
        </row>
        <row r="750">
          <cell r="A750" t="str">
            <v>CD19055</v>
          </cell>
        </row>
        <row r="751">
          <cell r="A751" t="str">
            <v>CD19056</v>
          </cell>
        </row>
        <row r="752">
          <cell r="A752" t="str">
            <v>CD19057</v>
          </cell>
        </row>
        <row r="753">
          <cell r="A753" t="str">
            <v>CD19058</v>
          </cell>
        </row>
        <row r="754">
          <cell r="A754" t="str">
            <v>CD19059</v>
          </cell>
        </row>
        <row r="755">
          <cell r="A755" t="str">
            <v>CD19060</v>
          </cell>
        </row>
        <row r="756">
          <cell r="A756" t="str">
            <v>CD19061</v>
          </cell>
        </row>
        <row r="757">
          <cell r="A757" t="str">
            <v>CD19062</v>
          </cell>
        </row>
        <row r="758">
          <cell r="A758" t="str">
            <v>CD19063</v>
          </cell>
        </row>
        <row r="759">
          <cell r="A759" t="str">
            <v>CD19064</v>
          </cell>
        </row>
        <row r="760">
          <cell r="A760" t="str">
            <v>CD19065</v>
          </cell>
        </row>
        <row r="761">
          <cell r="A761" t="str">
            <v>CD19066</v>
          </cell>
        </row>
        <row r="762">
          <cell r="A762" t="str">
            <v>CD19067</v>
          </cell>
        </row>
        <row r="763">
          <cell r="A763" t="str">
            <v>CD19068</v>
          </cell>
        </row>
        <row r="764">
          <cell r="A764" t="str">
            <v>CD20001</v>
          </cell>
        </row>
        <row r="765">
          <cell r="A765" t="str">
            <v>CD20002</v>
          </cell>
        </row>
        <row r="766">
          <cell r="A766" t="str">
            <v>CD20003</v>
          </cell>
        </row>
        <row r="767">
          <cell r="A767" t="str">
            <v>CD20004</v>
          </cell>
        </row>
        <row r="768">
          <cell r="A768" t="str">
            <v>CD20005</v>
          </cell>
        </row>
        <row r="769">
          <cell r="A769" t="str">
            <v>CD20006</v>
          </cell>
        </row>
        <row r="770">
          <cell r="A770" t="str">
            <v>CD20007</v>
          </cell>
        </row>
        <row r="771">
          <cell r="A771" t="str">
            <v>CD20008</v>
          </cell>
        </row>
        <row r="772">
          <cell r="A772" t="str">
            <v>CD20009</v>
          </cell>
        </row>
        <row r="773">
          <cell r="A773" t="str">
            <v>CD20010</v>
          </cell>
        </row>
        <row r="774">
          <cell r="A774" t="str">
            <v>CD20011</v>
          </cell>
        </row>
        <row r="775">
          <cell r="A775" t="str">
            <v>CD20012</v>
          </cell>
        </row>
        <row r="776">
          <cell r="A776" t="str">
            <v>CD20013</v>
          </cell>
        </row>
        <row r="777">
          <cell r="A777" t="str">
            <v>CD20014</v>
          </cell>
        </row>
        <row r="778">
          <cell r="A778" t="str">
            <v>CD20015</v>
          </cell>
        </row>
        <row r="779">
          <cell r="A779" t="str">
            <v>CD20016</v>
          </cell>
        </row>
        <row r="780">
          <cell r="A780" t="str">
            <v>CD20017</v>
          </cell>
        </row>
        <row r="781">
          <cell r="A781" t="str">
            <v>CD20018</v>
          </cell>
        </row>
        <row r="782">
          <cell r="A782" t="str">
            <v>CD20019</v>
          </cell>
        </row>
        <row r="783">
          <cell r="A783" t="str">
            <v>CD20020</v>
          </cell>
        </row>
        <row r="784">
          <cell r="A784" t="str">
            <v>CD20021</v>
          </cell>
        </row>
        <row r="785">
          <cell r="A785" t="str">
            <v>CD20022</v>
          </cell>
        </row>
        <row r="786">
          <cell r="A786" t="str">
            <v>CD20023</v>
          </cell>
        </row>
        <row r="787">
          <cell r="A787" t="str">
            <v>CD20024</v>
          </cell>
        </row>
        <row r="788">
          <cell r="A788" t="str">
            <v>CD20025</v>
          </cell>
        </row>
        <row r="789">
          <cell r="A789" t="str">
            <v>CD20026</v>
          </cell>
        </row>
        <row r="790">
          <cell r="A790" t="str">
            <v>CD20027</v>
          </cell>
        </row>
        <row r="791">
          <cell r="A791" t="str">
            <v>CD20028</v>
          </cell>
        </row>
        <row r="792">
          <cell r="A792" t="str">
            <v>CD20029</v>
          </cell>
        </row>
        <row r="793">
          <cell r="A793" t="str">
            <v>CD20030</v>
          </cell>
        </row>
        <row r="794">
          <cell r="A794" t="str">
            <v>CD20031</v>
          </cell>
        </row>
        <row r="795">
          <cell r="A795" t="str">
            <v>CD20032</v>
          </cell>
        </row>
        <row r="796">
          <cell r="A796" t="str">
            <v>CD20033</v>
          </cell>
        </row>
        <row r="797">
          <cell r="A797" t="str">
            <v>CD20034</v>
          </cell>
        </row>
        <row r="798">
          <cell r="A798" t="str">
            <v>CD20035</v>
          </cell>
        </row>
        <row r="799">
          <cell r="A799" t="str">
            <v>CD20036</v>
          </cell>
        </row>
        <row r="800">
          <cell r="A800" t="str">
            <v>CD20037</v>
          </cell>
        </row>
        <row r="801">
          <cell r="A801" t="str">
            <v>CD20038</v>
          </cell>
        </row>
        <row r="802">
          <cell r="A802" t="str">
            <v>CD20039</v>
          </cell>
        </row>
        <row r="803">
          <cell r="A803" t="str">
            <v>CD20040</v>
          </cell>
        </row>
        <row r="804">
          <cell r="A804" t="str">
            <v>CD20041</v>
          </cell>
        </row>
        <row r="805">
          <cell r="A805" t="str">
            <v>CD20042</v>
          </cell>
        </row>
        <row r="806">
          <cell r="A806" t="str">
            <v>CD20043</v>
          </cell>
        </row>
        <row r="807">
          <cell r="A807" t="str">
            <v>CD20044</v>
          </cell>
        </row>
        <row r="808">
          <cell r="A808" t="str">
            <v>CD20045</v>
          </cell>
        </row>
        <row r="809">
          <cell r="A809" t="str">
            <v>CD20046</v>
          </cell>
        </row>
        <row r="810">
          <cell r="A810" t="str">
            <v>CD20047</v>
          </cell>
        </row>
        <row r="811">
          <cell r="A811" t="str">
            <v>CD20048</v>
          </cell>
        </row>
        <row r="812">
          <cell r="A812" t="str">
            <v>CD20049</v>
          </cell>
        </row>
        <row r="813">
          <cell r="A813" t="str">
            <v>CD20050</v>
          </cell>
        </row>
        <row r="814">
          <cell r="A814" t="str">
            <v>CD20051</v>
          </cell>
        </row>
        <row r="815">
          <cell r="A815" t="str">
            <v>CD20052</v>
          </cell>
        </row>
        <row r="816">
          <cell r="A816" t="str">
            <v>CD20053</v>
          </cell>
        </row>
        <row r="817">
          <cell r="A817" t="str">
            <v>CD20054</v>
          </cell>
        </row>
        <row r="818">
          <cell r="A818" t="str">
            <v>CD20055</v>
          </cell>
        </row>
        <row r="819">
          <cell r="A819" t="str">
            <v>CD20056</v>
          </cell>
        </row>
        <row r="820">
          <cell r="A820" t="str">
            <v>CD20057</v>
          </cell>
        </row>
        <row r="821">
          <cell r="A821" t="str">
            <v>CD20058</v>
          </cell>
        </row>
        <row r="822">
          <cell r="A822" t="str">
            <v>CD20059</v>
          </cell>
        </row>
        <row r="823">
          <cell r="A823" t="str">
            <v>CD20060</v>
          </cell>
        </row>
        <row r="824">
          <cell r="A824" t="str">
            <v>CD20061</v>
          </cell>
        </row>
        <row r="825">
          <cell r="A825" t="str">
            <v>CD20062</v>
          </cell>
        </row>
        <row r="826">
          <cell r="A826" t="str">
            <v>CD20063</v>
          </cell>
        </row>
        <row r="827">
          <cell r="A827" t="str">
            <v>CD20064</v>
          </cell>
        </row>
        <row r="828">
          <cell r="A828" t="str">
            <v>CD20065</v>
          </cell>
        </row>
        <row r="829">
          <cell r="A829" t="str">
            <v>CD20066</v>
          </cell>
        </row>
        <row r="830">
          <cell r="A830" t="str">
            <v>CD20067</v>
          </cell>
        </row>
        <row r="831">
          <cell r="A831" t="str">
            <v>CD20068</v>
          </cell>
        </row>
        <row r="832">
          <cell r="A832" t="str">
            <v>CD22007</v>
          </cell>
        </row>
        <row r="833">
          <cell r="A833" t="str">
            <v>CD22008</v>
          </cell>
        </row>
        <row r="834">
          <cell r="A834" t="str">
            <v>CD22009</v>
          </cell>
        </row>
        <row r="835">
          <cell r="A835" t="str">
            <v>CD22010</v>
          </cell>
        </row>
        <row r="836">
          <cell r="A836" t="str">
            <v>CD22011</v>
          </cell>
        </row>
        <row r="837">
          <cell r="A837" t="str">
            <v>CD22012</v>
          </cell>
        </row>
        <row r="838">
          <cell r="A838" t="str">
            <v>CD22013</v>
          </cell>
        </row>
        <row r="839">
          <cell r="A839" t="str">
            <v>CD22014</v>
          </cell>
        </row>
        <row r="840">
          <cell r="A840" t="str">
            <v>CD22015</v>
          </cell>
        </row>
        <row r="841">
          <cell r="A841" t="str">
            <v>CD22016</v>
          </cell>
        </row>
        <row r="842">
          <cell r="A842" t="str">
            <v>CD22017</v>
          </cell>
        </row>
        <row r="843">
          <cell r="A843" t="str">
            <v>CD22018</v>
          </cell>
        </row>
        <row r="844">
          <cell r="A844" t="str">
            <v>CD22019</v>
          </cell>
        </row>
        <row r="845">
          <cell r="A845" t="str">
            <v>CD22020</v>
          </cell>
        </row>
        <row r="846">
          <cell r="A846" t="str">
            <v>CD22021</v>
          </cell>
        </row>
        <row r="847">
          <cell r="A847" t="str">
            <v>CD22022</v>
          </cell>
        </row>
        <row r="848">
          <cell r="A848" t="str">
            <v>CD22023</v>
          </cell>
        </row>
        <row r="849">
          <cell r="A849" t="str">
            <v>CD22024</v>
          </cell>
        </row>
        <row r="850">
          <cell r="A850" t="str">
            <v>CD22025</v>
          </cell>
        </row>
        <row r="851">
          <cell r="A851" t="str">
            <v>CD22026</v>
          </cell>
        </row>
        <row r="852">
          <cell r="A852" t="str">
            <v>CD22027</v>
          </cell>
        </row>
        <row r="853">
          <cell r="A853" t="str">
            <v>CD22028</v>
          </cell>
        </row>
        <row r="854">
          <cell r="A854" t="str">
            <v>CD22029</v>
          </cell>
        </row>
        <row r="855">
          <cell r="A855" t="str">
            <v>CD22030</v>
          </cell>
        </row>
        <row r="856">
          <cell r="A856" t="str">
            <v>CD22031</v>
          </cell>
        </row>
        <row r="857">
          <cell r="A857" t="str">
            <v>CD22032</v>
          </cell>
        </row>
        <row r="858">
          <cell r="A858" t="str">
            <v>CD22033</v>
          </cell>
        </row>
        <row r="859">
          <cell r="A859" t="str">
            <v>CD22034</v>
          </cell>
        </row>
        <row r="860">
          <cell r="A860" t="str">
            <v>CD22035</v>
          </cell>
        </row>
        <row r="861">
          <cell r="A861" t="str">
            <v>CD22036</v>
          </cell>
        </row>
        <row r="862">
          <cell r="A862" t="str">
            <v>CD22037</v>
          </cell>
        </row>
        <row r="863">
          <cell r="A863" t="str">
            <v>CD22038</v>
          </cell>
        </row>
        <row r="864">
          <cell r="A864" t="str">
            <v>CD22039</v>
          </cell>
        </row>
        <row r="865">
          <cell r="A865" t="str">
            <v>CD22040</v>
          </cell>
        </row>
        <row r="866">
          <cell r="A866" t="str">
            <v>CD22041</v>
          </cell>
        </row>
        <row r="867">
          <cell r="A867" t="str">
            <v>CD22042</v>
          </cell>
        </row>
        <row r="868">
          <cell r="A868" t="str">
            <v>CD22043</v>
          </cell>
        </row>
        <row r="869">
          <cell r="A869" t="str">
            <v>CD22044</v>
          </cell>
        </row>
        <row r="870">
          <cell r="A870" t="str">
            <v>CD22045</v>
          </cell>
        </row>
        <row r="871">
          <cell r="A871" t="str">
            <v>CD22046</v>
          </cell>
        </row>
        <row r="872">
          <cell r="A872" t="str">
            <v>CD22047</v>
          </cell>
        </row>
        <row r="873">
          <cell r="A873" t="str">
            <v>CD22048</v>
          </cell>
        </row>
        <row r="874">
          <cell r="A874" t="str">
            <v>CD22049</v>
          </cell>
        </row>
        <row r="875">
          <cell r="A875" t="str">
            <v>CD22050</v>
          </cell>
        </row>
        <row r="876">
          <cell r="A876" t="str">
            <v>CD22051</v>
          </cell>
        </row>
        <row r="877">
          <cell r="A877" t="str">
            <v>CD22052</v>
          </cell>
        </row>
        <row r="878">
          <cell r="A878" t="str">
            <v>CD22053</v>
          </cell>
        </row>
        <row r="879">
          <cell r="A879" t="str">
            <v>CD22054</v>
          </cell>
        </row>
        <row r="880">
          <cell r="A880" t="str">
            <v>CD22055</v>
          </cell>
        </row>
        <row r="881">
          <cell r="A881" t="str">
            <v>CD22056</v>
          </cell>
        </row>
        <row r="882">
          <cell r="A882" t="str">
            <v>CD22057</v>
          </cell>
        </row>
        <row r="883">
          <cell r="A883" t="str">
            <v>CD22058</v>
          </cell>
        </row>
        <row r="884">
          <cell r="A884" t="str">
            <v>CD22059</v>
          </cell>
        </row>
        <row r="885">
          <cell r="A885" t="str">
            <v>CD22060</v>
          </cell>
        </row>
        <row r="886">
          <cell r="A886" t="str">
            <v>CD22061</v>
          </cell>
        </row>
        <row r="887">
          <cell r="A887" t="str">
            <v>CD22062</v>
          </cell>
        </row>
        <row r="888">
          <cell r="A888" t="str">
            <v>CD22063</v>
          </cell>
        </row>
        <row r="889">
          <cell r="A889" t="str">
            <v>CD22064</v>
          </cell>
        </row>
        <row r="890">
          <cell r="A890" t="str">
            <v>CD22065</v>
          </cell>
        </row>
        <row r="891">
          <cell r="A891" t="str">
            <v>CD22066</v>
          </cell>
        </row>
        <row r="892">
          <cell r="A892" t="str">
            <v>CD22067</v>
          </cell>
        </row>
        <row r="893">
          <cell r="A893" t="str">
            <v>CD22068</v>
          </cell>
        </row>
        <row r="894">
          <cell r="A894" t="str">
            <v>CD24007</v>
          </cell>
        </row>
        <row r="895">
          <cell r="A895" t="str">
            <v>CD24008</v>
          </cell>
        </row>
        <row r="896">
          <cell r="A896" t="str">
            <v>CD24009</v>
          </cell>
        </row>
        <row r="897">
          <cell r="A897" t="str">
            <v>CD24010</v>
          </cell>
        </row>
        <row r="898">
          <cell r="A898" t="str">
            <v>CD24011</v>
          </cell>
        </row>
        <row r="899">
          <cell r="A899" t="str">
            <v>CD24012</v>
          </cell>
        </row>
        <row r="900">
          <cell r="A900" t="str">
            <v>CD24013</v>
          </cell>
        </row>
        <row r="901">
          <cell r="A901" t="str">
            <v>CD24014</v>
          </cell>
        </row>
        <row r="902">
          <cell r="A902" t="str">
            <v>CD24015</v>
          </cell>
        </row>
        <row r="903">
          <cell r="A903" t="str">
            <v>CD24016</v>
          </cell>
        </row>
        <row r="904">
          <cell r="A904" t="str">
            <v>CD24017</v>
          </cell>
        </row>
        <row r="905">
          <cell r="A905" t="str">
            <v>CD24018</v>
          </cell>
        </row>
        <row r="906">
          <cell r="A906" t="str">
            <v>CD24019</v>
          </cell>
        </row>
        <row r="907">
          <cell r="A907" t="str">
            <v>CD24020</v>
          </cell>
        </row>
        <row r="908">
          <cell r="A908" t="str">
            <v>CD24021</v>
          </cell>
        </row>
        <row r="909">
          <cell r="A909" t="str">
            <v>CD24022</v>
          </cell>
        </row>
        <row r="910">
          <cell r="A910" t="str">
            <v>CD24023</v>
          </cell>
        </row>
        <row r="911">
          <cell r="A911" t="str">
            <v>CD24024</v>
          </cell>
        </row>
        <row r="912">
          <cell r="A912" t="str">
            <v>CD24025</v>
          </cell>
        </row>
        <row r="913">
          <cell r="A913" t="str">
            <v>CD24026</v>
          </cell>
        </row>
        <row r="914">
          <cell r="A914" t="str">
            <v>CD24027</v>
          </cell>
        </row>
        <row r="915">
          <cell r="A915" t="str">
            <v>CD24028</v>
          </cell>
        </row>
        <row r="916">
          <cell r="A916" t="str">
            <v>CD24029</v>
          </cell>
        </row>
        <row r="917">
          <cell r="A917" t="str">
            <v>CD24030</v>
          </cell>
        </row>
        <row r="918">
          <cell r="A918" t="str">
            <v>CD24031</v>
          </cell>
        </row>
        <row r="919">
          <cell r="A919" t="str">
            <v>CD24032</v>
          </cell>
        </row>
        <row r="920">
          <cell r="A920" t="str">
            <v>CD24033</v>
          </cell>
        </row>
        <row r="921">
          <cell r="A921" t="str">
            <v>CD24034</v>
          </cell>
        </row>
        <row r="922">
          <cell r="A922" t="str">
            <v>CD24035</v>
          </cell>
        </row>
        <row r="923">
          <cell r="A923" t="str">
            <v>CD24036</v>
          </cell>
        </row>
        <row r="924">
          <cell r="A924" t="str">
            <v>CD24037</v>
          </cell>
        </row>
        <row r="925">
          <cell r="A925" t="str">
            <v>CD24038</v>
          </cell>
        </row>
        <row r="926">
          <cell r="A926" t="str">
            <v>CD24039</v>
          </cell>
        </row>
        <row r="927">
          <cell r="A927" t="str">
            <v>CD24040</v>
          </cell>
        </row>
        <row r="928">
          <cell r="A928" t="str">
            <v>CD24041</v>
          </cell>
        </row>
        <row r="929">
          <cell r="A929" t="str">
            <v>CD24042</v>
          </cell>
        </row>
        <row r="930">
          <cell r="A930" t="str">
            <v>CD24043</v>
          </cell>
        </row>
        <row r="931">
          <cell r="A931" t="str">
            <v>CD24044</v>
          </cell>
        </row>
        <row r="932">
          <cell r="A932" t="str">
            <v>CD24045</v>
          </cell>
        </row>
        <row r="933">
          <cell r="A933" t="str">
            <v>CD24046</v>
          </cell>
        </row>
        <row r="934">
          <cell r="A934" t="str">
            <v>CD24047</v>
          </cell>
        </row>
        <row r="935">
          <cell r="A935" t="str">
            <v>CD24048</v>
          </cell>
        </row>
        <row r="936">
          <cell r="A936" t="str">
            <v>CD24049</v>
          </cell>
        </row>
        <row r="937">
          <cell r="A937" t="str">
            <v>CD24050</v>
          </cell>
        </row>
        <row r="938">
          <cell r="A938" t="str">
            <v>CD24051</v>
          </cell>
        </row>
        <row r="939">
          <cell r="A939" t="str">
            <v>CD24052</v>
          </cell>
        </row>
        <row r="940">
          <cell r="A940" t="str">
            <v>CD24053</v>
          </cell>
        </row>
        <row r="941">
          <cell r="A941" t="str">
            <v>CD24054</v>
          </cell>
        </row>
        <row r="942">
          <cell r="A942" t="str">
            <v>CD24055</v>
          </cell>
        </row>
        <row r="943">
          <cell r="A943" t="str">
            <v>CD24056</v>
          </cell>
        </row>
        <row r="944">
          <cell r="A944" t="str">
            <v>CD24057</v>
          </cell>
        </row>
        <row r="945">
          <cell r="A945" t="str">
            <v>CD24058</v>
          </cell>
        </row>
        <row r="946">
          <cell r="A946" t="str">
            <v>CD24059</v>
          </cell>
        </row>
        <row r="947">
          <cell r="A947" t="str">
            <v>CD24060</v>
          </cell>
        </row>
        <row r="948">
          <cell r="A948" t="str">
            <v>CD24061</v>
          </cell>
        </row>
        <row r="949">
          <cell r="A949" t="str">
            <v>CD24062</v>
          </cell>
        </row>
        <row r="950">
          <cell r="A950" t="str">
            <v>CD24063</v>
          </cell>
        </row>
        <row r="951">
          <cell r="A951" t="str">
            <v>CD24064</v>
          </cell>
        </row>
        <row r="952">
          <cell r="A952" t="str">
            <v>CD24065</v>
          </cell>
        </row>
        <row r="953">
          <cell r="A953" t="str">
            <v>CD24066</v>
          </cell>
        </row>
        <row r="954">
          <cell r="A954" t="str">
            <v>CD24067</v>
          </cell>
        </row>
        <row r="955">
          <cell r="A955" t="str">
            <v>CD24068</v>
          </cell>
        </row>
        <row r="956">
          <cell r="A956" t="str">
            <v>CD26013</v>
          </cell>
        </row>
        <row r="957">
          <cell r="A957" t="str">
            <v>CD26014</v>
          </cell>
        </row>
        <row r="958">
          <cell r="A958" t="str">
            <v>CD26015</v>
          </cell>
        </row>
        <row r="959">
          <cell r="A959" t="str">
            <v>CD26016</v>
          </cell>
        </row>
        <row r="960">
          <cell r="A960" t="str">
            <v>CD26017</v>
          </cell>
        </row>
        <row r="961">
          <cell r="A961" t="str">
            <v>CD26018</v>
          </cell>
        </row>
        <row r="962">
          <cell r="A962" t="str">
            <v>CD26019</v>
          </cell>
        </row>
        <row r="963">
          <cell r="A963" t="str">
            <v>CD26020</v>
          </cell>
        </row>
        <row r="964">
          <cell r="A964" t="str">
            <v>CD26021</v>
          </cell>
        </row>
        <row r="965">
          <cell r="A965" t="str">
            <v>CD26022</v>
          </cell>
        </row>
        <row r="966">
          <cell r="A966" t="str">
            <v>CD26023</v>
          </cell>
        </row>
        <row r="967">
          <cell r="A967" t="str">
            <v>CD26024</v>
          </cell>
        </row>
        <row r="968">
          <cell r="A968" t="str">
            <v>CD26025</v>
          </cell>
        </row>
        <row r="969">
          <cell r="A969" t="str">
            <v>CD26026</v>
          </cell>
        </row>
        <row r="970">
          <cell r="A970" t="str">
            <v>CD26027</v>
          </cell>
        </row>
        <row r="971">
          <cell r="A971" t="str">
            <v>CD26028</v>
          </cell>
        </row>
        <row r="972">
          <cell r="A972" t="str">
            <v>CD26029</v>
          </cell>
        </row>
        <row r="973">
          <cell r="A973" t="str">
            <v>CD26030</v>
          </cell>
        </row>
        <row r="974">
          <cell r="A974" t="str">
            <v>CD26031</v>
          </cell>
        </row>
        <row r="975">
          <cell r="A975" t="str">
            <v>CD26032</v>
          </cell>
        </row>
        <row r="976">
          <cell r="A976" t="str">
            <v>CD26033</v>
          </cell>
        </row>
        <row r="977">
          <cell r="A977" t="str">
            <v>CD26034</v>
          </cell>
        </row>
        <row r="978">
          <cell r="A978" t="str">
            <v>CD26035</v>
          </cell>
        </row>
        <row r="979">
          <cell r="A979" t="str">
            <v>CD26036</v>
          </cell>
        </row>
        <row r="980">
          <cell r="A980" t="str">
            <v>CD26037</v>
          </cell>
        </row>
        <row r="981">
          <cell r="A981" t="str">
            <v>CD26038</v>
          </cell>
        </row>
        <row r="982">
          <cell r="A982" t="str">
            <v>CD26039</v>
          </cell>
        </row>
        <row r="983">
          <cell r="A983" t="str">
            <v>CD26040</v>
          </cell>
        </row>
        <row r="984">
          <cell r="A984" t="str">
            <v>CD26041</v>
          </cell>
        </row>
        <row r="985">
          <cell r="A985" t="str">
            <v>CD26042</v>
          </cell>
        </row>
        <row r="986">
          <cell r="A986" t="str">
            <v>CD26043</v>
          </cell>
        </row>
        <row r="987">
          <cell r="A987" t="str">
            <v>CD26044</v>
          </cell>
        </row>
        <row r="988">
          <cell r="A988" t="str">
            <v>CD26045</v>
          </cell>
        </row>
        <row r="989">
          <cell r="A989" t="str">
            <v>CD26046</v>
          </cell>
        </row>
        <row r="990">
          <cell r="A990" t="str">
            <v>CD26047</v>
          </cell>
        </row>
        <row r="991">
          <cell r="A991" t="str">
            <v>CD26048</v>
          </cell>
        </row>
        <row r="992">
          <cell r="A992" t="str">
            <v>CD26049</v>
          </cell>
        </row>
        <row r="993">
          <cell r="A993" t="str">
            <v>CD26050</v>
          </cell>
        </row>
        <row r="994">
          <cell r="A994" t="str">
            <v>CD26051</v>
          </cell>
        </row>
        <row r="995">
          <cell r="A995" t="str">
            <v>CD26052</v>
          </cell>
        </row>
        <row r="996">
          <cell r="A996" t="str">
            <v>CD26053</v>
          </cell>
        </row>
        <row r="997">
          <cell r="A997" t="str">
            <v>CD26054</v>
          </cell>
        </row>
        <row r="998">
          <cell r="A998" t="str">
            <v>CD26055</v>
          </cell>
        </row>
        <row r="999">
          <cell r="A999" t="str">
            <v>CD26056</v>
          </cell>
        </row>
        <row r="1000">
          <cell r="A1000" t="str">
            <v>CD26057</v>
          </cell>
        </row>
        <row r="1001">
          <cell r="A1001" t="str">
            <v>CD26058</v>
          </cell>
        </row>
        <row r="1002">
          <cell r="A1002" t="str">
            <v>CD26059</v>
          </cell>
        </row>
        <row r="1003">
          <cell r="A1003" t="str">
            <v>CD26060</v>
          </cell>
        </row>
        <row r="1004">
          <cell r="A1004" t="str">
            <v>CD26061</v>
          </cell>
        </row>
        <row r="1005">
          <cell r="A1005" t="str">
            <v>CD26062</v>
          </cell>
        </row>
        <row r="1006">
          <cell r="A1006" t="str">
            <v>CD26063</v>
          </cell>
        </row>
        <row r="1007">
          <cell r="A1007" t="str">
            <v>CD26064</v>
          </cell>
        </row>
        <row r="1008">
          <cell r="A1008" t="str">
            <v>CD26065</v>
          </cell>
        </row>
        <row r="1009">
          <cell r="A1009" t="str">
            <v>CD26066</v>
          </cell>
        </row>
        <row r="1010">
          <cell r="A1010" t="str">
            <v>CD26067</v>
          </cell>
        </row>
        <row r="1011">
          <cell r="A1011" t="str">
            <v>CD26068</v>
          </cell>
        </row>
        <row r="1012">
          <cell r="A1012" t="str">
            <v>CD28013</v>
          </cell>
        </row>
        <row r="1013">
          <cell r="A1013" t="str">
            <v>CD28014</v>
          </cell>
        </row>
        <row r="1014">
          <cell r="A1014" t="str">
            <v>CD28015</v>
          </cell>
        </row>
        <row r="1015">
          <cell r="A1015" t="str">
            <v>CD28016</v>
          </cell>
        </row>
        <row r="1016">
          <cell r="A1016" t="str">
            <v>CD28017</v>
          </cell>
        </row>
        <row r="1017">
          <cell r="A1017" t="str">
            <v>CD28018</v>
          </cell>
        </row>
        <row r="1018">
          <cell r="A1018" t="str">
            <v>CD28019</v>
          </cell>
        </row>
        <row r="1019">
          <cell r="A1019" t="str">
            <v>CD28020</v>
          </cell>
        </row>
        <row r="1020">
          <cell r="A1020" t="str">
            <v>CD28021</v>
          </cell>
        </row>
        <row r="1021">
          <cell r="A1021" t="str">
            <v>CD28022</v>
          </cell>
        </row>
        <row r="1022">
          <cell r="A1022" t="str">
            <v>CD28023</v>
          </cell>
        </row>
        <row r="1023">
          <cell r="A1023" t="str">
            <v>CD28024</v>
          </cell>
        </row>
        <row r="1024">
          <cell r="A1024" t="str">
            <v>CD28025</v>
          </cell>
        </row>
        <row r="1025">
          <cell r="A1025" t="str">
            <v>CD28026</v>
          </cell>
        </row>
        <row r="1026">
          <cell r="A1026" t="str">
            <v>CD28027</v>
          </cell>
        </row>
        <row r="1027">
          <cell r="A1027" t="str">
            <v>CD28028</v>
          </cell>
        </row>
        <row r="1028">
          <cell r="A1028" t="str">
            <v>CD28029</v>
          </cell>
        </row>
        <row r="1029">
          <cell r="A1029" t="str">
            <v>CD28030</v>
          </cell>
        </row>
        <row r="1030">
          <cell r="A1030" t="str">
            <v>CD28031</v>
          </cell>
        </row>
        <row r="1031">
          <cell r="A1031" t="str">
            <v>CD28032</v>
          </cell>
        </row>
        <row r="1032">
          <cell r="A1032" t="str">
            <v>CD28033</v>
          </cell>
        </row>
        <row r="1033">
          <cell r="A1033" t="str">
            <v>CD28034</v>
          </cell>
        </row>
        <row r="1034">
          <cell r="A1034" t="str">
            <v>CD28035</v>
          </cell>
        </row>
        <row r="1035">
          <cell r="A1035" t="str">
            <v>CD28036</v>
          </cell>
        </row>
        <row r="1036">
          <cell r="A1036" t="str">
            <v>CD28037</v>
          </cell>
        </row>
        <row r="1037">
          <cell r="A1037" t="str">
            <v>CD28038</v>
          </cell>
        </row>
        <row r="1038">
          <cell r="A1038" t="str">
            <v>CD28039</v>
          </cell>
        </row>
        <row r="1039">
          <cell r="A1039" t="str">
            <v>CD28040</v>
          </cell>
        </row>
        <row r="1040">
          <cell r="A1040" t="str">
            <v>CD28041</v>
          </cell>
        </row>
        <row r="1041">
          <cell r="A1041" t="str">
            <v>CD28042</v>
          </cell>
        </row>
        <row r="1042">
          <cell r="A1042" t="str">
            <v>CD28043</v>
          </cell>
        </row>
        <row r="1043">
          <cell r="A1043" t="str">
            <v>CD28044</v>
          </cell>
        </row>
        <row r="1044">
          <cell r="A1044" t="str">
            <v>CD28045</v>
          </cell>
        </row>
        <row r="1045">
          <cell r="A1045" t="str">
            <v>CD28046</v>
          </cell>
        </row>
        <row r="1046">
          <cell r="A1046" t="str">
            <v>CD28047</v>
          </cell>
        </row>
        <row r="1047">
          <cell r="A1047" t="str">
            <v>CD28048</v>
          </cell>
        </row>
        <row r="1048">
          <cell r="A1048" t="str">
            <v>CD28049</v>
          </cell>
        </row>
        <row r="1049">
          <cell r="A1049" t="str">
            <v>CD28050</v>
          </cell>
        </row>
        <row r="1050">
          <cell r="A1050" t="str">
            <v>CD28051</v>
          </cell>
        </row>
        <row r="1051">
          <cell r="A1051" t="str">
            <v>CD28052</v>
          </cell>
        </row>
        <row r="1052">
          <cell r="A1052" t="str">
            <v>CD28053</v>
          </cell>
        </row>
        <row r="1053">
          <cell r="A1053" t="str">
            <v>CD28054</v>
          </cell>
        </row>
        <row r="1054">
          <cell r="A1054" t="str">
            <v>CD28055</v>
          </cell>
        </row>
        <row r="1055">
          <cell r="A1055" t="str">
            <v>CD28056</v>
          </cell>
        </row>
        <row r="1056">
          <cell r="A1056" t="str">
            <v>CD28057</v>
          </cell>
        </row>
        <row r="1057">
          <cell r="A1057" t="str">
            <v>CD28058</v>
          </cell>
        </row>
        <row r="1058">
          <cell r="A1058" t="str">
            <v>CD28059</v>
          </cell>
        </row>
        <row r="1059">
          <cell r="A1059" t="str">
            <v>CD28060</v>
          </cell>
        </row>
        <row r="1060">
          <cell r="A1060" t="str">
            <v>CD28061</v>
          </cell>
        </row>
        <row r="1061">
          <cell r="A1061" t="str">
            <v>CD28062</v>
          </cell>
        </row>
        <row r="1062">
          <cell r="A1062" t="str">
            <v>CD28063</v>
          </cell>
        </row>
        <row r="1063">
          <cell r="A1063" t="str">
            <v>CD28064</v>
          </cell>
        </row>
        <row r="1064">
          <cell r="A1064" t="str">
            <v>CD28065</v>
          </cell>
        </row>
        <row r="1065">
          <cell r="A1065" t="str">
            <v>CD28066</v>
          </cell>
        </row>
        <row r="1066">
          <cell r="A1066" t="str">
            <v>CD28067</v>
          </cell>
        </row>
        <row r="1067">
          <cell r="A1067" t="str">
            <v>CD28068</v>
          </cell>
        </row>
        <row r="1068">
          <cell r="A1068" t="str">
            <v>CD30013</v>
          </cell>
        </row>
        <row r="1069">
          <cell r="A1069" t="str">
            <v>CD30014</v>
          </cell>
        </row>
        <row r="1070">
          <cell r="A1070" t="str">
            <v>CD30015</v>
          </cell>
        </row>
        <row r="1071">
          <cell r="A1071" t="str">
            <v>CD30016</v>
          </cell>
        </row>
        <row r="1072">
          <cell r="A1072" t="str">
            <v>CD30017</v>
          </cell>
        </row>
        <row r="1073">
          <cell r="A1073" t="str">
            <v>CD30018</v>
          </cell>
        </row>
        <row r="1074">
          <cell r="A1074" t="str">
            <v>CD30019</v>
          </cell>
        </row>
        <row r="1075">
          <cell r="A1075" t="str">
            <v>CD30020</v>
          </cell>
        </row>
        <row r="1076">
          <cell r="A1076" t="str">
            <v>CD30021</v>
          </cell>
        </row>
        <row r="1077">
          <cell r="A1077" t="str">
            <v>CD30022</v>
          </cell>
        </row>
        <row r="1078">
          <cell r="A1078" t="str">
            <v>CD30023</v>
          </cell>
        </row>
        <row r="1079">
          <cell r="A1079" t="str">
            <v>CD30024</v>
          </cell>
        </row>
        <row r="1080">
          <cell r="A1080" t="str">
            <v>CD30025</v>
          </cell>
        </row>
        <row r="1081">
          <cell r="A1081" t="str">
            <v>CD30026</v>
          </cell>
        </row>
        <row r="1082">
          <cell r="A1082" t="str">
            <v>CD30027</v>
          </cell>
        </row>
        <row r="1083">
          <cell r="A1083" t="str">
            <v>CD30028</v>
          </cell>
        </row>
        <row r="1084">
          <cell r="A1084" t="str">
            <v>CD30029</v>
          </cell>
        </row>
        <row r="1085">
          <cell r="A1085" t="str">
            <v>CD30030</v>
          </cell>
        </row>
        <row r="1086">
          <cell r="A1086" t="str">
            <v>CD30031</v>
          </cell>
        </row>
        <row r="1087">
          <cell r="A1087" t="str">
            <v>CD30032</v>
          </cell>
        </row>
        <row r="1088">
          <cell r="A1088" t="str">
            <v>CD30033</v>
          </cell>
        </row>
        <row r="1089">
          <cell r="A1089" t="str">
            <v>CD30034</v>
          </cell>
        </row>
        <row r="1090">
          <cell r="A1090" t="str">
            <v>CD30035</v>
          </cell>
        </row>
        <row r="1091">
          <cell r="A1091" t="str">
            <v>CD30036</v>
          </cell>
        </row>
        <row r="1092">
          <cell r="A1092" t="str">
            <v>CD30037</v>
          </cell>
        </row>
        <row r="1093">
          <cell r="A1093" t="str">
            <v>CD30038</v>
          </cell>
        </row>
        <row r="1094">
          <cell r="A1094" t="str">
            <v>CD30039</v>
          </cell>
        </row>
        <row r="1095">
          <cell r="A1095" t="str">
            <v>CD30040</v>
          </cell>
        </row>
        <row r="1096">
          <cell r="A1096" t="str">
            <v>CD30041</v>
          </cell>
        </row>
        <row r="1097">
          <cell r="A1097" t="str">
            <v>CD30042</v>
          </cell>
        </row>
        <row r="1098">
          <cell r="A1098" t="str">
            <v>CD30043</v>
          </cell>
        </row>
        <row r="1099">
          <cell r="A1099" t="str">
            <v>CD30044</v>
          </cell>
        </row>
        <row r="1100">
          <cell r="A1100" t="str">
            <v>CD30045</v>
          </cell>
        </row>
        <row r="1101">
          <cell r="A1101" t="str">
            <v>CD30046</v>
          </cell>
        </row>
        <row r="1102">
          <cell r="A1102" t="str">
            <v>CD30047</v>
          </cell>
        </row>
        <row r="1103">
          <cell r="A1103" t="str">
            <v>CD30048</v>
          </cell>
        </row>
        <row r="1104">
          <cell r="A1104" t="str">
            <v>CD30049</v>
          </cell>
        </row>
        <row r="1105">
          <cell r="A1105" t="str">
            <v>CD30050</v>
          </cell>
        </row>
        <row r="1106">
          <cell r="A1106" t="str">
            <v>CD30051</v>
          </cell>
        </row>
        <row r="1107">
          <cell r="A1107" t="str">
            <v>CD30052</v>
          </cell>
        </row>
        <row r="1108">
          <cell r="A1108" t="str">
            <v>CD30053</v>
          </cell>
        </row>
        <row r="1109">
          <cell r="A1109" t="str">
            <v>CD30054</v>
          </cell>
        </row>
        <row r="1110">
          <cell r="A1110" t="str">
            <v>CD30055</v>
          </cell>
        </row>
        <row r="1111">
          <cell r="A1111" t="str">
            <v>CD30056</v>
          </cell>
        </row>
        <row r="1112">
          <cell r="A1112" t="str">
            <v>CD30057</v>
          </cell>
        </row>
        <row r="1113">
          <cell r="A1113" t="str">
            <v>CD30058</v>
          </cell>
        </row>
        <row r="1114">
          <cell r="A1114" t="str">
            <v>CD30059</v>
          </cell>
        </row>
        <row r="1115">
          <cell r="A1115" t="str">
            <v>CD30060</v>
          </cell>
        </row>
        <row r="1116">
          <cell r="A1116" t="str">
            <v>CD30061</v>
          </cell>
        </row>
        <row r="1117">
          <cell r="A1117" t="str">
            <v>CD30062</v>
          </cell>
        </row>
        <row r="1118">
          <cell r="A1118" t="str">
            <v>CD30063</v>
          </cell>
        </row>
        <row r="1119">
          <cell r="A1119" t="str">
            <v>CD30064</v>
          </cell>
        </row>
        <row r="1120">
          <cell r="A1120" t="str">
            <v>CD30065</v>
          </cell>
        </row>
        <row r="1121">
          <cell r="A1121" t="str">
            <v>CD30066</v>
          </cell>
        </row>
        <row r="1122">
          <cell r="A1122" t="str">
            <v>CD30067</v>
          </cell>
        </row>
        <row r="1123">
          <cell r="A1123" t="str">
            <v>CD30068</v>
          </cell>
        </row>
        <row r="1124">
          <cell r="A1124" t="str">
            <v>CD33029</v>
          </cell>
        </row>
        <row r="1125">
          <cell r="A1125" t="str">
            <v>CD33030</v>
          </cell>
        </row>
        <row r="1126">
          <cell r="A1126" t="str">
            <v>CD33031</v>
          </cell>
        </row>
        <row r="1127">
          <cell r="A1127" t="str">
            <v>CD33032</v>
          </cell>
        </row>
        <row r="1128">
          <cell r="A1128" t="str">
            <v>CD33033</v>
          </cell>
        </row>
        <row r="1129">
          <cell r="A1129" t="str">
            <v>CD33034</v>
          </cell>
        </row>
        <row r="1130">
          <cell r="A1130" t="str">
            <v>CD33035</v>
          </cell>
        </row>
        <row r="1131">
          <cell r="A1131" t="str">
            <v>CD33036</v>
          </cell>
        </row>
        <row r="1132">
          <cell r="A1132" t="str">
            <v>CD33037</v>
          </cell>
        </row>
        <row r="1133">
          <cell r="A1133" t="str">
            <v>CD33038</v>
          </cell>
        </row>
        <row r="1134">
          <cell r="A1134" t="str">
            <v>CD33039</v>
          </cell>
        </row>
        <row r="1135">
          <cell r="A1135" t="str">
            <v>CD33040</v>
          </cell>
        </row>
        <row r="1136">
          <cell r="A1136" t="str">
            <v>CD33041</v>
          </cell>
        </row>
        <row r="1137">
          <cell r="A1137" t="str">
            <v>CD33042</v>
          </cell>
        </row>
        <row r="1138">
          <cell r="A1138" t="str">
            <v>CD33043</v>
          </cell>
        </row>
        <row r="1139">
          <cell r="A1139" t="str">
            <v>CD33044</v>
          </cell>
        </row>
        <row r="1140">
          <cell r="A1140" t="str">
            <v>CD33045</v>
          </cell>
        </row>
        <row r="1141">
          <cell r="A1141" t="str">
            <v>CD33046</v>
          </cell>
        </row>
        <row r="1142">
          <cell r="A1142" t="str">
            <v>CD33047</v>
          </cell>
        </row>
        <row r="1143">
          <cell r="A1143" t="str">
            <v>CD33048</v>
          </cell>
        </row>
        <row r="1144">
          <cell r="A1144" t="str">
            <v>CD33049</v>
          </cell>
        </row>
        <row r="1145">
          <cell r="A1145" t="str">
            <v>CD33050</v>
          </cell>
        </row>
        <row r="1146">
          <cell r="A1146" t="str">
            <v>CD33051</v>
          </cell>
        </row>
        <row r="1147">
          <cell r="A1147" t="str">
            <v>CD33052</v>
          </cell>
        </row>
        <row r="1148">
          <cell r="A1148" t="str">
            <v>CD33053</v>
          </cell>
        </row>
        <row r="1149">
          <cell r="A1149" t="str">
            <v>CD33054</v>
          </cell>
        </row>
        <row r="1150">
          <cell r="A1150" t="str">
            <v>CD33055</v>
          </cell>
        </row>
        <row r="1151">
          <cell r="A1151" t="str">
            <v>CD33056</v>
          </cell>
        </row>
        <row r="1152">
          <cell r="A1152" t="str">
            <v>CD33057</v>
          </cell>
        </row>
        <row r="1153">
          <cell r="A1153" t="str">
            <v>CD33058</v>
          </cell>
        </row>
        <row r="1154">
          <cell r="A1154" t="str">
            <v>CD33059</v>
          </cell>
        </row>
        <row r="1155">
          <cell r="A1155" t="str">
            <v>CD33060</v>
          </cell>
        </row>
        <row r="1156">
          <cell r="A1156" t="str">
            <v>CD33061</v>
          </cell>
        </row>
        <row r="1157">
          <cell r="A1157" t="str">
            <v>CD33062</v>
          </cell>
        </row>
        <row r="1158">
          <cell r="A1158" t="str">
            <v>CD33063</v>
          </cell>
        </row>
        <row r="1159">
          <cell r="A1159" t="str">
            <v>CD33064</v>
          </cell>
        </row>
        <row r="1160">
          <cell r="A1160" t="str">
            <v>CD33065</v>
          </cell>
        </row>
        <row r="1161">
          <cell r="A1161" t="str">
            <v>CD33066</v>
          </cell>
        </row>
        <row r="1162">
          <cell r="A1162" t="str">
            <v>CD33067</v>
          </cell>
        </row>
        <row r="1163">
          <cell r="A1163" t="str">
            <v>CD33068</v>
          </cell>
        </row>
        <row r="1164">
          <cell r="A1164" t="str">
            <v>CD36029</v>
          </cell>
        </row>
        <row r="1165">
          <cell r="A1165" t="str">
            <v>CD36030</v>
          </cell>
        </row>
        <row r="1166">
          <cell r="A1166" t="str">
            <v>CD36031</v>
          </cell>
        </row>
        <row r="1167">
          <cell r="A1167" t="str">
            <v>CD36032</v>
          </cell>
        </row>
        <row r="1168">
          <cell r="A1168" t="str">
            <v>CD36033</v>
          </cell>
        </row>
        <row r="1169">
          <cell r="A1169" t="str">
            <v>CD36034</v>
          </cell>
        </row>
        <row r="1170">
          <cell r="A1170" t="str">
            <v>CD36035</v>
          </cell>
        </row>
        <row r="1171">
          <cell r="A1171" t="str">
            <v>CD36036</v>
          </cell>
        </row>
        <row r="1172">
          <cell r="A1172" t="str">
            <v>CD36037</v>
          </cell>
        </row>
        <row r="1173">
          <cell r="A1173" t="str">
            <v>CD36038</v>
          </cell>
        </row>
        <row r="1174">
          <cell r="A1174" t="str">
            <v>CD36039</v>
          </cell>
        </row>
        <row r="1175">
          <cell r="A1175" t="str">
            <v>CD36040</v>
          </cell>
        </row>
        <row r="1176">
          <cell r="A1176" t="str">
            <v>CD36041</v>
          </cell>
        </row>
        <row r="1177">
          <cell r="A1177" t="str">
            <v>CD36042</v>
          </cell>
        </row>
        <row r="1178">
          <cell r="A1178" t="str">
            <v>CD36043</v>
          </cell>
        </row>
        <row r="1179">
          <cell r="A1179" t="str">
            <v>CD36044</v>
          </cell>
        </row>
        <row r="1180">
          <cell r="A1180" t="str">
            <v>CD36045</v>
          </cell>
        </row>
        <row r="1181">
          <cell r="A1181" t="str">
            <v>CD36046</v>
          </cell>
        </row>
        <row r="1182">
          <cell r="A1182" t="str">
            <v>CD36047</v>
          </cell>
        </row>
        <row r="1183">
          <cell r="A1183" t="str">
            <v>CD36048</v>
          </cell>
        </row>
        <row r="1184">
          <cell r="A1184" t="str">
            <v>CD36049</v>
          </cell>
        </row>
        <row r="1185">
          <cell r="A1185" t="str">
            <v>CD36050</v>
          </cell>
        </row>
        <row r="1186">
          <cell r="A1186" t="str">
            <v>CD36051</v>
          </cell>
        </row>
        <row r="1187">
          <cell r="A1187" t="str">
            <v>CD36052</v>
          </cell>
        </row>
        <row r="1188">
          <cell r="A1188" t="str">
            <v>CD36053</v>
          </cell>
        </row>
        <row r="1189">
          <cell r="A1189" t="str">
            <v>CD36054</v>
          </cell>
        </row>
        <row r="1190">
          <cell r="A1190" t="str">
            <v>CD36055</v>
          </cell>
        </row>
        <row r="1191">
          <cell r="A1191" t="str">
            <v>CD36056</v>
          </cell>
        </row>
        <row r="1192">
          <cell r="A1192" t="str">
            <v>CD36057</v>
          </cell>
        </row>
        <row r="1193">
          <cell r="A1193" t="str">
            <v>CD36058</v>
          </cell>
        </row>
        <row r="1194">
          <cell r="A1194" t="str">
            <v>CD36059</v>
          </cell>
        </row>
        <row r="1195">
          <cell r="A1195" t="str">
            <v>CD36060</v>
          </cell>
        </row>
        <row r="1196">
          <cell r="A1196" t="str">
            <v>CD36061</v>
          </cell>
        </row>
        <row r="1197">
          <cell r="A1197" t="str">
            <v>CD36062</v>
          </cell>
        </row>
        <row r="1198">
          <cell r="A1198" t="str">
            <v>CD36063</v>
          </cell>
        </row>
        <row r="1199">
          <cell r="A1199" t="str">
            <v>CD36064</v>
          </cell>
        </row>
        <row r="1200">
          <cell r="A1200" t="str">
            <v>CD36065</v>
          </cell>
        </row>
        <row r="1201">
          <cell r="A1201" t="str">
            <v>CD36066</v>
          </cell>
        </row>
        <row r="1202">
          <cell r="A1202" t="str">
            <v>CD36067</v>
          </cell>
        </row>
        <row r="1203">
          <cell r="A1203" t="str">
            <v>CD36068</v>
          </cell>
        </row>
        <row r="1204">
          <cell r="A1204" t="str">
            <v>CD40029</v>
          </cell>
        </row>
        <row r="1205">
          <cell r="A1205" t="str">
            <v>CD40030</v>
          </cell>
        </row>
        <row r="1206">
          <cell r="A1206" t="str">
            <v>CD40031</v>
          </cell>
        </row>
        <row r="1207">
          <cell r="A1207" t="str">
            <v>CD40032</v>
          </cell>
        </row>
        <row r="1208">
          <cell r="A1208" t="str">
            <v>CD40033</v>
          </cell>
        </row>
        <row r="1209">
          <cell r="A1209" t="str">
            <v>CD40034</v>
          </cell>
        </row>
        <row r="1210">
          <cell r="A1210" t="str">
            <v>CD40035</v>
          </cell>
        </row>
        <row r="1211">
          <cell r="A1211" t="str">
            <v>CD40036</v>
          </cell>
        </row>
        <row r="1212">
          <cell r="A1212" t="str">
            <v>CD40037</v>
          </cell>
        </row>
        <row r="1213">
          <cell r="A1213" t="str">
            <v>CD40038</v>
          </cell>
        </row>
        <row r="1214">
          <cell r="A1214" t="str">
            <v>CD40039</v>
          </cell>
        </row>
        <row r="1215">
          <cell r="A1215" t="str">
            <v>CD40040</v>
          </cell>
        </row>
        <row r="1216">
          <cell r="A1216" t="str">
            <v>CD40041</v>
          </cell>
        </row>
        <row r="1217">
          <cell r="A1217" t="str">
            <v>CD40042</v>
          </cell>
        </row>
        <row r="1218">
          <cell r="A1218" t="str">
            <v>CD40043</v>
          </cell>
        </row>
        <row r="1219">
          <cell r="A1219" t="str">
            <v>CD40044</v>
          </cell>
        </row>
        <row r="1220">
          <cell r="A1220" t="str">
            <v>CD40045</v>
          </cell>
        </row>
        <row r="1221">
          <cell r="A1221" t="str">
            <v>CD40046</v>
          </cell>
        </row>
        <row r="1222">
          <cell r="A1222" t="str">
            <v>CD40047</v>
          </cell>
        </row>
        <row r="1223">
          <cell r="A1223" t="str">
            <v>CD40048</v>
          </cell>
        </row>
        <row r="1224">
          <cell r="A1224" t="str">
            <v>CD40049</v>
          </cell>
        </row>
        <row r="1225">
          <cell r="A1225" t="str">
            <v>CD40050</v>
          </cell>
        </row>
        <row r="1226">
          <cell r="A1226" t="str">
            <v>CD40051</v>
          </cell>
        </row>
        <row r="1227">
          <cell r="A1227" t="str">
            <v>CD40052</v>
          </cell>
        </row>
        <row r="1228">
          <cell r="A1228" t="str">
            <v>CD40053</v>
          </cell>
        </row>
        <row r="1229">
          <cell r="A1229" t="str">
            <v>CD40054</v>
          </cell>
        </row>
        <row r="1230">
          <cell r="A1230" t="str">
            <v>CD40055</v>
          </cell>
        </row>
        <row r="1231">
          <cell r="A1231" t="str">
            <v>CD40056</v>
          </cell>
        </row>
        <row r="1232">
          <cell r="A1232" t="str">
            <v>CD40057</v>
          </cell>
        </row>
        <row r="1233">
          <cell r="A1233" t="str">
            <v>CD40058</v>
          </cell>
        </row>
        <row r="1234">
          <cell r="A1234" t="str">
            <v>CD40059</v>
          </cell>
        </row>
        <row r="1235">
          <cell r="A1235" t="str">
            <v>CD40060</v>
          </cell>
        </row>
        <row r="1236">
          <cell r="A1236" t="str">
            <v>CD40061</v>
          </cell>
        </row>
        <row r="1237">
          <cell r="A1237" t="str">
            <v>CD40062</v>
          </cell>
        </row>
        <row r="1238">
          <cell r="A1238" t="str">
            <v>CD40063</v>
          </cell>
        </row>
        <row r="1239">
          <cell r="A1239" t="str">
            <v>CD40064</v>
          </cell>
        </row>
        <row r="1240">
          <cell r="A1240" t="str">
            <v>CD40065</v>
          </cell>
        </row>
        <row r="1241">
          <cell r="A1241" t="str">
            <v>CD40066</v>
          </cell>
        </row>
        <row r="1242">
          <cell r="A1242" t="str">
            <v>CD40067</v>
          </cell>
        </row>
        <row r="1243">
          <cell r="A1243" t="str">
            <v>CD40068</v>
          </cell>
        </row>
        <row r="1244">
          <cell r="A1244" t="str">
            <v>CH05001</v>
          </cell>
        </row>
        <row r="1245">
          <cell r="A1245" t="str">
            <v>CH05002</v>
          </cell>
        </row>
        <row r="1246">
          <cell r="A1246" t="str">
            <v>CH05003</v>
          </cell>
        </row>
        <row r="1247">
          <cell r="A1247" t="str">
            <v>CH05004</v>
          </cell>
        </row>
        <row r="1248">
          <cell r="A1248" t="str">
            <v>CH05005</v>
          </cell>
        </row>
        <row r="1249">
          <cell r="A1249" t="str">
            <v>CH05006</v>
          </cell>
        </row>
        <row r="1250">
          <cell r="A1250" t="str">
            <v>CH05007</v>
          </cell>
        </row>
        <row r="1251">
          <cell r="A1251" t="str">
            <v>CH05008</v>
          </cell>
        </row>
        <row r="1252">
          <cell r="A1252" t="str">
            <v>CH05009</v>
          </cell>
        </row>
        <row r="1253">
          <cell r="A1253" t="str">
            <v>CH05010</v>
          </cell>
        </row>
        <row r="1254">
          <cell r="A1254" t="str">
            <v>CH05011</v>
          </cell>
        </row>
        <row r="1255">
          <cell r="A1255" t="str">
            <v>CH05012</v>
          </cell>
        </row>
        <row r="1256">
          <cell r="A1256" t="str">
            <v>CH06001</v>
          </cell>
        </row>
        <row r="1257">
          <cell r="A1257" t="str">
            <v>CH06002</v>
          </cell>
        </row>
        <row r="1258">
          <cell r="A1258" t="str">
            <v>CH06003</v>
          </cell>
        </row>
        <row r="1259">
          <cell r="A1259" t="str">
            <v>CH06004</v>
          </cell>
        </row>
        <row r="1260">
          <cell r="A1260" t="str">
            <v>CH06005</v>
          </cell>
        </row>
        <row r="1261">
          <cell r="A1261" t="str">
            <v>CH06006</v>
          </cell>
        </row>
        <row r="1262">
          <cell r="A1262" t="str">
            <v>CH06007</v>
          </cell>
        </row>
        <row r="1263">
          <cell r="A1263" t="str">
            <v>CH06008</v>
          </cell>
        </row>
        <row r="1264">
          <cell r="A1264" t="str">
            <v>CH06009</v>
          </cell>
        </row>
        <row r="1265">
          <cell r="A1265" t="str">
            <v>CH06010</v>
          </cell>
        </row>
        <row r="1266">
          <cell r="A1266" t="str">
            <v>CH06011</v>
          </cell>
        </row>
        <row r="1267">
          <cell r="A1267" t="str">
            <v>CH06012</v>
          </cell>
        </row>
        <row r="1268">
          <cell r="A1268" t="str">
            <v>CH06013</v>
          </cell>
        </row>
        <row r="1269">
          <cell r="A1269" t="str">
            <v>CH06014</v>
          </cell>
        </row>
        <row r="1270">
          <cell r="A1270" t="str">
            <v>CH06015</v>
          </cell>
        </row>
        <row r="1271">
          <cell r="A1271" t="str">
            <v>CH06016</v>
          </cell>
        </row>
        <row r="1272">
          <cell r="A1272" t="str">
            <v>CH06017</v>
          </cell>
        </row>
        <row r="1273">
          <cell r="A1273" t="str">
            <v>CH06018</v>
          </cell>
        </row>
        <row r="1274">
          <cell r="A1274" t="str">
            <v>CH06019</v>
          </cell>
        </row>
        <row r="1275">
          <cell r="A1275" t="str">
            <v>CH06020</v>
          </cell>
        </row>
        <row r="1276">
          <cell r="A1276" t="str">
            <v>CH06021</v>
          </cell>
        </row>
        <row r="1277">
          <cell r="A1277" t="str">
            <v>CH06022</v>
          </cell>
        </row>
        <row r="1278">
          <cell r="A1278" t="str">
            <v>CH06023</v>
          </cell>
        </row>
        <row r="1279">
          <cell r="A1279" t="str">
            <v>CH06024</v>
          </cell>
        </row>
        <row r="1280">
          <cell r="A1280" t="str">
            <v>CH06025</v>
          </cell>
        </row>
        <row r="1281">
          <cell r="A1281" t="str">
            <v>CH06026</v>
          </cell>
        </row>
        <row r="1282">
          <cell r="A1282" t="str">
            <v>CH06027</v>
          </cell>
        </row>
        <row r="1283">
          <cell r="A1283" t="str">
            <v>CH06028</v>
          </cell>
        </row>
        <row r="1284">
          <cell r="A1284" t="str">
            <v>CH07001</v>
          </cell>
        </row>
        <row r="1285">
          <cell r="A1285" t="str">
            <v>CH07002</v>
          </cell>
        </row>
        <row r="1286">
          <cell r="A1286" t="str">
            <v>CH07003</v>
          </cell>
        </row>
        <row r="1287">
          <cell r="A1287" t="str">
            <v>CH07004</v>
          </cell>
        </row>
        <row r="1288">
          <cell r="A1288" t="str">
            <v>CH07005</v>
          </cell>
        </row>
        <row r="1289">
          <cell r="A1289" t="str">
            <v>CH07006</v>
          </cell>
        </row>
        <row r="1290">
          <cell r="A1290" t="str">
            <v>CH07007</v>
          </cell>
        </row>
        <row r="1291">
          <cell r="A1291" t="str">
            <v>CH07008</v>
          </cell>
        </row>
        <row r="1292">
          <cell r="A1292" t="str">
            <v>CH07009</v>
          </cell>
        </row>
        <row r="1293">
          <cell r="A1293" t="str">
            <v>CH07010</v>
          </cell>
        </row>
        <row r="1294">
          <cell r="A1294" t="str">
            <v>CH07011</v>
          </cell>
        </row>
        <row r="1295">
          <cell r="A1295" t="str">
            <v>CH07012</v>
          </cell>
        </row>
        <row r="1296">
          <cell r="A1296" t="str">
            <v>CH07013</v>
          </cell>
        </row>
        <row r="1297">
          <cell r="A1297" t="str">
            <v>CH07014</v>
          </cell>
        </row>
        <row r="1298">
          <cell r="A1298" t="str">
            <v>CH07015</v>
          </cell>
        </row>
        <row r="1299">
          <cell r="A1299" t="str">
            <v>CH07016</v>
          </cell>
        </row>
        <row r="1300">
          <cell r="A1300" t="str">
            <v>CH07017</v>
          </cell>
        </row>
        <row r="1301">
          <cell r="A1301" t="str">
            <v>CH07018</v>
          </cell>
        </row>
        <row r="1302">
          <cell r="A1302" t="str">
            <v>CH07019</v>
          </cell>
        </row>
        <row r="1303">
          <cell r="A1303" t="str">
            <v>CH07020</v>
          </cell>
        </row>
        <row r="1304">
          <cell r="A1304" t="str">
            <v>CH07021</v>
          </cell>
        </row>
        <row r="1305">
          <cell r="A1305" t="str">
            <v>CH07022</v>
          </cell>
        </row>
        <row r="1306">
          <cell r="A1306" t="str">
            <v>CH07023</v>
          </cell>
        </row>
        <row r="1307">
          <cell r="A1307" t="str">
            <v>CH07024</v>
          </cell>
        </row>
        <row r="1308">
          <cell r="A1308" t="str">
            <v>CH07025</v>
          </cell>
        </row>
        <row r="1309">
          <cell r="A1309" t="str">
            <v>CH07026</v>
          </cell>
        </row>
        <row r="1310">
          <cell r="A1310" t="str">
            <v>CH07027</v>
          </cell>
        </row>
        <row r="1311">
          <cell r="A1311" t="str">
            <v>CH07028</v>
          </cell>
        </row>
        <row r="1312">
          <cell r="A1312" t="str">
            <v>CH08001</v>
          </cell>
        </row>
        <row r="1313">
          <cell r="A1313" t="str">
            <v>CH08002</v>
          </cell>
        </row>
        <row r="1314">
          <cell r="A1314" t="str">
            <v>CH08003</v>
          </cell>
        </row>
        <row r="1315">
          <cell r="A1315" t="str">
            <v>CH08004</v>
          </cell>
        </row>
        <row r="1316">
          <cell r="A1316" t="str">
            <v>CH08005</v>
          </cell>
        </row>
        <row r="1317">
          <cell r="A1317" t="str">
            <v>CH08006</v>
          </cell>
        </row>
        <row r="1318">
          <cell r="A1318" t="str">
            <v>CH08007</v>
          </cell>
        </row>
        <row r="1319">
          <cell r="A1319" t="str">
            <v>CH08008</v>
          </cell>
        </row>
        <row r="1320">
          <cell r="A1320" t="str">
            <v>CH08009</v>
          </cell>
        </row>
        <row r="1321">
          <cell r="A1321" t="str">
            <v>CH08010</v>
          </cell>
        </row>
        <row r="1322">
          <cell r="A1322" t="str">
            <v>CH08011</v>
          </cell>
        </row>
        <row r="1323">
          <cell r="A1323" t="str">
            <v>CH08012</v>
          </cell>
        </row>
        <row r="1324">
          <cell r="A1324" t="str">
            <v>CH08013</v>
          </cell>
        </row>
        <row r="1325">
          <cell r="A1325" t="str">
            <v>CH08014</v>
          </cell>
        </row>
        <row r="1326">
          <cell r="A1326" t="str">
            <v>CH08015</v>
          </cell>
        </row>
        <row r="1327">
          <cell r="A1327" t="str">
            <v>CH08016</v>
          </cell>
        </row>
        <row r="1328">
          <cell r="A1328" t="str">
            <v>CH08017</v>
          </cell>
        </row>
        <row r="1329">
          <cell r="A1329" t="str">
            <v>CH08018</v>
          </cell>
        </row>
        <row r="1330">
          <cell r="A1330" t="str">
            <v>CH08019</v>
          </cell>
        </row>
        <row r="1331">
          <cell r="A1331" t="str">
            <v>CH08020</v>
          </cell>
        </row>
        <row r="1332">
          <cell r="A1332" t="str">
            <v>CH08021</v>
          </cell>
        </row>
        <row r="1333">
          <cell r="A1333" t="str">
            <v>CH08022</v>
          </cell>
        </row>
        <row r="1334">
          <cell r="A1334" t="str">
            <v>CH08023</v>
          </cell>
        </row>
        <row r="1335">
          <cell r="A1335" t="str">
            <v>CH08024</v>
          </cell>
        </row>
        <row r="1336">
          <cell r="A1336" t="str">
            <v>CH08025</v>
          </cell>
        </row>
        <row r="1337">
          <cell r="A1337" t="str">
            <v>CH08026</v>
          </cell>
        </row>
        <row r="1338">
          <cell r="A1338" t="str">
            <v>CH08027</v>
          </cell>
        </row>
        <row r="1339">
          <cell r="A1339" t="str">
            <v>CH08028</v>
          </cell>
        </row>
        <row r="1340">
          <cell r="A1340" t="str">
            <v>CH08029</v>
          </cell>
        </row>
        <row r="1341">
          <cell r="A1341" t="str">
            <v>CH08030</v>
          </cell>
        </row>
        <row r="1342">
          <cell r="A1342" t="str">
            <v>CH08031</v>
          </cell>
        </row>
        <row r="1343">
          <cell r="A1343" t="str">
            <v>CH08032</v>
          </cell>
        </row>
        <row r="1344">
          <cell r="A1344" t="str">
            <v>CH08033</v>
          </cell>
        </row>
        <row r="1345">
          <cell r="A1345" t="str">
            <v>CH08034</v>
          </cell>
        </row>
        <row r="1346">
          <cell r="A1346" t="str">
            <v>CH08035</v>
          </cell>
        </row>
        <row r="1347">
          <cell r="A1347" t="str">
            <v>CH08036</v>
          </cell>
        </row>
        <row r="1348">
          <cell r="A1348" t="str">
            <v>CH09001</v>
          </cell>
        </row>
        <row r="1349">
          <cell r="A1349" t="str">
            <v>CH09002</v>
          </cell>
        </row>
        <row r="1350">
          <cell r="A1350" t="str">
            <v>CH09003</v>
          </cell>
        </row>
        <row r="1351">
          <cell r="A1351" t="str">
            <v>CH09004</v>
          </cell>
        </row>
        <row r="1352">
          <cell r="A1352" t="str">
            <v>CH09005</v>
          </cell>
        </row>
        <row r="1353">
          <cell r="A1353" t="str">
            <v>CH09006</v>
          </cell>
        </row>
        <row r="1354">
          <cell r="A1354" t="str">
            <v>CH09007</v>
          </cell>
        </row>
        <row r="1355">
          <cell r="A1355" t="str">
            <v>CH09008</v>
          </cell>
        </row>
        <row r="1356">
          <cell r="A1356" t="str">
            <v>CH09009</v>
          </cell>
        </row>
        <row r="1357">
          <cell r="A1357" t="str">
            <v>CH09010</v>
          </cell>
        </row>
        <row r="1358">
          <cell r="A1358" t="str">
            <v>CH09011</v>
          </cell>
        </row>
        <row r="1359">
          <cell r="A1359" t="str">
            <v>CH09012</v>
          </cell>
        </row>
        <row r="1360">
          <cell r="A1360" t="str">
            <v>CH09013</v>
          </cell>
        </row>
        <row r="1361">
          <cell r="A1361" t="str">
            <v>CH09014</v>
          </cell>
        </row>
        <row r="1362">
          <cell r="A1362" t="str">
            <v>CH09015</v>
          </cell>
        </row>
        <row r="1363">
          <cell r="A1363" t="str">
            <v>CH09016</v>
          </cell>
        </row>
        <row r="1364">
          <cell r="A1364" t="str">
            <v>CH09017</v>
          </cell>
        </row>
        <row r="1365">
          <cell r="A1365" t="str">
            <v>CH09018</v>
          </cell>
        </row>
        <row r="1366">
          <cell r="A1366" t="str">
            <v>CH09019</v>
          </cell>
        </row>
        <row r="1367">
          <cell r="A1367" t="str">
            <v>CH09020</v>
          </cell>
        </row>
        <row r="1368">
          <cell r="A1368" t="str">
            <v>CH09021</v>
          </cell>
        </row>
        <row r="1369">
          <cell r="A1369" t="str">
            <v>CH09022</v>
          </cell>
        </row>
        <row r="1370">
          <cell r="A1370" t="str">
            <v>CH09023</v>
          </cell>
        </row>
        <row r="1371">
          <cell r="A1371" t="str">
            <v>CH09024</v>
          </cell>
        </row>
        <row r="1372">
          <cell r="A1372" t="str">
            <v>CH09025</v>
          </cell>
        </row>
        <row r="1373">
          <cell r="A1373" t="str">
            <v>CH09026</v>
          </cell>
        </row>
        <row r="1374">
          <cell r="A1374" t="str">
            <v>CH09027</v>
          </cell>
        </row>
        <row r="1375">
          <cell r="A1375" t="str">
            <v>CH09028</v>
          </cell>
        </row>
        <row r="1376">
          <cell r="A1376" t="str">
            <v>CH09029</v>
          </cell>
        </row>
        <row r="1377">
          <cell r="A1377" t="str">
            <v>CH09030</v>
          </cell>
        </row>
        <row r="1378">
          <cell r="A1378" t="str">
            <v>CH09031</v>
          </cell>
        </row>
        <row r="1379">
          <cell r="A1379" t="str">
            <v>CH09032</v>
          </cell>
        </row>
        <row r="1380">
          <cell r="A1380" t="str">
            <v>CH09033</v>
          </cell>
        </row>
        <row r="1381">
          <cell r="A1381" t="str">
            <v>CH09034</v>
          </cell>
        </row>
        <row r="1382">
          <cell r="A1382" t="str">
            <v>CH09035</v>
          </cell>
        </row>
        <row r="1383">
          <cell r="A1383" t="str">
            <v>CH09036</v>
          </cell>
        </row>
        <row r="1384">
          <cell r="A1384" t="str">
            <v>CH10001</v>
          </cell>
        </row>
        <row r="1385">
          <cell r="A1385" t="str">
            <v>CH10002</v>
          </cell>
        </row>
        <row r="1386">
          <cell r="A1386" t="str">
            <v>CH10003</v>
          </cell>
        </row>
        <row r="1387">
          <cell r="A1387" t="str">
            <v>CH10004</v>
          </cell>
        </row>
        <row r="1388">
          <cell r="A1388" t="str">
            <v>CH10005</v>
          </cell>
        </row>
        <row r="1389">
          <cell r="A1389" t="str">
            <v>CH10006</v>
          </cell>
        </row>
        <row r="1390">
          <cell r="A1390" t="str">
            <v>CH10007</v>
          </cell>
        </row>
        <row r="1391">
          <cell r="A1391" t="str">
            <v>CH10008</v>
          </cell>
        </row>
        <row r="1392">
          <cell r="A1392" t="str">
            <v>CH10009</v>
          </cell>
        </row>
        <row r="1393">
          <cell r="A1393" t="str">
            <v>CH10010</v>
          </cell>
        </row>
        <row r="1394">
          <cell r="A1394" t="str">
            <v>CH10011</v>
          </cell>
        </row>
        <row r="1395">
          <cell r="A1395" t="str">
            <v>CH10012</v>
          </cell>
        </row>
        <row r="1396">
          <cell r="A1396" t="str">
            <v>CH10013</v>
          </cell>
        </row>
        <row r="1397">
          <cell r="A1397" t="str">
            <v>CH10014</v>
          </cell>
        </row>
        <row r="1398">
          <cell r="A1398" t="str">
            <v>CH10015</v>
          </cell>
        </row>
        <row r="1399">
          <cell r="A1399" t="str">
            <v>CH10016</v>
          </cell>
        </row>
        <row r="1400">
          <cell r="A1400" t="str">
            <v>CH10017</v>
          </cell>
        </row>
        <row r="1401">
          <cell r="A1401" t="str">
            <v>CH10018</v>
          </cell>
        </row>
        <row r="1402">
          <cell r="A1402" t="str">
            <v>CH10019</v>
          </cell>
        </row>
        <row r="1403">
          <cell r="A1403" t="str">
            <v>CH10020</v>
          </cell>
        </row>
        <row r="1404">
          <cell r="A1404" t="str">
            <v>CH10021</v>
          </cell>
        </row>
        <row r="1405">
          <cell r="A1405" t="str">
            <v>CH10022</v>
          </cell>
        </row>
        <row r="1406">
          <cell r="A1406" t="str">
            <v>CH10023</v>
          </cell>
        </row>
        <row r="1407">
          <cell r="A1407" t="str">
            <v>CH10024</v>
          </cell>
        </row>
        <row r="1408">
          <cell r="A1408" t="str">
            <v>CH10025</v>
          </cell>
        </row>
        <row r="1409">
          <cell r="A1409" t="str">
            <v>CH10026</v>
          </cell>
        </row>
        <row r="1410">
          <cell r="A1410" t="str">
            <v>CH10027</v>
          </cell>
        </row>
        <row r="1411">
          <cell r="A1411" t="str">
            <v>CH10028</v>
          </cell>
        </row>
        <row r="1412">
          <cell r="A1412" t="str">
            <v>CH10029</v>
          </cell>
        </row>
        <row r="1413">
          <cell r="A1413" t="str">
            <v>CH10030</v>
          </cell>
        </row>
        <row r="1414">
          <cell r="A1414" t="str">
            <v>CH10031</v>
          </cell>
        </row>
        <row r="1415">
          <cell r="A1415" t="str">
            <v>CH10032</v>
          </cell>
        </row>
        <row r="1416">
          <cell r="A1416" t="str">
            <v>CH10033</v>
          </cell>
        </row>
        <row r="1417">
          <cell r="A1417" t="str">
            <v>CH10034</v>
          </cell>
        </row>
        <row r="1418">
          <cell r="A1418" t="str">
            <v>CH10035</v>
          </cell>
        </row>
        <row r="1419">
          <cell r="A1419" t="str">
            <v>CH10036</v>
          </cell>
        </row>
        <row r="1420">
          <cell r="A1420" t="str">
            <v>CH10037</v>
          </cell>
        </row>
        <row r="1421">
          <cell r="A1421" t="str">
            <v>CH10038</v>
          </cell>
        </row>
        <row r="1422">
          <cell r="A1422" t="str">
            <v>CH10039</v>
          </cell>
        </row>
        <row r="1423">
          <cell r="A1423" t="str">
            <v>CH10040</v>
          </cell>
        </row>
        <row r="1424">
          <cell r="A1424" t="str">
            <v>CH10041</v>
          </cell>
        </row>
        <row r="1425">
          <cell r="A1425" t="str">
            <v>CH10042</v>
          </cell>
        </row>
        <row r="1426">
          <cell r="A1426" t="str">
            <v>CH10043</v>
          </cell>
        </row>
        <row r="1427">
          <cell r="A1427" t="str">
            <v>CH10044</v>
          </cell>
        </row>
        <row r="1428">
          <cell r="A1428" t="str">
            <v>CH10045</v>
          </cell>
        </row>
        <row r="1429">
          <cell r="A1429" t="str">
            <v>CH10046</v>
          </cell>
        </row>
        <row r="1430">
          <cell r="A1430" t="str">
            <v>CH11001</v>
          </cell>
        </row>
        <row r="1431">
          <cell r="A1431" t="str">
            <v>CH11002</v>
          </cell>
        </row>
        <row r="1432">
          <cell r="A1432" t="str">
            <v>CH11003</v>
          </cell>
        </row>
        <row r="1433">
          <cell r="A1433" t="str">
            <v>CH11004</v>
          </cell>
        </row>
        <row r="1434">
          <cell r="A1434" t="str">
            <v>CH11005</v>
          </cell>
        </row>
        <row r="1435">
          <cell r="A1435" t="str">
            <v>CH11006</v>
          </cell>
        </row>
        <row r="1436">
          <cell r="A1436" t="str">
            <v>CH11007</v>
          </cell>
        </row>
        <row r="1437">
          <cell r="A1437" t="str">
            <v>CH11008</v>
          </cell>
        </row>
        <row r="1438">
          <cell r="A1438" t="str">
            <v>CH11009</v>
          </cell>
        </row>
        <row r="1439">
          <cell r="A1439" t="str">
            <v>CH11010</v>
          </cell>
        </row>
        <row r="1440">
          <cell r="A1440" t="str">
            <v>CH11011</v>
          </cell>
        </row>
        <row r="1441">
          <cell r="A1441" t="str">
            <v>CH11012</v>
          </cell>
        </row>
        <row r="1442">
          <cell r="A1442" t="str">
            <v>CH11013</v>
          </cell>
        </row>
        <row r="1443">
          <cell r="A1443" t="str">
            <v>CH11014</v>
          </cell>
        </row>
        <row r="1444">
          <cell r="A1444" t="str">
            <v>CH11015</v>
          </cell>
        </row>
        <row r="1445">
          <cell r="A1445" t="str">
            <v>CH11016</v>
          </cell>
        </row>
        <row r="1446">
          <cell r="A1446" t="str">
            <v>CH11017</v>
          </cell>
        </row>
        <row r="1447">
          <cell r="A1447" t="str">
            <v>CH11018</v>
          </cell>
        </row>
        <row r="1448">
          <cell r="A1448" t="str">
            <v>CH11019</v>
          </cell>
        </row>
        <row r="1449">
          <cell r="A1449" t="str">
            <v>CH11020</v>
          </cell>
        </row>
        <row r="1450">
          <cell r="A1450" t="str">
            <v>CH11021</v>
          </cell>
        </row>
        <row r="1451">
          <cell r="A1451" t="str">
            <v>CH11022</v>
          </cell>
        </row>
        <row r="1452">
          <cell r="A1452" t="str">
            <v>CH11023</v>
          </cell>
        </row>
        <row r="1453">
          <cell r="A1453" t="str">
            <v>CH11024</v>
          </cell>
        </row>
        <row r="1454">
          <cell r="A1454" t="str">
            <v>CH11025</v>
          </cell>
        </row>
        <row r="1455">
          <cell r="A1455" t="str">
            <v>CH11026</v>
          </cell>
        </row>
        <row r="1456">
          <cell r="A1456" t="str">
            <v>CH11027</v>
          </cell>
        </row>
        <row r="1457">
          <cell r="A1457" t="str">
            <v>CH11028</v>
          </cell>
        </row>
        <row r="1458">
          <cell r="A1458" t="str">
            <v>CH11029</v>
          </cell>
        </row>
        <row r="1459">
          <cell r="A1459" t="str">
            <v>CH11030</v>
          </cell>
        </row>
        <row r="1460">
          <cell r="A1460" t="str">
            <v>CH11031</v>
          </cell>
        </row>
        <row r="1461">
          <cell r="A1461" t="str">
            <v>CH11032</v>
          </cell>
        </row>
        <row r="1462">
          <cell r="A1462" t="str">
            <v>CH11033</v>
          </cell>
        </row>
        <row r="1463">
          <cell r="A1463" t="str">
            <v>CH11034</v>
          </cell>
        </row>
        <row r="1464">
          <cell r="A1464" t="str">
            <v>CH11035</v>
          </cell>
        </row>
        <row r="1465">
          <cell r="A1465" t="str">
            <v>CH11036</v>
          </cell>
        </row>
        <row r="1466">
          <cell r="A1466" t="str">
            <v>CH11037</v>
          </cell>
        </row>
        <row r="1467">
          <cell r="A1467" t="str">
            <v>CH11038</v>
          </cell>
        </row>
        <row r="1468">
          <cell r="A1468" t="str">
            <v>CH11039</v>
          </cell>
        </row>
        <row r="1469">
          <cell r="A1469" t="str">
            <v>CH11040</v>
          </cell>
        </row>
        <row r="1470">
          <cell r="A1470" t="str">
            <v>CH11041</v>
          </cell>
        </row>
        <row r="1471">
          <cell r="A1471" t="str">
            <v>CH11042</v>
          </cell>
        </row>
        <row r="1472">
          <cell r="A1472" t="str">
            <v>CH11043</v>
          </cell>
        </row>
        <row r="1473">
          <cell r="A1473" t="str">
            <v>CH11044</v>
          </cell>
        </row>
        <row r="1474">
          <cell r="A1474" t="str">
            <v>CH11045</v>
          </cell>
        </row>
        <row r="1475">
          <cell r="A1475" t="str">
            <v>CH11046</v>
          </cell>
        </row>
        <row r="1476">
          <cell r="A1476" t="str">
            <v>CH11047</v>
          </cell>
        </row>
        <row r="1477">
          <cell r="A1477" t="str">
            <v>CH11048</v>
          </cell>
        </row>
        <row r="1478">
          <cell r="A1478" t="str">
            <v>CH11049</v>
          </cell>
        </row>
        <row r="1479">
          <cell r="A1479" t="str">
            <v>CH11050</v>
          </cell>
        </row>
        <row r="1480">
          <cell r="A1480" t="str">
            <v>CH11051</v>
          </cell>
        </row>
        <row r="1481">
          <cell r="A1481" t="str">
            <v>CH11052</v>
          </cell>
        </row>
        <row r="1482">
          <cell r="A1482" t="str">
            <v>CH11053</v>
          </cell>
        </row>
        <row r="1483">
          <cell r="A1483" t="str">
            <v>CH11054</v>
          </cell>
        </row>
        <row r="1484">
          <cell r="A1484" t="str">
            <v>CH11055</v>
          </cell>
        </row>
        <row r="1485">
          <cell r="A1485" t="str">
            <v>CH11056</v>
          </cell>
        </row>
        <row r="1486">
          <cell r="A1486" t="str">
            <v>CH11057</v>
          </cell>
        </row>
        <row r="1487">
          <cell r="A1487" t="str">
            <v>CH11058</v>
          </cell>
        </row>
        <row r="1488">
          <cell r="A1488" t="str">
            <v>CH11059</v>
          </cell>
        </row>
        <row r="1489">
          <cell r="A1489" t="str">
            <v>CH11060</v>
          </cell>
        </row>
        <row r="1490">
          <cell r="A1490" t="str">
            <v>CH12001</v>
          </cell>
        </row>
        <row r="1491">
          <cell r="A1491" t="str">
            <v>CH12002</v>
          </cell>
        </row>
        <row r="1492">
          <cell r="A1492" t="str">
            <v>CH12003</v>
          </cell>
        </row>
        <row r="1493">
          <cell r="A1493" t="str">
            <v>CH12004</v>
          </cell>
        </row>
        <row r="1494">
          <cell r="A1494" t="str">
            <v>CH12005</v>
          </cell>
        </row>
        <row r="1495">
          <cell r="A1495" t="str">
            <v>CH12006</v>
          </cell>
        </row>
        <row r="1496">
          <cell r="A1496" t="str">
            <v>CH12007</v>
          </cell>
        </row>
        <row r="1497">
          <cell r="A1497" t="str">
            <v>CH12008</v>
          </cell>
        </row>
        <row r="1498">
          <cell r="A1498" t="str">
            <v>CH12009</v>
          </cell>
        </row>
        <row r="1499">
          <cell r="A1499" t="str">
            <v>CH12010</v>
          </cell>
        </row>
        <row r="1500">
          <cell r="A1500" t="str">
            <v>CH12011</v>
          </cell>
        </row>
        <row r="1501">
          <cell r="A1501" t="str">
            <v>CH12012</v>
          </cell>
        </row>
        <row r="1502">
          <cell r="A1502" t="str">
            <v>CH12013</v>
          </cell>
        </row>
        <row r="1503">
          <cell r="A1503" t="str">
            <v>CH12014</v>
          </cell>
        </row>
        <row r="1504">
          <cell r="A1504" t="str">
            <v>CH12015</v>
          </cell>
        </row>
        <row r="1505">
          <cell r="A1505" t="str">
            <v>CH12016</v>
          </cell>
        </row>
        <row r="1506">
          <cell r="A1506" t="str">
            <v>CH12017</v>
          </cell>
        </row>
        <row r="1507">
          <cell r="A1507" t="str">
            <v>CH12018</v>
          </cell>
        </row>
        <row r="1508">
          <cell r="A1508" t="str">
            <v>CH12019</v>
          </cell>
        </row>
        <row r="1509">
          <cell r="A1509" t="str">
            <v>CH12020</v>
          </cell>
        </row>
        <row r="1510">
          <cell r="A1510" t="str">
            <v>CH12021</v>
          </cell>
        </row>
        <row r="1511">
          <cell r="A1511" t="str">
            <v>CH12022</v>
          </cell>
        </row>
        <row r="1512">
          <cell r="A1512" t="str">
            <v>CH12023</v>
          </cell>
        </row>
        <row r="1513">
          <cell r="A1513" t="str">
            <v>CH12024</v>
          </cell>
        </row>
        <row r="1514">
          <cell r="A1514" t="str">
            <v>CH12025</v>
          </cell>
        </row>
        <row r="1515">
          <cell r="A1515" t="str">
            <v>CH12026</v>
          </cell>
        </row>
        <row r="1516">
          <cell r="A1516" t="str">
            <v>CH12027</v>
          </cell>
        </row>
        <row r="1517">
          <cell r="A1517" t="str">
            <v>CH12028</v>
          </cell>
        </row>
        <row r="1518">
          <cell r="A1518" t="str">
            <v>CH12029</v>
          </cell>
        </row>
        <row r="1519">
          <cell r="A1519" t="str">
            <v>CH12030</v>
          </cell>
        </row>
        <row r="1520">
          <cell r="A1520" t="str">
            <v>CH12031</v>
          </cell>
        </row>
        <row r="1521">
          <cell r="A1521" t="str">
            <v>CH12032</v>
          </cell>
        </row>
        <row r="1522">
          <cell r="A1522" t="str">
            <v>CH12033</v>
          </cell>
        </row>
        <row r="1523">
          <cell r="A1523" t="str">
            <v>CH12034</v>
          </cell>
        </row>
        <row r="1524">
          <cell r="A1524" t="str">
            <v>CH12035</v>
          </cell>
        </row>
        <row r="1525">
          <cell r="A1525" t="str">
            <v>CH12036</v>
          </cell>
        </row>
        <row r="1526">
          <cell r="A1526" t="str">
            <v>CH12037</v>
          </cell>
        </row>
        <row r="1527">
          <cell r="A1527" t="str">
            <v>CH12038</v>
          </cell>
        </row>
        <row r="1528">
          <cell r="A1528" t="str">
            <v>CH12039</v>
          </cell>
        </row>
        <row r="1529">
          <cell r="A1529" t="str">
            <v>CH12040</v>
          </cell>
        </row>
        <row r="1530">
          <cell r="A1530" t="str">
            <v>CH12041</v>
          </cell>
        </row>
        <row r="1531">
          <cell r="A1531" t="str">
            <v>CH12042</v>
          </cell>
        </row>
        <row r="1532">
          <cell r="A1532" t="str">
            <v>CH12043</v>
          </cell>
        </row>
        <row r="1533">
          <cell r="A1533" t="str">
            <v>CH12044</v>
          </cell>
        </row>
        <row r="1534">
          <cell r="A1534" t="str">
            <v>CH12045</v>
          </cell>
        </row>
        <row r="1535">
          <cell r="A1535" t="str">
            <v>CH12046</v>
          </cell>
        </row>
        <row r="1536">
          <cell r="A1536" t="str">
            <v>CH12047</v>
          </cell>
        </row>
        <row r="1537">
          <cell r="A1537" t="str">
            <v>CH12048</v>
          </cell>
        </row>
        <row r="1538">
          <cell r="A1538" t="str">
            <v>CH12049</v>
          </cell>
        </row>
        <row r="1539">
          <cell r="A1539" t="str">
            <v>CH12050</v>
          </cell>
        </row>
        <row r="1540">
          <cell r="A1540" t="str">
            <v>CH12051</v>
          </cell>
        </row>
        <row r="1541">
          <cell r="A1541" t="str">
            <v>CH12052</v>
          </cell>
        </row>
        <row r="1542">
          <cell r="A1542" t="str">
            <v>CH12053</v>
          </cell>
        </row>
        <row r="1543">
          <cell r="A1543" t="str">
            <v>CH12054</v>
          </cell>
        </row>
        <row r="1544">
          <cell r="A1544" t="str">
            <v>CH12055</v>
          </cell>
        </row>
        <row r="1545">
          <cell r="A1545" t="str">
            <v>CH12056</v>
          </cell>
        </row>
        <row r="1546">
          <cell r="A1546" t="str">
            <v>CH12057</v>
          </cell>
        </row>
        <row r="1547">
          <cell r="A1547" t="str">
            <v>CH12058</v>
          </cell>
        </row>
        <row r="1548">
          <cell r="A1548" t="str">
            <v>CH12059</v>
          </cell>
        </row>
        <row r="1549">
          <cell r="A1549" t="str">
            <v>CH12060</v>
          </cell>
        </row>
        <row r="1550">
          <cell r="A1550" t="str">
            <v>CH13001</v>
          </cell>
        </row>
        <row r="1551">
          <cell r="A1551" t="str">
            <v>CH13002</v>
          </cell>
        </row>
        <row r="1552">
          <cell r="A1552" t="str">
            <v>CH13003</v>
          </cell>
        </row>
        <row r="1553">
          <cell r="A1553" t="str">
            <v>CH13004</v>
          </cell>
        </row>
        <row r="1554">
          <cell r="A1554" t="str">
            <v>CH13005</v>
          </cell>
        </row>
        <row r="1555">
          <cell r="A1555" t="str">
            <v>CH13006</v>
          </cell>
        </row>
        <row r="1556">
          <cell r="A1556" t="str">
            <v>CH13007</v>
          </cell>
        </row>
        <row r="1557">
          <cell r="A1557" t="str">
            <v>CH13008</v>
          </cell>
        </row>
        <row r="1558">
          <cell r="A1558" t="str">
            <v>CH13009</v>
          </cell>
        </row>
        <row r="1559">
          <cell r="A1559" t="str">
            <v>CH13010</v>
          </cell>
        </row>
        <row r="1560">
          <cell r="A1560" t="str">
            <v>CH13011</v>
          </cell>
        </row>
        <row r="1561">
          <cell r="A1561" t="str">
            <v>CH13012</v>
          </cell>
        </row>
        <row r="1562">
          <cell r="A1562" t="str">
            <v>CH13013</v>
          </cell>
        </row>
        <row r="1563">
          <cell r="A1563" t="str">
            <v>CH13014</v>
          </cell>
        </row>
        <row r="1564">
          <cell r="A1564" t="str">
            <v>CH13015</v>
          </cell>
        </row>
        <row r="1565">
          <cell r="A1565" t="str">
            <v>CH13016</v>
          </cell>
        </row>
        <row r="1566">
          <cell r="A1566" t="str">
            <v>CH13017</v>
          </cell>
        </row>
        <row r="1567">
          <cell r="A1567" t="str">
            <v>CH13018</v>
          </cell>
        </row>
        <row r="1568">
          <cell r="A1568" t="str">
            <v>CH13019</v>
          </cell>
        </row>
        <row r="1569">
          <cell r="A1569" t="str">
            <v>CH13020</v>
          </cell>
        </row>
        <row r="1570">
          <cell r="A1570" t="str">
            <v>CH13021</v>
          </cell>
        </row>
        <row r="1571">
          <cell r="A1571" t="str">
            <v>CH13022</v>
          </cell>
        </row>
        <row r="1572">
          <cell r="A1572" t="str">
            <v>CH13023</v>
          </cell>
        </row>
        <row r="1573">
          <cell r="A1573" t="str">
            <v>CH13024</v>
          </cell>
        </row>
        <row r="1574">
          <cell r="A1574" t="str">
            <v>CH13025</v>
          </cell>
        </row>
        <row r="1575">
          <cell r="A1575" t="str">
            <v>CH13026</v>
          </cell>
        </row>
        <row r="1576">
          <cell r="A1576" t="str">
            <v>CH13027</v>
          </cell>
        </row>
        <row r="1577">
          <cell r="A1577" t="str">
            <v>CH13028</v>
          </cell>
        </row>
        <row r="1578">
          <cell r="A1578" t="str">
            <v>CH13029</v>
          </cell>
        </row>
        <row r="1579">
          <cell r="A1579" t="str">
            <v>CH13030</v>
          </cell>
        </row>
        <row r="1580">
          <cell r="A1580" t="str">
            <v>CH13031</v>
          </cell>
        </row>
        <row r="1581">
          <cell r="A1581" t="str">
            <v>CH13032</v>
          </cell>
        </row>
        <row r="1582">
          <cell r="A1582" t="str">
            <v>CH13033</v>
          </cell>
        </row>
        <row r="1583">
          <cell r="A1583" t="str">
            <v>CH13034</v>
          </cell>
        </row>
        <row r="1584">
          <cell r="A1584" t="str">
            <v>CH13035</v>
          </cell>
        </row>
        <row r="1585">
          <cell r="A1585" t="str">
            <v>CH13036</v>
          </cell>
        </row>
        <row r="1586">
          <cell r="A1586" t="str">
            <v>CH13037</v>
          </cell>
        </row>
        <row r="1587">
          <cell r="A1587" t="str">
            <v>CH13038</v>
          </cell>
        </row>
        <row r="1588">
          <cell r="A1588" t="str">
            <v>CH13039</v>
          </cell>
        </row>
        <row r="1589">
          <cell r="A1589" t="str">
            <v>CH13040</v>
          </cell>
        </row>
        <row r="1590">
          <cell r="A1590" t="str">
            <v>CH13041</v>
          </cell>
        </row>
        <row r="1591">
          <cell r="A1591" t="str">
            <v>CH13042</v>
          </cell>
        </row>
        <row r="1592">
          <cell r="A1592" t="str">
            <v>CH13043</v>
          </cell>
        </row>
        <row r="1593">
          <cell r="A1593" t="str">
            <v>CH13044</v>
          </cell>
        </row>
        <row r="1594">
          <cell r="A1594" t="str">
            <v>CH13045</v>
          </cell>
        </row>
        <row r="1595">
          <cell r="A1595" t="str">
            <v>CH13046</v>
          </cell>
        </row>
        <row r="1596">
          <cell r="A1596" t="str">
            <v>CH13047</v>
          </cell>
        </row>
        <row r="1597">
          <cell r="A1597" t="str">
            <v>CH13048</v>
          </cell>
        </row>
        <row r="1598">
          <cell r="A1598" t="str">
            <v>CH13049</v>
          </cell>
        </row>
        <row r="1599">
          <cell r="A1599" t="str">
            <v>CH13050</v>
          </cell>
        </row>
        <row r="1600">
          <cell r="A1600" t="str">
            <v>CH13051</v>
          </cell>
        </row>
        <row r="1601">
          <cell r="A1601" t="str">
            <v>CH13052</v>
          </cell>
        </row>
        <row r="1602">
          <cell r="A1602" t="str">
            <v>CH13053</v>
          </cell>
        </row>
        <row r="1603">
          <cell r="A1603" t="str">
            <v>CH13054</v>
          </cell>
        </row>
        <row r="1604">
          <cell r="A1604" t="str">
            <v>CH13055</v>
          </cell>
        </row>
        <row r="1605">
          <cell r="A1605" t="str">
            <v>CH13056</v>
          </cell>
        </row>
        <row r="1606">
          <cell r="A1606" t="str">
            <v>CH13057</v>
          </cell>
        </row>
        <row r="1607">
          <cell r="A1607" t="str">
            <v>CH13058</v>
          </cell>
        </row>
        <row r="1608">
          <cell r="A1608" t="str">
            <v>CH13059</v>
          </cell>
        </row>
        <row r="1609">
          <cell r="A1609" t="str">
            <v>CH13060</v>
          </cell>
        </row>
        <row r="1610">
          <cell r="A1610" t="str">
            <v>CH14001</v>
          </cell>
        </row>
        <row r="1611">
          <cell r="A1611" t="str">
            <v>CH14002</v>
          </cell>
        </row>
        <row r="1612">
          <cell r="A1612" t="str">
            <v>CH14003</v>
          </cell>
        </row>
        <row r="1613">
          <cell r="A1613" t="str">
            <v>CH14004</v>
          </cell>
        </row>
        <row r="1614">
          <cell r="A1614" t="str">
            <v>CH14005</v>
          </cell>
        </row>
        <row r="1615">
          <cell r="A1615" t="str">
            <v>CH14006</v>
          </cell>
        </row>
        <row r="1616">
          <cell r="A1616" t="str">
            <v>CH14007</v>
          </cell>
        </row>
        <row r="1617">
          <cell r="A1617" t="str">
            <v>CH14008</v>
          </cell>
        </row>
        <row r="1618">
          <cell r="A1618" t="str">
            <v>CH14009</v>
          </cell>
        </row>
        <row r="1619">
          <cell r="A1619" t="str">
            <v>CH14010</v>
          </cell>
        </row>
        <row r="1620">
          <cell r="A1620" t="str">
            <v>CH14011</v>
          </cell>
        </row>
        <row r="1621">
          <cell r="A1621" t="str">
            <v>CH14012</v>
          </cell>
        </row>
        <row r="1622">
          <cell r="A1622" t="str">
            <v>CH14013</v>
          </cell>
        </row>
        <row r="1623">
          <cell r="A1623" t="str">
            <v>CH14014</v>
          </cell>
        </row>
        <row r="1624">
          <cell r="A1624" t="str">
            <v>CH14015</v>
          </cell>
        </row>
        <row r="1625">
          <cell r="A1625" t="str">
            <v>CH14016</v>
          </cell>
        </row>
        <row r="1626">
          <cell r="A1626" t="str">
            <v>CH14017</v>
          </cell>
        </row>
        <row r="1627">
          <cell r="A1627" t="str">
            <v>CH14018</v>
          </cell>
        </row>
        <row r="1628">
          <cell r="A1628" t="str">
            <v>CH14019</v>
          </cell>
        </row>
        <row r="1629">
          <cell r="A1629" t="str">
            <v>CH14020</v>
          </cell>
        </row>
        <row r="1630">
          <cell r="A1630" t="str">
            <v>CH14021</v>
          </cell>
        </row>
        <row r="1631">
          <cell r="A1631" t="str">
            <v>CH14022</v>
          </cell>
        </row>
        <row r="1632">
          <cell r="A1632" t="str">
            <v>CH14023</v>
          </cell>
        </row>
        <row r="1633">
          <cell r="A1633" t="str">
            <v>CH14024</v>
          </cell>
        </row>
        <row r="1634">
          <cell r="A1634" t="str">
            <v>CH14025</v>
          </cell>
        </row>
        <row r="1635">
          <cell r="A1635" t="str">
            <v>CH14026</v>
          </cell>
        </row>
        <row r="1636">
          <cell r="A1636" t="str">
            <v>CH14027</v>
          </cell>
        </row>
        <row r="1637">
          <cell r="A1637" t="str">
            <v>CH14028</v>
          </cell>
        </row>
        <row r="1638">
          <cell r="A1638" t="str">
            <v>CH14029</v>
          </cell>
        </row>
        <row r="1639">
          <cell r="A1639" t="str">
            <v>CH14030</v>
          </cell>
        </row>
        <row r="1640">
          <cell r="A1640" t="str">
            <v>CH14031</v>
          </cell>
        </row>
        <row r="1641">
          <cell r="A1641" t="str">
            <v>CH14032</v>
          </cell>
        </row>
        <row r="1642">
          <cell r="A1642" t="str">
            <v>CH14033</v>
          </cell>
        </row>
        <row r="1643">
          <cell r="A1643" t="str">
            <v>CH14034</v>
          </cell>
        </row>
        <row r="1644">
          <cell r="A1644" t="str">
            <v>CH14035</v>
          </cell>
        </row>
        <row r="1645">
          <cell r="A1645" t="str">
            <v>CH14036</v>
          </cell>
        </row>
        <row r="1646">
          <cell r="A1646" t="str">
            <v>CH14037</v>
          </cell>
        </row>
        <row r="1647">
          <cell r="A1647" t="str">
            <v>CH14038</v>
          </cell>
        </row>
        <row r="1648">
          <cell r="A1648" t="str">
            <v>CH14039</v>
          </cell>
        </row>
        <row r="1649">
          <cell r="A1649" t="str">
            <v>CH14040</v>
          </cell>
        </row>
        <row r="1650">
          <cell r="A1650" t="str">
            <v>CH14041</v>
          </cell>
        </row>
        <row r="1651">
          <cell r="A1651" t="str">
            <v>CH14042</v>
          </cell>
        </row>
        <row r="1652">
          <cell r="A1652" t="str">
            <v>CH14043</v>
          </cell>
        </row>
        <row r="1653">
          <cell r="A1653" t="str">
            <v>CH14044</v>
          </cell>
        </row>
        <row r="1654">
          <cell r="A1654" t="str">
            <v>CH14045</v>
          </cell>
        </row>
        <row r="1655">
          <cell r="A1655" t="str">
            <v>CH14046</v>
          </cell>
        </row>
        <row r="1656">
          <cell r="A1656" t="str">
            <v>CH14047</v>
          </cell>
        </row>
        <row r="1657">
          <cell r="A1657" t="str">
            <v>CH14048</v>
          </cell>
        </row>
        <row r="1658">
          <cell r="A1658" t="str">
            <v>CH14049</v>
          </cell>
        </row>
        <row r="1659">
          <cell r="A1659" t="str">
            <v>CH14050</v>
          </cell>
        </row>
        <row r="1660">
          <cell r="A1660" t="str">
            <v>CH14051</v>
          </cell>
        </row>
        <row r="1661">
          <cell r="A1661" t="str">
            <v>CH14052</v>
          </cell>
        </row>
        <row r="1662">
          <cell r="A1662" t="str">
            <v>CH14053</v>
          </cell>
        </row>
        <row r="1663">
          <cell r="A1663" t="str">
            <v>CH14054</v>
          </cell>
        </row>
        <row r="1664">
          <cell r="A1664" t="str">
            <v>CH14055</v>
          </cell>
        </row>
        <row r="1665">
          <cell r="A1665" t="str">
            <v>CH14056</v>
          </cell>
        </row>
        <row r="1666">
          <cell r="A1666" t="str">
            <v>CH14057</v>
          </cell>
        </row>
        <row r="1667">
          <cell r="A1667" t="str">
            <v>CH14058</v>
          </cell>
        </row>
        <row r="1668">
          <cell r="A1668" t="str">
            <v>CH14059</v>
          </cell>
        </row>
        <row r="1669">
          <cell r="A1669" t="str">
            <v>CH14060</v>
          </cell>
        </row>
        <row r="1670">
          <cell r="A1670" t="str">
            <v>CH15001</v>
          </cell>
        </row>
        <row r="1671">
          <cell r="A1671" t="str">
            <v>CH15002</v>
          </cell>
        </row>
        <row r="1672">
          <cell r="A1672" t="str">
            <v>CH15003</v>
          </cell>
        </row>
        <row r="1673">
          <cell r="A1673" t="str">
            <v>CH15004</v>
          </cell>
        </row>
        <row r="1674">
          <cell r="A1674" t="str">
            <v>CH15005</v>
          </cell>
        </row>
        <row r="1675">
          <cell r="A1675" t="str">
            <v>CH15006</v>
          </cell>
        </row>
        <row r="1676">
          <cell r="A1676" t="str">
            <v>CH15007</v>
          </cell>
        </row>
        <row r="1677">
          <cell r="A1677" t="str">
            <v>CH15008</v>
          </cell>
        </row>
        <row r="1678">
          <cell r="A1678" t="str">
            <v>CH15009</v>
          </cell>
        </row>
        <row r="1679">
          <cell r="A1679" t="str">
            <v>CH15010</v>
          </cell>
        </row>
        <row r="1680">
          <cell r="A1680" t="str">
            <v>CH15011</v>
          </cell>
        </row>
        <row r="1681">
          <cell r="A1681" t="str">
            <v>CH15012</v>
          </cell>
        </row>
        <row r="1682">
          <cell r="A1682" t="str">
            <v>CH15013</v>
          </cell>
        </row>
        <row r="1683">
          <cell r="A1683" t="str">
            <v>CH15014</v>
          </cell>
        </row>
        <row r="1684">
          <cell r="A1684" t="str">
            <v>CH15015</v>
          </cell>
        </row>
        <row r="1685">
          <cell r="A1685" t="str">
            <v>CH15016</v>
          </cell>
        </row>
        <row r="1686">
          <cell r="A1686" t="str">
            <v>CH15017</v>
          </cell>
        </row>
        <row r="1687">
          <cell r="A1687" t="str">
            <v>CH15018</v>
          </cell>
        </row>
        <row r="1688">
          <cell r="A1688" t="str">
            <v>CH15019</v>
          </cell>
        </row>
        <row r="1689">
          <cell r="A1689" t="str">
            <v>CH15020</v>
          </cell>
        </row>
        <row r="1690">
          <cell r="A1690" t="str">
            <v>CH15021</v>
          </cell>
        </row>
        <row r="1691">
          <cell r="A1691" t="str">
            <v>CH15022</v>
          </cell>
        </row>
        <row r="1692">
          <cell r="A1692" t="str">
            <v>CH15023</v>
          </cell>
        </row>
        <row r="1693">
          <cell r="A1693" t="str">
            <v>CH15024</v>
          </cell>
        </row>
        <row r="1694">
          <cell r="A1694" t="str">
            <v>CH15025</v>
          </cell>
        </row>
        <row r="1695">
          <cell r="A1695" t="str">
            <v>CH15026</v>
          </cell>
        </row>
        <row r="1696">
          <cell r="A1696" t="str">
            <v>CH15027</v>
          </cell>
        </row>
        <row r="1697">
          <cell r="A1697" t="str">
            <v>CH15028</v>
          </cell>
        </row>
        <row r="1698">
          <cell r="A1698" t="str">
            <v>CH15029</v>
          </cell>
        </row>
        <row r="1699">
          <cell r="A1699" t="str">
            <v>CH15030</v>
          </cell>
        </row>
        <row r="1700">
          <cell r="A1700" t="str">
            <v>CH15031</v>
          </cell>
        </row>
        <row r="1701">
          <cell r="A1701" t="str">
            <v>CH15032</v>
          </cell>
        </row>
        <row r="1702">
          <cell r="A1702" t="str">
            <v>CH15033</v>
          </cell>
        </row>
        <row r="1703">
          <cell r="A1703" t="str">
            <v>CH15034</v>
          </cell>
        </row>
        <row r="1704">
          <cell r="A1704" t="str">
            <v>CH15035</v>
          </cell>
        </row>
        <row r="1705">
          <cell r="A1705" t="str">
            <v>CH15036</v>
          </cell>
        </row>
        <row r="1706">
          <cell r="A1706" t="str">
            <v>CH15037</v>
          </cell>
        </row>
        <row r="1707">
          <cell r="A1707" t="str">
            <v>CH15038</v>
          </cell>
        </row>
        <row r="1708">
          <cell r="A1708" t="str">
            <v>CH15039</v>
          </cell>
        </row>
        <row r="1709">
          <cell r="A1709" t="str">
            <v>CH15040</v>
          </cell>
        </row>
        <row r="1710">
          <cell r="A1710" t="str">
            <v>CH15041</v>
          </cell>
        </row>
        <row r="1711">
          <cell r="A1711" t="str">
            <v>CH15042</v>
          </cell>
        </row>
        <row r="1712">
          <cell r="A1712" t="str">
            <v>CH15043</v>
          </cell>
        </row>
        <row r="1713">
          <cell r="A1713" t="str">
            <v>CH15044</v>
          </cell>
        </row>
        <row r="1714">
          <cell r="A1714" t="str">
            <v>CH15045</v>
          </cell>
        </row>
        <row r="1715">
          <cell r="A1715" t="str">
            <v>CH15046</v>
          </cell>
        </row>
        <row r="1716">
          <cell r="A1716" t="str">
            <v>CH15047</v>
          </cell>
        </row>
        <row r="1717">
          <cell r="A1717" t="str">
            <v>CH15048</v>
          </cell>
        </row>
        <row r="1718">
          <cell r="A1718" t="str">
            <v>CH15049</v>
          </cell>
        </row>
        <row r="1719">
          <cell r="A1719" t="str">
            <v>CH15050</v>
          </cell>
        </row>
        <row r="1720">
          <cell r="A1720" t="str">
            <v>CH15051</v>
          </cell>
        </row>
        <row r="1721">
          <cell r="A1721" t="str">
            <v>CH15052</v>
          </cell>
        </row>
        <row r="1722">
          <cell r="A1722" t="str">
            <v>CH15053</v>
          </cell>
        </row>
        <row r="1723">
          <cell r="A1723" t="str">
            <v>CH15054</v>
          </cell>
        </row>
        <row r="1724">
          <cell r="A1724" t="str">
            <v>CH15055</v>
          </cell>
        </row>
        <row r="1725">
          <cell r="A1725" t="str">
            <v>CH15056</v>
          </cell>
        </row>
        <row r="1726">
          <cell r="A1726" t="str">
            <v>CH15057</v>
          </cell>
        </row>
        <row r="1727">
          <cell r="A1727" t="str">
            <v>CH15058</v>
          </cell>
        </row>
        <row r="1728">
          <cell r="A1728" t="str">
            <v>CH15059</v>
          </cell>
        </row>
        <row r="1729">
          <cell r="A1729" t="str">
            <v>CH15060</v>
          </cell>
        </row>
        <row r="1730">
          <cell r="A1730" t="str">
            <v>CH16001</v>
          </cell>
        </row>
        <row r="1731">
          <cell r="A1731" t="str">
            <v>CH16002</v>
          </cell>
        </row>
        <row r="1732">
          <cell r="A1732" t="str">
            <v>CH16003</v>
          </cell>
        </row>
        <row r="1733">
          <cell r="A1733" t="str">
            <v>CH16004</v>
          </cell>
        </row>
        <row r="1734">
          <cell r="A1734" t="str">
            <v>CH16005</v>
          </cell>
        </row>
        <row r="1735">
          <cell r="A1735" t="str">
            <v>CH16006</v>
          </cell>
        </row>
        <row r="1736">
          <cell r="A1736" t="str">
            <v>CH16007</v>
          </cell>
        </row>
        <row r="1737">
          <cell r="A1737" t="str">
            <v>CH16008</v>
          </cell>
        </row>
        <row r="1738">
          <cell r="A1738" t="str">
            <v>CH16009</v>
          </cell>
        </row>
        <row r="1739">
          <cell r="A1739" t="str">
            <v>CH16010</v>
          </cell>
        </row>
        <row r="1740">
          <cell r="A1740" t="str">
            <v>CH16011</v>
          </cell>
        </row>
        <row r="1741">
          <cell r="A1741" t="str">
            <v>CH16012</v>
          </cell>
        </row>
        <row r="1742">
          <cell r="A1742" t="str">
            <v>CH16013</v>
          </cell>
        </row>
        <row r="1743">
          <cell r="A1743" t="str">
            <v>CH16014</v>
          </cell>
        </row>
        <row r="1744">
          <cell r="A1744" t="str">
            <v>CH16015</v>
          </cell>
        </row>
        <row r="1745">
          <cell r="A1745" t="str">
            <v>CH16016</v>
          </cell>
        </row>
        <row r="1746">
          <cell r="A1746" t="str">
            <v>CH16017</v>
          </cell>
        </row>
        <row r="1747">
          <cell r="A1747" t="str">
            <v>CH16018</v>
          </cell>
        </row>
        <row r="1748">
          <cell r="A1748" t="str">
            <v>CH16019</v>
          </cell>
        </row>
        <row r="1749">
          <cell r="A1749" t="str">
            <v>CH16020</v>
          </cell>
        </row>
        <row r="1750">
          <cell r="A1750" t="str">
            <v>CH16021</v>
          </cell>
        </row>
        <row r="1751">
          <cell r="A1751" t="str">
            <v>CH16022</v>
          </cell>
        </row>
        <row r="1752">
          <cell r="A1752" t="str">
            <v>CH16023</v>
          </cell>
        </row>
        <row r="1753">
          <cell r="A1753" t="str">
            <v>CH16024</v>
          </cell>
        </row>
        <row r="1754">
          <cell r="A1754" t="str">
            <v>CH16025</v>
          </cell>
        </row>
        <row r="1755">
          <cell r="A1755" t="str">
            <v>CH16026</v>
          </cell>
        </row>
        <row r="1756">
          <cell r="A1756" t="str">
            <v>CH16027</v>
          </cell>
        </row>
        <row r="1757">
          <cell r="A1757" t="str">
            <v>CH16028</v>
          </cell>
        </row>
        <row r="1758">
          <cell r="A1758" t="str">
            <v>CH16029</v>
          </cell>
        </row>
        <row r="1759">
          <cell r="A1759" t="str">
            <v>CH16030</v>
          </cell>
        </row>
        <row r="1760">
          <cell r="A1760" t="str">
            <v>CH16031</v>
          </cell>
        </row>
        <row r="1761">
          <cell r="A1761" t="str">
            <v>CH16032</v>
          </cell>
        </row>
        <row r="1762">
          <cell r="A1762" t="str">
            <v>CH16033</v>
          </cell>
        </row>
        <row r="1763">
          <cell r="A1763" t="str">
            <v>CH16034</v>
          </cell>
        </row>
        <row r="1764">
          <cell r="A1764" t="str">
            <v>CH16035</v>
          </cell>
        </row>
        <row r="1765">
          <cell r="A1765" t="str">
            <v>CH16036</v>
          </cell>
        </row>
        <row r="1766">
          <cell r="A1766" t="str">
            <v>CH16037</v>
          </cell>
        </row>
        <row r="1767">
          <cell r="A1767" t="str">
            <v>CH16038</v>
          </cell>
        </row>
        <row r="1768">
          <cell r="A1768" t="str">
            <v>CH16039</v>
          </cell>
        </row>
        <row r="1769">
          <cell r="A1769" t="str">
            <v>CH16040</v>
          </cell>
        </row>
        <row r="1770">
          <cell r="A1770" t="str">
            <v>CH16041</v>
          </cell>
        </row>
        <row r="1771">
          <cell r="A1771" t="str">
            <v>CH16042</v>
          </cell>
        </row>
        <row r="1772">
          <cell r="A1772" t="str">
            <v>CH16043</v>
          </cell>
        </row>
        <row r="1773">
          <cell r="A1773" t="str">
            <v>CH16044</v>
          </cell>
        </row>
        <row r="1774">
          <cell r="A1774" t="str">
            <v>CH16045</v>
          </cell>
        </row>
        <row r="1775">
          <cell r="A1775" t="str">
            <v>CH16046</v>
          </cell>
        </row>
        <row r="1776">
          <cell r="A1776" t="str">
            <v>CH16047</v>
          </cell>
        </row>
        <row r="1777">
          <cell r="A1777" t="str">
            <v>CH16048</v>
          </cell>
        </row>
        <row r="1778">
          <cell r="A1778" t="str">
            <v>CH16049</v>
          </cell>
        </row>
        <row r="1779">
          <cell r="A1779" t="str">
            <v>CH16050</v>
          </cell>
        </row>
        <row r="1780">
          <cell r="A1780" t="str">
            <v>CH16051</v>
          </cell>
        </row>
        <row r="1781">
          <cell r="A1781" t="str">
            <v>CH16052</v>
          </cell>
        </row>
        <row r="1782">
          <cell r="A1782" t="str">
            <v>CH16053</v>
          </cell>
        </row>
        <row r="1783">
          <cell r="A1783" t="str">
            <v>CH16054</v>
          </cell>
        </row>
        <row r="1784">
          <cell r="A1784" t="str">
            <v>CH16055</v>
          </cell>
        </row>
        <row r="1785">
          <cell r="A1785" t="str">
            <v>CH16056</v>
          </cell>
        </row>
        <row r="1786">
          <cell r="A1786" t="str">
            <v>CH16057</v>
          </cell>
        </row>
        <row r="1787">
          <cell r="A1787" t="str">
            <v>CH16058</v>
          </cell>
        </row>
        <row r="1788">
          <cell r="A1788" t="str">
            <v>CH16059</v>
          </cell>
        </row>
        <row r="1789">
          <cell r="A1789" t="str">
            <v>CH16060</v>
          </cell>
        </row>
        <row r="1790">
          <cell r="A1790" t="str">
            <v>CH17001</v>
          </cell>
        </row>
        <row r="1791">
          <cell r="A1791" t="str">
            <v>CH17002</v>
          </cell>
        </row>
        <row r="1792">
          <cell r="A1792" t="str">
            <v>CH17003</v>
          </cell>
        </row>
        <row r="1793">
          <cell r="A1793" t="str">
            <v>CH17004</v>
          </cell>
        </row>
        <row r="1794">
          <cell r="A1794" t="str">
            <v>CH17005</v>
          </cell>
        </row>
        <row r="1795">
          <cell r="A1795" t="str">
            <v>CH17006</v>
          </cell>
        </row>
        <row r="1796">
          <cell r="A1796" t="str">
            <v>CH17007</v>
          </cell>
        </row>
        <row r="1797">
          <cell r="A1797" t="str">
            <v>CH17008</v>
          </cell>
        </row>
        <row r="1798">
          <cell r="A1798" t="str">
            <v>CH17009</v>
          </cell>
        </row>
        <row r="1799">
          <cell r="A1799" t="str">
            <v>CH17010</v>
          </cell>
        </row>
        <row r="1800">
          <cell r="A1800" t="str">
            <v>CH17011</v>
          </cell>
        </row>
        <row r="1801">
          <cell r="A1801" t="str">
            <v>CH17012</v>
          </cell>
        </row>
        <row r="1802">
          <cell r="A1802" t="str">
            <v>CH17013</v>
          </cell>
        </row>
        <row r="1803">
          <cell r="A1803" t="str">
            <v>CH17014</v>
          </cell>
        </row>
        <row r="1804">
          <cell r="A1804" t="str">
            <v>CH17015</v>
          </cell>
        </row>
        <row r="1805">
          <cell r="A1805" t="str">
            <v>CH17016</v>
          </cell>
        </row>
        <row r="1806">
          <cell r="A1806" t="str">
            <v>CH17017</v>
          </cell>
        </row>
        <row r="1807">
          <cell r="A1807" t="str">
            <v>CH17018</v>
          </cell>
        </row>
        <row r="1808">
          <cell r="A1808" t="str">
            <v>CH17019</v>
          </cell>
        </row>
        <row r="1809">
          <cell r="A1809" t="str">
            <v>CH17020</v>
          </cell>
        </row>
        <row r="1810">
          <cell r="A1810" t="str">
            <v>CH17021</v>
          </cell>
        </row>
        <row r="1811">
          <cell r="A1811" t="str">
            <v>CH17022</v>
          </cell>
        </row>
        <row r="1812">
          <cell r="A1812" t="str">
            <v>CH17023</v>
          </cell>
        </row>
        <row r="1813">
          <cell r="A1813" t="str">
            <v>CH17024</v>
          </cell>
        </row>
        <row r="1814">
          <cell r="A1814" t="str">
            <v>CH17025</v>
          </cell>
        </row>
        <row r="1815">
          <cell r="A1815" t="str">
            <v>CH17026</v>
          </cell>
        </row>
        <row r="1816">
          <cell r="A1816" t="str">
            <v>CH17027</v>
          </cell>
        </row>
        <row r="1817">
          <cell r="A1817" t="str">
            <v>CH17028</v>
          </cell>
        </row>
        <row r="1818">
          <cell r="A1818" t="str">
            <v>CH17029</v>
          </cell>
        </row>
        <row r="1819">
          <cell r="A1819" t="str">
            <v>CH17030</v>
          </cell>
        </row>
        <row r="1820">
          <cell r="A1820" t="str">
            <v>CH17031</v>
          </cell>
        </row>
        <row r="1821">
          <cell r="A1821" t="str">
            <v>CH17032</v>
          </cell>
        </row>
        <row r="1822">
          <cell r="A1822" t="str">
            <v>CH17033</v>
          </cell>
        </row>
        <row r="1823">
          <cell r="A1823" t="str">
            <v>CH17034</v>
          </cell>
        </row>
        <row r="1824">
          <cell r="A1824" t="str">
            <v>CH17035</v>
          </cell>
        </row>
        <row r="1825">
          <cell r="A1825" t="str">
            <v>CH17036</v>
          </cell>
        </row>
        <row r="1826">
          <cell r="A1826" t="str">
            <v>CH17037</v>
          </cell>
        </row>
        <row r="1827">
          <cell r="A1827" t="str">
            <v>CH17038</v>
          </cell>
        </row>
        <row r="1828">
          <cell r="A1828" t="str">
            <v>CH17039</v>
          </cell>
        </row>
        <row r="1829">
          <cell r="A1829" t="str">
            <v>CH17040</v>
          </cell>
        </row>
        <row r="1830">
          <cell r="A1830" t="str">
            <v>CH17041</v>
          </cell>
        </row>
        <row r="1831">
          <cell r="A1831" t="str">
            <v>CH17042</v>
          </cell>
        </row>
        <row r="1832">
          <cell r="A1832" t="str">
            <v>CH17043</v>
          </cell>
        </row>
        <row r="1833">
          <cell r="A1833" t="str">
            <v>CH17044</v>
          </cell>
        </row>
        <row r="1834">
          <cell r="A1834" t="str">
            <v>CH17045</v>
          </cell>
        </row>
        <row r="1835">
          <cell r="A1835" t="str">
            <v>CH17046</v>
          </cell>
        </row>
        <row r="1836">
          <cell r="A1836" t="str">
            <v>CH17047</v>
          </cell>
        </row>
        <row r="1837">
          <cell r="A1837" t="str">
            <v>CH17048</v>
          </cell>
        </row>
        <row r="1838">
          <cell r="A1838" t="str">
            <v>CH17049</v>
          </cell>
        </row>
        <row r="1839">
          <cell r="A1839" t="str">
            <v>CH17050</v>
          </cell>
        </row>
        <row r="1840">
          <cell r="A1840" t="str">
            <v>CH17051</v>
          </cell>
        </row>
        <row r="1841">
          <cell r="A1841" t="str">
            <v>CH17052</v>
          </cell>
        </row>
        <row r="1842">
          <cell r="A1842" t="str">
            <v>CH17053</v>
          </cell>
        </row>
        <row r="1843">
          <cell r="A1843" t="str">
            <v>CH17054</v>
          </cell>
        </row>
        <row r="1844">
          <cell r="A1844" t="str">
            <v>CH17055</v>
          </cell>
        </row>
        <row r="1845">
          <cell r="A1845" t="str">
            <v>CH17056</v>
          </cell>
        </row>
        <row r="1846">
          <cell r="A1846" t="str">
            <v>CH17057</v>
          </cell>
        </row>
        <row r="1847">
          <cell r="A1847" t="str">
            <v>CH17058</v>
          </cell>
        </row>
        <row r="1848">
          <cell r="A1848" t="str">
            <v>CH17059</v>
          </cell>
        </row>
        <row r="1849">
          <cell r="A1849" t="str">
            <v>CH17060</v>
          </cell>
        </row>
        <row r="1850">
          <cell r="A1850" t="str">
            <v>CH18001</v>
          </cell>
        </row>
        <row r="1851">
          <cell r="A1851" t="str">
            <v>CH18002</v>
          </cell>
        </row>
        <row r="1852">
          <cell r="A1852" t="str">
            <v>CH18003</v>
          </cell>
        </row>
        <row r="1853">
          <cell r="A1853" t="str">
            <v>CH18004</v>
          </cell>
        </row>
        <row r="1854">
          <cell r="A1854" t="str">
            <v>CH18005</v>
          </cell>
        </row>
        <row r="1855">
          <cell r="A1855" t="str">
            <v>CH18006</v>
          </cell>
        </row>
        <row r="1856">
          <cell r="A1856" t="str">
            <v>CH18007</v>
          </cell>
        </row>
        <row r="1857">
          <cell r="A1857" t="str">
            <v>CH18008</v>
          </cell>
        </row>
        <row r="1858">
          <cell r="A1858" t="str">
            <v>CH18009</v>
          </cell>
        </row>
        <row r="1859">
          <cell r="A1859" t="str">
            <v>CH18010</v>
          </cell>
        </row>
        <row r="1860">
          <cell r="A1860" t="str">
            <v>CH18011</v>
          </cell>
        </row>
        <row r="1861">
          <cell r="A1861" t="str">
            <v>CH18012</v>
          </cell>
        </row>
        <row r="1862">
          <cell r="A1862" t="str">
            <v>CH18013</v>
          </cell>
        </row>
        <row r="1863">
          <cell r="A1863" t="str">
            <v>CH18014</v>
          </cell>
        </row>
        <row r="1864">
          <cell r="A1864" t="str">
            <v>CH18015</v>
          </cell>
        </row>
        <row r="1865">
          <cell r="A1865" t="str">
            <v>CH18016</v>
          </cell>
        </row>
        <row r="1866">
          <cell r="A1866" t="str">
            <v>CH18017</v>
          </cell>
        </row>
        <row r="1867">
          <cell r="A1867" t="str">
            <v>CH18018</v>
          </cell>
        </row>
        <row r="1868">
          <cell r="A1868" t="str">
            <v>CH18019</v>
          </cell>
        </row>
        <row r="1869">
          <cell r="A1869" t="str">
            <v>CH18020</v>
          </cell>
        </row>
        <row r="1870">
          <cell r="A1870" t="str">
            <v>CH18021</v>
          </cell>
        </row>
        <row r="1871">
          <cell r="A1871" t="str">
            <v>CH18022</v>
          </cell>
        </row>
        <row r="1872">
          <cell r="A1872" t="str">
            <v>CH18023</v>
          </cell>
        </row>
        <row r="1873">
          <cell r="A1873" t="str">
            <v>CH18024</v>
          </cell>
        </row>
        <row r="1874">
          <cell r="A1874" t="str">
            <v>CH18025</v>
          </cell>
        </row>
        <row r="1875">
          <cell r="A1875" t="str">
            <v>CH18026</v>
          </cell>
        </row>
        <row r="1876">
          <cell r="A1876" t="str">
            <v>CH18027</v>
          </cell>
        </row>
        <row r="1877">
          <cell r="A1877" t="str">
            <v>CH18028</v>
          </cell>
        </row>
        <row r="1878">
          <cell r="A1878" t="str">
            <v>CH18029</v>
          </cell>
        </row>
        <row r="1879">
          <cell r="A1879" t="str">
            <v>CH18030</v>
          </cell>
        </row>
        <row r="1880">
          <cell r="A1880" t="str">
            <v>CH18031</v>
          </cell>
        </row>
        <row r="1881">
          <cell r="A1881" t="str">
            <v>CH18032</v>
          </cell>
        </row>
        <row r="1882">
          <cell r="A1882" t="str">
            <v>CH18033</v>
          </cell>
        </row>
        <row r="1883">
          <cell r="A1883" t="str">
            <v>CH18034</v>
          </cell>
        </row>
        <row r="1884">
          <cell r="A1884" t="str">
            <v>CH18035</v>
          </cell>
        </row>
        <row r="1885">
          <cell r="A1885" t="str">
            <v>CH18036</v>
          </cell>
        </row>
        <row r="1886">
          <cell r="A1886" t="str">
            <v>CH18037</v>
          </cell>
        </row>
        <row r="1887">
          <cell r="A1887" t="str">
            <v>CH18038</v>
          </cell>
        </row>
        <row r="1888">
          <cell r="A1888" t="str">
            <v>CH18039</v>
          </cell>
        </row>
        <row r="1889">
          <cell r="A1889" t="str">
            <v>CH18040</v>
          </cell>
        </row>
        <row r="1890">
          <cell r="A1890" t="str">
            <v>CH18041</v>
          </cell>
        </row>
        <row r="1891">
          <cell r="A1891" t="str">
            <v>CH18042</v>
          </cell>
        </row>
        <row r="1892">
          <cell r="A1892" t="str">
            <v>CH18043</v>
          </cell>
        </row>
        <row r="1893">
          <cell r="A1893" t="str">
            <v>CH18044</v>
          </cell>
        </row>
        <row r="1894">
          <cell r="A1894" t="str">
            <v>CH18045</v>
          </cell>
        </row>
        <row r="1895">
          <cell r="A1895" t="str">
            <v>CH18046</v>
          </cell>
        </row>
        <row r="1896">
          <cell r="A1896" t="str">
            <v>CH18047</v>
          </cell>
        </row>
        <row r="1897">
          <cell r="A1897" t="str">
            <v>CH18048</v>
          </cell>
        </row>
        <row r="1898">
          <cell r="A1898" t="str">
            <v>CH18049</v>
          </cell>
        </row>
        <row r="1899">
          <cell r="A1899" t="str">
            <v>CH18050</v>
          </cell>
        </row>
        <row r="1900">
          <cell r="A1900" t="str">
            <v>CH18051</v>
          </cell>
        </row>
        <row r="1901">
          <cell r="A1901" t="str">
            <v>CH18052</v>
          </cell>
        </row>
        <row r="1902">
          <cell r="A1902" t="str">
            <v>CH18053</v>
          </cell>
        </row>
        <row r="1903">
          <cell r="A1903" t="str">
            <v>CH18054</v>
          </cell>
        </row>
        <row r="1904">
          <cell r="A1904" t="str">
            <v>CH18055</v>
          </cell>
        </row>
        <row r="1905">
          <cell r="A1905" t="str">
            <v>CH18056</v>
          </cell>
        </row>
        <row r="1906">
          <cell r="A1906" t="str">
            <v>CH18057</v>
          </cell>
        </row>
        <row r="1907">
          <cell r="A1907" t="str">
            <v>CH18058</v>
          </cell>
        </row>
        <row r="1908">
          <cell r="A1908" t="str">
            <v>CH18059</v>
          </cell>
        </row>
        <row r="1909">
          <cell r="A1909" t="str">
            <v>CH18060</v>
          </cell>
        </row>
        <row r="1910">
          <cell r="A1910" t="str">
            <v>CH19001</v>
          </cell>
        </row>
        <row r="1911">
          <cell r="A1911" t="str">
            <v>CH19002</v>
          </cell>
        </row>
        <row r="1912">
          <cell r="A1912" t="str">
            <v>CH19003</v>
          </cell>
        </row>
        <row r="1913">
          <cell r="A1913" t="str">
            <v>CH19004</v>
          </cell>
        </row>
        <row r="1914">
          <cell r="A1914" t="str">
            <v>CH19005</v>
          </cell>
        </row>
        <row r="1915">
          <cell r="A1915" t="str">
            <v>CH19006</v>
          </cell>
        </row>
        <row r="1916">
          <cell r="A1916" t="str">
            <v>CH19007</v>
          </cell>
        </row>
        <row r="1917">
          <cell r="A1917" t="str">
            <v>CH19008</v>
          </cell>
        </row>
        <row r="1918">
          <cell r="A1918" t="str">
            <v>CH19009</v>
          </cell>
        </row>
        <row r="1919">
          <cell r="A1919" t="str">
            <v>CH19010</v>
          </cell>
        </row>
        <row r="1920">
          <cell r="A1920" t="str">
            <v>CH19011</v>
          </cell>
        </row>
        <row r="1921">
          <cell r="A1921" t="str">
            <v>CH19012</v>
          </cell>
        </row>
        <row r="1922">
          <cell r="A1922" t="str">
            <v>CH19013</v>
          </cell>
        </row>
        <row r="1923">
          <cell r="A1923" t="str">
            <v>CH19014</v>
          </cell>
        </row>
        <row r="1924">
          <cell r="A1924" t="str">
            <v>CH19015</v>
          </cell>
        </row>
        <row r="1925">
          <cell r="A1925" t="str">
            <v>CH19016</v>
          </cell>
        </row>
        <row r="1926">
          <cell r="A1926" t="str">
            <v>CH19017</v>
          </cell>
        </row>
        <row r="1927">
          <cell r="A1927" t="str">
            <v>CH19018</v>
          </cell>
        </row>
        <row r="1928">
          <cell r="A1928" t="str">
            <v>CH19019</v>
          </cell>
        </row>
        <row r="1929">
          <cell r="A1929" t="str">
            <v>CH19020</v>
          </cell>
        </row>
        <row r="1930">
          <cell r="A1930" t="str">
            <v>CH19021</v>
          </cell>
        </row>
        <row r="1931">
          <cell r="A1931" t="str">
            <v>CH19022</v>
          </cell>
        </row>
        <row r="1932">
          <cell r="A1932" t="str">
            <v>CH19023</v>
          </cell>
        </row>
        <row r="1933">
          <cell r="A1933" t="str">
            <v>CH19024</v>
          </cell>
        </row>
        <row r="1934">
          <cell r="A1934" t="str">
            <v>CH19025</v>
          </cell>
        </row>
        <row r="1935">
          <cell r="A1935" t="str">
            <v>CH19026</v>
          </cell>
        </row>
        <row r="1936">
          <cell r="A1936" t="str">
            <v>CH19027</v>
          </cell>
        </row>
        <row r="1937">
          <cell r="A1937" t="str">
            <v>CH19028</v>
          </cell>
        </row>
        <row r="1938">
          <cell r="A1938" t="str">
            <v>CH19029</v>
          </cell>
        </row>
        <row r="1939">
          <cell r="A1939" t="str">
            <v>CH19030</v>
          </cell>
        </row>
        <row r="1940">
          <cell r="A1940" t="str">
            <v>CH19031</v>
          </cell>
        </row>
        <row r="1941">
          <cell r="A1941" t="str">
            <v>CH19032</v>
          </cell>
        </row>
        <row r="1942">
          <cell r="A1942" t="str">
            <v>CH19033</v>
          </cell>
        </row>
        <row r="1943">
          <cell r="A1943" t="str">
            <v>CH19034</v>
          </cell>
        </row>
        <row r="1944">
          <cell r="A1944" t="str">
            <v>CH19035</v>
          </cell>
        </row>
        <row r="1945">
          <cell r="A1945" t="str">
            <v>CH19036</v>
          </cell>
        </row>
        <row r="1946">
          <cell r="A1946" t="str">
            <v>CH19037</v>
          </cell>
        </row>
        <row r="1947">
          <cell r="A1947" t="str">
            <v>CH19038</v>
          </cell>
        </row>
        <row r="1948">
          <cell r="A1948" t="str">
            <v>CH19039</v>
          </cell>
        </row>
        <row r="1949">
          <cell r="A1949" t="str">
            <v>CH19040</v>
          </cell>
        </row>
        <row r="1950">
          <cell r="A1950" t="str">
            <v>CH19041</v>
          </cell>
        </row>
        <row r="1951">
          <cell r="A1951" t="str">
            <v>CH19042</v>
          </cell>
        </row>
        <row r="1952">
          <cell r="A1952" t="str">
            <v>CH19043</v>
          </cell>
        </row>
        <row r="1953">
          <cell r="A1953" t="str">
            <v>CH19044</v>
          </cell>
        </row>
        <row r="1954">
          <cell r="A1954" t="str">
            <v>CH19045</v>
          </cell>
        </row>
        <row r="1955">
          <cell r="A1955" t="str">
            <v>CH19046</v>
          </cell>
        </row>
        <row r="1956">
          <cell r="A1956" t="str">
            <v>CH19047</v>
          </cell>
        </row>
        <row r="1957">
          <cell r="A1957" t="str">
            <v>CH19048</v>
          </cell>
        </row>
        <row r="1958">
          <cell r="A1958" t="str">
            <v>CH19049</v>
          </cell>
        </row>
        <row r="1959">
          <cell r="A1959" t="str">
            <v>CH19050</v>
          </cell>
        </row>
        <row r="1960">
          <cell r="A1960" t="str">
            <v>CH19051</v>
          </cell>
        </row>
        <row r="1961">
          <cell r="A1961" t="str">
            <v>CH19052</v>
          </cell>
        </row>
        <row r="1962">
          <cell r="A1962" t="str">
            <v>CH19053</v>
          </cell>
        </row>
        <row r="1963">
          <cell r="A1963" t="str">
            <v>CH19054</v>
          </cell>
        </row>
        <row r="1964">
          <cell r="A1964" t="str">
            <v>CH19055</v>
          </cell>
        </row>
        <row r="1965">
          <cell r="A1965" t="str">
            <v>CH19056</v>
          </cell>
        </row>
        <row r="1966">
          <cell r="A1966" t="str">
            <v>CH19057</v>
          </cell>
        </row>
        <row r="1967">
          <cell r="A1967" t="str">
            <v>CH19058</v>
          </cell>
        </row>
        <row r="1968">
          <cell r="A1968" t="str">
            <v>CH19059</v>
          </cell>
        </row>
        <row r="1969">
          <cell r="A1969" t="str">
            <v>CH19060</v>
          </cell>
        </row>
        <row r="1970">
          <cell r="A1970" t="str">
            <v>CH20001</v>
          </cell>
        </row>
        <row r="1971">
          <cell r="A1971" t="str">
            <v>CH20002</v>
          </cell>
        </row>
        <row r="1972">
          <cell r="A1972" t="str">
            <v>CH20003</v>
          </cell>
        </row>
        <row r="1973">
          <cell r="A1973" t="str">
            <v>CH20004</v>
          </cell>
        </row>
        <row r="1974">
          <cell r="A1974" t="str">
            <v>CH20005</v>
          </cell>
        </row>
        <row r="1975">
          <cell r="A1975" t="str">
            <v>CH20006</v>
          </cell>
        </row>
        <row r="1976">
          <cell r="A1976" t="str">
            <v>CH20007</v>
          </cell>
        </row>
        <row r="1977">
          <cell r="A1977" t="str">
            <v>CH20008</v>
          </cell>
        </row>
        <row r="1978">
          <cell r="A1978" t="str">
            <v>CH20009</v>
          </cell>
        </row>
        <row r="1979">
          <cell r="A1979" t="str">
            <v>CH20010</v>
          </cell>
        </row>
        <row r="1980">
          <cell r="A1980" t="str">
            <v>CH20011</v>
          </cell>
        </row>
        <row r="1981">
          <cell r="A1981" t="str">
            <v>CH20012</v>
          </cell>
        </row>
        <row r="1982">
          <cell r="A1982" t="str">
            <v>CH20013</v>
          </cell>
        </row>
        <row r="1983">
          <cell r="A1983" t="str">
            <v>CH20014</v>
          </cell>
        </row>
        <row r="1984">
          <cell r="A1984" t="str">
            <v>CH20015</v>
          </cell>
        </row>
        <row r="1985">
          <cell r="A1985" t="str">
            <v>CH20016</v>
          </cell>
        </row>
        <row r="1986">
          <cell r="A1986" t="str">
            <v>CH20017</v>
          </cell>
        </row>
        <row r="1987">
          <cell r="A1987" t="str">
            <v>CH20018</v>
          </cell>
        </row>
        <row r="1988">
          <cell r="A1988" t="str">
            <v>CH20019</v>
          </cell>
        </row>
        <row r="1989">
          <cell r="A1989" t="str">
            <v>CH20020</v>
          </cell>
        </row>
        <row r="1990">
          <cell r="A1990" t="str">
            <v>CH20021</v>
          </cell>
        </row>
        <row r="1991">
          <cell r="A1991" t="str">
            <v>CH20022</v>
          </cell>
        </row>
        <row r="1992">
          <cell r="A1992" t="str">
            <v>CH20023</v>
          </cell>
        </row>
        <row r="1993">
          <cell r="A1993" t="str">
            <v>CH20024</v>
          </cell>
        </row>
        <row r="1994">
          <cell r="A1994" t="str">
            <v>CH20025</v>
          </cell>
        </row>
        <row r="1995">
          <cell r="A1995" t="str">
            <v>CH20026</v>
          </cell>
        </row>
        <row r="1996">
          <cell r="A1996" t="str">
            <v>CH20027</v>
          </cell>
        </row>
        <row r="1997">
          <cell r="A1997" t="str">
            <v>CH20028</v>
          </cell>
        </row>
        <row r="1998">
          <cell r="A1998" t="str">
            <v>CH20029</v>
          </cell>
        </row>
        <row r="1999">
          <cell r="A1999" t="str">
            <v>CH20030</v>
          </cell>
        </row>
        <row r="2000">
          <cell r="A2000" t="str">
            <v>CH20031</v>
          </cell>
        </row>
        <row r="2001">
          <cell r="A2001" t="str">
            <v>CH20032</v>
          </cell>
        </row>
        <row r="2002">
          <cell r="A2002" t="str">
            <v>CH20033</v>
          </cell>
        </row>
        <row r="2003">
          <cell r="A2003" t="str">
            <v>CH20034</v>
          </cell>
        </row>
        <row r="2004">
          <cell r="A2004" t="str">
            <v>CH20035</v>
          </cell>
        </row>
        <row r="2005">
          <cell r="A2005" t="str">
            <v>CH20036</v>
          </cell>
        </row>
        <row r="2006">
          <cell r="A2006" t="str">
            <v>CH20037</v>
          </cell>
        </row>
        <row r="2007">
          <cell r="A2007" t="str">
            <v>CH20038</v>
          </cell>
        </row>
        <row r="2008">
          <cell r="A2008" t="str">
            <v>CH20039</v>
          </cell>
        </row>
        <row r="2009">
          <cell r="A2009" t="str">
            <v>CH20040</v>
          </cell>
        </row>
        <row r="2010">
          <cell r="A2010" t="str">
            <v>CH20041</v>
          </cell>
        </row>
        <row r="2011">
          <cell r="A2011" t="str">
            <v>CH20042</v>
          </cell>
        </row>
        <row r="2012">
          <cell r="A2012" t="str">
            <v>CH20043</v>
          </cell>
        </row>
        <row r="2013">
          <cell r="A2013" t="str">
            <v>CH20044</v>
          </cell>
        </row>
        <row r="2014">
          <cell r="A2014" t="str">
            <v>CH20045</v>
          </cell>
        </row>
        <row r="2015">
          <cell r="A2015" t="str">
            <v>CH20046</v>
          </cell>
        </row>
        <row r="2016">
          <cell r="A2016" t="str">
            <v>CH20047</v>
          </cell>
        </row>
        <row r="2017">
          <cell r="A2017" t="str">
            <v>CH20048</v>
          </cell>
        </row>
        <row r="2018">
          <cell r="A2018" t="str">
            <v>CH20049</v>
          </cell>
        </row>
        <row r="2019">
          <cell r="A2019" t="str">
            <v>CH20050</v>
          </cell>
        </row>
        <row r="2020">
          <cell r="A2020" t="str">
            <v>CH20051</v>
          </cell>
        </row>
        <row r="2021">
          <cell r="A2021" t="str">
            <v>CH20052</v>
          </cell>
        </row>
        <row r="2022">
          <cell r="A2022" t="str">
            <v>CH20053</v>
          </cell>
        </row>
        <row r="2023">
          <cell r="A2023" t="str">
            <v>CH20054</v>
          </cell>
        </row>
        <row r="2024">
          <cell r="A2024" t="str">
            <v>CH20055</v>
          </cell>
        </row>
        <row r="2025">
          <cell r="A2025" t="str">
            <v>CH20056</v>
          </cell>
        </row>
        <row r="2026">
          <cell r="A2026" t="str">
            <v>CH20057</v>
          </cell>
        </row>
        <row r="2027">
          <cell r="A2027" t="str">
            <v>CH20058</v>
          </cell>
        </row>
        <row r="2028">
          <cell r="A2028" t="str">
            <v>CH20059</v>
          </cell>
        </row>
        <row r="2029">
          <cell r="A2029" t="str">
            <v>CH20060</v>
          </cell>
        </row>
        <row r="2030">
          <cell r="A2030" t="str">
            <v>CH22007</v>
          </cell>
        </row>
        <row r="2031">
          <cell r="A2031" t="str">
            <v>CH22008</v>
          </cell>
        </row>
        <row r="2032">
          <cell r="A2032" t="str">
            <v>CH22009</v>
          </cell>
        </row>
        <row r="2033">
          <cell r="A2033" t="str">
            <v>CH22010</v>
          </cell>
        </row>
        <row r="2034">
          <cell r="A2034" t="str">
            <v>CH22011</v>
          </cell>
        </row>
        <row r="2035">
          <cell r="A2035" t="str">
            <v>CH22012</v>
          </cell>
        </row>
        <row r="2036">
          <cell r="A2036" t="str">
            <v>CH22013</v>
          </cell>
        </row>
        <row r="2037">
          <cell r="A2037" t="str">
            <v>CH22014</v>
          </cell>
        </row>
        <row r="2038">
          <cell r="A2038" t="str">
            <v>CH22015</v>
          </cell>
        </row>
        <row r="2039">
          <cell r="A2039" t="str">
            <v>CH22016</v>
          </cell>
        </row>
        <row r="2040">
          <cell r="A2040" t="str">
            <v>CH22017</v>
          </cell>
        </row>
        <row r="2041">
          <cell r="A2041" t="str">
            <v>CH22018</v>
          </cell>
        </row>
        <row r="2042">
          <cell r="A2042" t="str">
            <v>CH22019</v>
          </cell>
        </row>
        <row r="2043">
          <cell r="A2043" t="str">
            <v>CH22020</v>
          </cell>
        </row>
        <row r="2044">
          <cell r="A2044" t="str">
            <v>CH22021</v>
          </cell>
        </row>
        <row r="2045">
          <cell r="A2045" t="str">
            <v>CH22022</v>
          </cell>
        </row>
        <row r="2046">
          <cell r="A2046" t="str">
            <v>CH22023</v>
          </cell>
        </row>
        <row r="2047">
          <cell r="A2047" t="str">
            <v>CH22024</v>
          </cell>
        </row>
        <row r="2048">
          <cell r="A2048" t="str">
            <v>CH22025</v>
          </cell>
        </row>
        <row r="2049">
          <cell r="A2049" t="str">
            <v>CH22026</v>
          </cell>
        </row>
        <row r="2050">
          <cell r="A2050" t="str">
            <v>CH22027</v>
          </cell>
        </row>
        <row r="2051">
          <cell r="A2051" t="str">
            <v>CH22028</v>
          </cell>
        </row>
        <row r="2052">
          <cell r="A2052" t="str">
            <v>CH22029</v>
          </cell>
        </row>
        <row r="2053">
          <cell r="A2053" t="str">
            <v>CH22030</v>
          </cell>
        </row>
        <row r="2054">
          <cell r="A2054" t="str">
            <v>CH22031</v>
          </cell>
        </row>
        <row r="2055">
          <cell r="A2055" t="str">
            <v>CH22032</v>
          </cell>
        </row>
        <row r="2056">
          <cell r="A2056" t="str">
            <v>CH22033</v>
          </cell>
        </row>
        <row r="2057">
          <cell r="A2057" t="str">
            <v>CH22034</v>
          </cell>
        </row>
        <row r="2058">
          <cell r="A2058" t="str">
            <v>CH22035</v>
          </cell>
        </row>
        <row r="2059">
          <cell r="A2059" t="str">
            <v>CH22036</v>
          </cell>
        </row>
        <row r="2060">
          <cell r="A2060" t="str">
            <v>CH22037</v>
          </cell>
        </row>
        <row r="2061">
          <cell r="A2061" t="str">
            <v>CH22038</v>
          </cell>
        </row>
        <row r="2062">
          <cell r="A2062" t="str">
            <v>CH22039</v>
          </cell>
        </row>
        <row r="2063">
          <cell r="A2063" t="str">
            <v>CH22040</v>
          </cell>
        </row>
        <row r="2064">
          <cell r="A2064" t="str">
            <v>CH22041</v>
          </cell>
        </row>
        <row r="2065">
          <cell r="A2065" t="str">
            <v>CH22042</v>
          </cell>
        </row>
        <row r="2066">
          <cell r="A2066" t="str">
            <v>CH22043</v>
          </cell>
        </row>
        <row r="2067">
          <cell r="A2067" t="str">
            <v>CH22044</v>
          </cell>
        </row>
        <row r="2068">
          <cell r="A2068" t="str">
            <v>CH22045</v>
          </cell>
        </row>
        <row r="2069">
          <cell r="A2069" t="str">
            <v>CH22046</v>
          </cell>
        </row>
        <row r="2070">
          <cell r="A2070" t="str">
            <v>CH22047</v>
          </cell>
        </row>
        <row r="2071">
          <cell r="A2071" t="str">
            <v>CH22048</v>
          </cell>
        </row>
        <row r="2072">
          <cell r="A2072" t="str">
            <v>CH22049</v>
          </cell>
        </row>
        <row r="2073">
          <cell r="A2073" t="str">
            <v>CH22050</v>
          </cell>
        </row>
        <row r="2074">
          <cell r="A2074" t="str">
            <v>CH22051</v>
          </cell>
        </row>
        <row r="2075">
          <cell r="A2075" t="str">
            <v>CH22052</v>
          </cell>
        </row>
        <row r="2076">
          <cell r="A2076" t="str">
            <v>CH22053</v>
          </cell>
        </row>
        <row r="2077">
          <cell r="A2077" t="str">
            <v>CH22054</v>
          </cell>
        </row>
        <row r="2078">
          <cell r="A2078" t="str">
            <v>CH22055</v>
          </cell>
        </row>
        <row r="2079">
          <cell r="A2079" t="str">
            <v>CH22056</v>
          </cell>
        </row>
        <row r="2080">
          <cell r="A2080" t="str">
            <v>CH22057</v>
          </cell>
        </row>
        <row r="2081">
          <cell r="A2081" t="str">
            <v>CH22058</v>
          </cell>
        </row>
        <row r="2082">
          <cell r="A2082" t="str">
            <v>CH22059</v>
          </cell>
        </row>
        <row r="2083">
          <cell r="A2083" t="str">
            <v>CH22060</v>
          </cell>
        </row>
        <row r="2084">
          <cell r="A2084" t="str">
            <v>CH24007</v>
          </cell>
        </row>
        <row r="2085">
          <cell r="A2085" t="str">
            <v>CH24008</v>
          </cell>
        </row>
        <row r="2086">
          <cell r="A2086" t="str">
            <v>CH24009</v>
          </cell>
        </row>
        <row r="2087">
          <cell r="A2087" t="str">
            <v>CH24010</v>
          </cell>
        </row>
        <row r="2088">
          <cell r="A2088" t="str">
            <v>CH24011</v>
          </cell>
        </row>
        <row r="2089">
          <cell r="A2089" t="str">
            <v>CH24012</v>
          </cell>
        </row>
        <row r="2090">
          <cell r="A2090" t="str">
            <v>CH24013</v>
          </cell>
        </row>
        <row r="2091">
          <cell r="A2091" t="str">
            <v>CH24014</v>
          </cell>
        </row>
        <row r="2092">
          <cell r="A2092" t="str">
            <v>CH24015</v>
          </cell>
        </row>
        <row r="2093">
          <cell r="A2093" t="str">
            <v>CH24016</v>
          </cell>
        </row>
        <row r="2094">
          <cell r="A2094" t="str">
            <v>CH24017</v>
          </cell>
        </row>
        <row r="2095">
          <cell r="A2095" t="str">
            <v>CH24018</v>
          </cell>
        </row>
        <row r="2096">
          <cell r="A2096" t="str">
            <v>CH24019</v>
          </cell>
        </row>
        <row r="2097">
          <cell r="A2097" t="str">
            <v>CH24020</v>
          </cell>
        </row>
        <row r="2098">
          <cell r="A2098" t="str">
            <v>CH24021</v>
          </cell>
        </row>
        <row r="2099">
          <cell r="A2099" t="str">
            <v>CH24022</v>
          </cell>
        </row>
        <row r="2100">
          <cell r="A2100" t="str">
            <v>CH24023</v>
          </cell>
        </row>
        <row r="2101">
          <cell r="A2101" t="str">
            <v>CH24024</v>
          </cell>
        </row>
        <row r="2102">
          <cell r="A2102" t="str">
            <v>CH24025</v>
          </cell>
        </row>
        <row r="2103">
          <cell r="A2103" t="str">
            <v>CH24026</v>
          </cell>
        </row>
        <row r="2104">
          <cell r="A2104" t="str">
            <v>CH24027</v>
          </cell>
        </row>
        <row r="2105">
          <cell r="A2105" t="str">
            <v>CH24028</v>
          </cell>
        </row>
        <row r="2106">
          <cell r="A2106" t="str">
            <v>CH24029</v>
          </cell>
        </row>
        <row r="2107">
          <cell r="A2107" t="str">
            <v>CH24030</v>
          </cell>
        </row>
        <row r="2108">
          <cell r="A2108" t="str">
            <v>CH24031</v>
          </cell>
        </row>
        <row r="2109">
          <cell r="A2109" t="str">
            <v>CH24032</v>
          </cell>
        </row>
        <row r="2110">
          <cell r="A2110" t="str">
            <v>CH24033</v>
          </cell>
        </row>
        <row r="2111">
          <cell r="A2111" t="str">
            <v>CH24034</v>
          </cell>
        </row>
        <row r="2112">
          <cell r="A2112" t="str">
            <v>CH24035</v>
          </cell>
        </row>
        <row r="2113">
          <cell r="A2113" t="str">
            <v>CH24036</v>
          </cell>
        </row>
        <row r="2114">
          <cell r="A2114" t="str">
            <v>CH24037</v>
          </cell>
        </row>
        <row r="2115">
          <cell r="A2115" t="str">
            <v>CH24038</v>
          </cell>
        </row>
        <row r="2116">
          <cell r="A2116" t="str">
            <v>CH24039</v>
          </cell>
        </row>
        <row r="2117">
          <cell r="A2117" t="str">
            <v>CH24040</v>
          </cell>
        </row>
        <row r="2118">
          <cell r="A2118" t="str">
            <v>CH24041</v>
          </cell>
        </row>
        <row r="2119">
          <cell r="A2119" t="str">
            <v>CH24042</v>
          </cell>
        </row>
        <row r="2120">
          <cell r="A2120" t="str">
            <v>CH24043</v>
          </cell>
        </row>
        <row r="2121">
          <cell r="A2121" t="str">
            <v>CH24044</v>
          </cell>
        </row>
        <row r="2122">
          <cell r="A2122" t="str">
            <v>CH24045</v>
          </cell>
        </row>
        <row r="2123">
          <cell r="A2123" t="str">
            <v>CH24046</v>
          </cell>
        </row>
        <row r="2124">
          <cell r="A2124" t="str">
            <v>CH24047</v>
          </cell>
        </row>
        <row r="2125">
          <cell r="A2125" t="str">
            <v>CH24048</v>
          </cell>
        </row>
        <row r="2126">
          <cell r="A2126" t="str">
            <v>CH24049</v>
          </cell>
        </row>
        <row r="2127">
          <cell r="A2127" t="str">
            <v>CH24050</v>
          </cell>
        </row>
        <row r="2128">
          <cell r="A2128" t="str">
            <v>CH24051</v>
          </cell>
        </row>
        <row r="2129">
          <cell r="A2129" t="str">
            <v>CH24052</v>
          </cell>
        </row>
        <row r="2130">
          <cell r="A2130" t="str">
            <v>CH24053</v>
          </cell>
        </row>
        <row r="2131">
          <cell r="A2131" t="str">
            <v>CH24054</v>
          </cell>
        </row>
        <row r="2132">
          <cell r="A2132" t="str">
            <v>CH24055</v>
          </cell>
        </row>
        <row r="2133">
          <cell r="A2133" t="str">
            <v>CH24056</v>
          </cell>
        </row>
        <row r="2134">
          <cell r="A2134" t="str">
            <v>CH24057</v>
          </cell>
        </row>
        <row r="2135">
          <cell r="A2135" t="str">
            <v>CH24058</v>
          </cell>
        </row>
        <row r="2136">
          <cell r="A2136" t="str">
            <v>CH24059</v>
          </cell>
        </row>
        <row r="2137">
          <cell r="A2137" t="str">
            <v>CH24060</v>
          </cell>
        </row>
        <row r="2138">
          <cell r="A2138" t="str">
            <v>CH26013</v>
          </cell>
        </row>
        <row r="2139">
          <cell r="A2139" t="str">
            <v>CH26014</v>
          </cell>
        </row>
        <row r="2140">
          <cell r="A2140" t="str">
            <v>CH26015</v>
          </cell>
        </row>
        <row r="2141">
          <cell r="A2141" t="str">
            <v>CH26016</v>
          </cell>
        </row>
        <row r="2142">
          <cell r="A2142" t="str">
            <v>CH26017</v>
          </cell>
        </row>
        <row r="2143">
          <cell r="A2143" t="str">
            <v>CH26018</v>
          </cell>
        </row>
        <row r="2144">
          <cell r="A2144" t="str">
            <v>CH26019</v>
          </cell>
        </row>
        <row r="2145">
          <cell r="A2145" t="str">
            <v>CH26020</v>
          </cell>
        </row>
        <row r="2146">
          <cell r="A2146" t="str">
            <v>CH26021</v>
          </cell>
        </row>
        <row r="2147">
          <cell r="A2147" t="str">
            <v>CH26022</v>
          </cell>
        </row>
        <row r="2148">
          <cell r="A2148" t="str">
            <v>CH26023</v>
          </cell>
        </row>
        <row r="2149">
          <cell r="A2149" t="str">
            <v>CH26024</v>
          </cell>
        </row>
        <row r="2150">
          <cell r="A2150" t="str">
            <v>CH26025</v>
          </cell>
        </row>
        <row r="2151">
          <cell r="A2151" t="str">
            <v>CH26026</v>
          </cell>
        </row>
        <row r="2152">
          <cell r="A2152" t="str">
            <v>CH26027</v>
          </cell>
        </row>
        <row r="2153">
          <cell r="A2153" t="str">
            <v>CH26028</v>
          </cell>
        </row>
        <row r="2154">
          <cell r="A2154" t="str">
            <v>CH26029</v>
          </cell>
        </row>
        <row r="2155">
          <cell r="A2155" t="str">
            <v>CH26030</v>
          </cell>
        </row>
        <row r="2156">
          <cell r="A2156" t="str">
            <v>CH26031</v>
          </cell>
        </row>
        <row r="2157">
          <cell r="A2157" t="str">
            <v>CH26032</v>
          </cell>
        </row>
        <row r="2158">
          <cell r="A2158" t="str">
            <v>CH26033</v>
          </cell>
        </row>
        <row r="2159">
          <cell r="A2159" t="str">
            <v>CH26034</v>
          </cell>
        </row>
        <row r="2160">
          <cell r="A2160" t="str">
            <v>CH26035</v>
          </cell>
        </row>
        <row r="2161">
          <cell r="A2161" t="str">
            <v>CH26036</v>
          </cell>
        </row>
        <row r="2162">
          <cell r="A2162" t="str">
            <v>CH26037</v>
          </cell>
        </row>
        <row r="2163">
          <cell r="A2163" t="str">
            <v>CH26038</v>
          </cell>
        </row>
        <row r="2164">
          <cell r="A2164" t="str">
            <v>CH26039</v>
          </cell>
        </row>
        <row r="2165">
          <cell r="A2165" t="str">
            <v>CH26040</v>
          </cell>
        </row>
        <row r="2166">
          <cell r="A2166" t="str">
            <v>CH26041</v>
          </cell>
        </row>
        <row r="2167">
          <cell r="A2167" t="str">
            <v>CH26042</v>
          </cell>
        </row>
        <row r="2168">
          <cell r="A2168" t="str">
            <v>CH26043</v>
          </cell>
        </row>
        <row r="2169">
          <cell r="A2169" t="str">
            <v>CH26044</v>
          </cell>
        </row>
        <row r="2170">
          <cell r="A2170" t="str">
            <v>CH26045</v>
          </cell>
        </row>
        <row r="2171">
          <cell r="A2171" t="str">
            <v>CH26046</v>
          </cell>
        </row>
        <row r="2172">
          <cell r="A2172" t="str">
            <v>CH26047</v>
          </cell>
        </row>
        <row r="2173">
          <cell r="A2173" t="str">
            <v>CH26048</v>
          </cell>
        </row>
        <row r="2174">
          <cell r="A2174" t="str">
            <v>CH26049</v>
          </cell>
        </row>
        <row r="2175">
          <cell r="A2175" t="str">
            <v>CH26050</v>
          </cell>
        </row>
        <row r="2176">
          <cell r="A2176" t="str">
            <v>CH26051</v>
          </cell>
        </row>
        <row r="2177">
          <cell r="A2177" t="str">
            <v>CH26052</v>
          </cell>
        </row>
        <row r="2178">
          <cell r="A2178" t="str">
            <v>CH26053</v>
          </cell>
        </row>
        <row r="2179">
          <cell r="A2179" t="str">
            <v>CH26054</v>
          </cell>
        </row>
        <row r="2180">
          <cell r="A2180" t="str">
            <v>CH26055</v>
          </cell>
        </row>
        <row r="2181">
          <cell r="A2181" t="str">
            <v>CH26056</v>
          </cell>
        </row>
        <row r="2182">
          <cell r="A2182" t="str">
            <v>CH26057</v>
          </cell>
        </row>
        <row r="2183">
          <cell r="A2183" t="str">
            <v>CH26058</v>
          </cell>
        </row>
        <row r="2184">
          <cell r="A2184" t="str">
            <v>CH26059</v>
          </cell>
        </row>
        <row r="2185">
          <cell r="A2185" t="str">
            <v>CH26060</v>
          </cell>
        </row>
        <row r="2186">
          <cell r="A2186" t="str">
            <v>CH28013</v>
          </cell>
        </row>
        <row r="2187">
          <cell r="A2187" t="str">
            <v>CH28014</v>
          </cell>
        </row>
        <row r="2188">
          <cell r="A2188" t="str">
            <v>CH28015</v>
          </cell>
        </row>
        <row r="2189">
          <cell r="A2189" t="str">
            <v>CH28016</v>
          </cell>
        </row>
        <row r="2190">
          <cell r="A2190" t="str">
            <v>CH28017</v>
          </cell>
        </row>
        <row r="2191">
          <cell r="A2191" t="str">
            <v>CH28018</v>
          </cell>
        </row>
        <row r="2192">
          <cell r="A2192" t="str">
            <v>CH28019</v>
          </cell>
        </row>
        <row r="2193">
          <cell r="A2193" t="str">
            <v>CH28020</v>
          </cell>
        </row>
        <row r="2194">
          <cell r="A2194" t="str">
            <v>CH28021</v>
          </cell>
        </row>
        <row r="2195">
          <cell r="A2195" t="str">
            <v>CH28022</v>
          </cell>
        </row>
        <row r="2196">
          <cell r="A2196" t="str">
            <v>CH28023</v>
          </cell>
        </row>
        <row r="2197">
          <cell r="A2197" t="str">
            <v>CH28024</v>
          </cell>
        </row>
        <row r="2198">
          <cell r="A2198" t="str">
            <v>CH28025</v>
          </cell>
        </row>
        <row r="2199">
          <cell r="A2199" t="str">
            <v>CH28026</v>
          </cell>
        </row>
        <row r="2200">
          <cell r="A2200" t="str">
            <v>CH28027</v>
          </cell>
        </row>
        <row r="2201">
          <cell r="A2201" t="str">
            <v>CH28028</v>
          </cell>
        </row>
        <row r="2202">
          <cell r="A2202" t="str">
            <v>CH28029</v>
          </cell>
        </row>
        <row r="2203">
          <cell r="A2203" t="str">
            <v>CH28030</v>
          </cell>
        </row>
        <row r="2204">
          <cell r="A2204" t="str">
            <v>CH28031</v>
          </cell>
        </row>
        <row r="2205">
          <cell r="A2205" t="str">
            <v>CH28032</v>
          </cell>
        </row>
        <row r="2206">
          <cell r="A2206" t="str">
            <v>CH28033</v>
          </cell>
        </row>
        <row r="2207">
          <cell r="A2207" t="str">
            <v>CH28034</v>
          </cell>
        </row>
        <row r="2208">
          <cell r="A2208" t="str">
            <v>CH28035</v>
          </cell>
        </row>
        <row r="2209">
          <cell r="A2209" t="str">
            <v>CH28036</v>
          </cell>
        </row>
        <row r="2210">
          <cell r="A2210" t="str">
            <v>CH28037</v>
          </cell>
        </row>
        <row r="2211">
          <cell r="A2211" t="str">
            <v>CH28038</v>
          </cell>
        </row>
        <row r="2212">
          <cell r="A2212" t="str">
            <v>CH28039</v>
          </cell>
        </row>
        <row r="2213">
          <cell r="A2213" t="str">
            <v>CH28040</v>
          </cell>
        </row>
        <row r="2214">
          <cell r="A2214" t="str">
            <v>CH28041</v>
          </cell>
        </row>
        <row r="2215">
          <cell r="A2215" t="str">
            <v>CH28042</v>
          </cell>
        </row>
        <row r="2216">
          <cell r="A2216" t="str">
            <v>CH28043</v>
          </cell>
        </row>
        <row r="2217">
          <cell r="A2217" t="str">
            <v>CH28044</v>
          </cell>
        </row>
        <row r="2218">
          <cell r="A2218" t="str">
            <v>CH28045</v>
          </cell>
        </row>
        <row r="2219">
          <cell r="A2219" t="str">
            <v>CH28046</v>
          </cell>
        </row>
        <row r="2220">
          <cell r="A2220" t="str">
            <v>CH28047</v>
          </cell>
        </row>
        <row r="2221">
          <cell r="A2221" t="str">
            <v>CH28048</v>
          </cell>
        </row>
        <row r="2222">
          <cell r="A2222" t="str">
            <v>CH28049</v>
          </cell>
        </row>
        <row r="2223">
          <cell r="A2223" t="str">
            <v>CH28050</v>
          </cell>
        </row>
        <row r="2224">
          <cell r="A2224" t="str">
            <v>CH28051</v>
          </cell>
        </row>
        <row r="2225">
          <cell r="A2225" t="str">
            <v>CH28052</v>
          </cell>
        </row>
        <row r="2226">
          <cell r="A2226" t="str">
            <v>CH28053</v>
          </cell>
        </row>
        <row r="2227">
          <cell r="A2227" t="str">
            <v>CH28054</v>
          </cell>
        </row>
        <row r="2228">
          <cell r="A2228" t="str">
            <v>CH28055</v>
          </cell>
        </row>
        <row r="2229">
          <cell r="A2229" t="str">
            <v>CH28056</v>
          </cell>
        </row>
        <row r="2230">
          <cell r="A2230" t="str">
            <v>CH28057</v>
          </cell>
        </row>
        <row r="2231">
          <cell r="A2231" t="str">
            <v>CH28058</v>
          </cell>
        </row>
        <row r="2232">
          <cell r="A2232" t="str">
            <v>CH28059</v>
          </cell>
        </row>
        <row r="2233">
          <cell r="A2233" t="str">
            <v>CH28060</v>
          </cell>
        </row>
        <row r="2234">
          <cell r="A2234" t="str">
            <v>CH30013</v>
          </cell>
        </row>
        <row r="2235">
          <cell r="A2235" t="str">
            <v>CH30014</v>
          </cell>
        </row>
        <row r="2236">
          <cell r="A2236" t="str">
            <v>CH30015</v>
          </cell>
        </row>
        <row r="2237">
          <cell r="A2237" t="str">
            <v>CH30016</v>
          </cell>
        </row>
        <row r="2238">
          <cell r="A2238" t="str">
            <v>CH30017</v>
          </cell>
        </row>
        <row r="2239">
          <cell r="A2239" t="str">
            <v>CH30018</v>
          </cell>
        </row>
        <row r="2240">
          <cell r="A2240" t="str">
            <v>CH30019</v>
          </cell>
        </row>
        <row r="2241">
          <cell r="A2241" t="str">
            <v>CH30020</v>
          </cell>
        </row>
        <row r="2242">
          <cell r="A2242" t="str">
            <v>CH30021</v>
          </cell>
        </row>
        <row r="2243">
          <cell r="A2243" t="str">
            <v>CH30022</v>
          </cell>
        </row>
        <row r="2244">
          <cell r="A2244" t="str">
            <v>CH30023</v>
          </cell>
        </row>
        <row r="2245">
          <cell r="A2245" t="str">
            <v>CH30024</v>
          </cell>
        </row>
        <row r="2246">
          <cell r="A2246" t="str">
            <v>CH30025</v>
          </cell>
        </row>
        <row r="2247">
          <cell r="A2247" t="str">
            <v>CH30026</v>
          </cell>
        </row>
        <row r="2248">
          <cell r="A2248" t="str">
            <v>CH30027</v>
          </cell>
        </row>
        <row r="2249">
          <cell r="A2249" t="str">
            <v>CH30028</v>
          </cell>
        </row>
        <row r="2250">
          <cell r="A2250" t="str">
            <v>CH30029</v>
          </cell>
        </row>
        <row r="2251">
          <cell r="A2251" t="str">
            <v>CH30030</v>
          </cell>
        </row>
        <row r="2252">
          <cell r="A2252" t="str">
            <v>CH30031</v>
          </cell>
        </row>
        <row r="2253">
          <cell r="A2253" t="str">
            <v>CH30032</v>
          </cell>
        </row>
        <row r="2254">
          <cell r="A2254" t="str">
            <v>CH30033</v>
          </cell>
        </row>
        <row r="2255">
          <cell r="A2255" t="str">
            <v>CH30034</v>
          </cell>
        </row>
        <row r="2256">
          <cell r="A2256" t="str">
            <v>CH30035</v>
          </cell>
        </row>
        <row r="2257">
          <cell r="A2257" t="str">
            <v>CH30036</v>
          </cell>
        </row>
        <row r="2258">
          <cell r="A2258" t="str">
            <v>CH30037</v>
          </cell>
        </row>
        <row r="2259">
          <cell r="A2259" t="str">
            <v>CH30038</v>
          </cell>
        </row>
        <row r="2260">
          <cell r="A2260" t="str">
            <v>CH30039</v>
          </cell>
        </row>
        <row r="2261">
          <cell r="A2261" t="str">
            <v>CH30040</v>
          </cell>
        </row>
        <row r="2262">
          <cell r="A2262" t="str">
            <v>CH30041</v>
          </cell>
        </row>
        <row r="2263">
          <cell r="A2263" t="str">
            <v>CH30042</v>
          </cell>
        </row>
        <row r="2264">
          <cell r="A2264" t="str">
            <v>CH30043</v>
          </cell>
        </row>
        <row r="2265">
          <cell r="A2265" t="str">
            <v>CH30044</v>
          </cell>
        </row>
        <row r="2266">
          <cell r="A2266" t="str">
            <v>CH30045</v>
          </cell>
        </row>
        <row r="2267">
          <cell r="A2267" t="str">
            <v>CH30046</v>
          </cell>
        </row>
        <row r="2268">
          <cell r="A2268" t="str">
            <v>CH30047</v>
          </cell>
        </row>
        <row r="2269">
          <cell r="A2269" t="str">
            <v>CH30048</v>
          </cell>
        </row>
        <row r="2270">
          <cell r="A2270" t="str">
            <v>CH30049</v>
          </cell>
        </row>
        <row r="2271">
          <cell r="A2271" t="str">
            <v>CH30050</v>
          </cell>
        </row>
        <row r="2272">
          <cell r="A2272" t="str">
            <v>CH30051</v>
          </cell>
        </row>
        <row r="2273">
          <cell r="A2273" t="str">
            <v>CH30052</v>
          </cell>
        </row>
        <row r="2274">
          <cell r="A2274" t="str">
            <v>CH30053</v>
          </cell>
        </row>
        <row r="2275">
          <cell r="A2275" t="str">
            <v>CH30054</v>
          </cell>
        </row>
        <row r="2276">
          <cell r="A2276" t="str">
            <v>CH30055</v>
          </cell>
        </row>
        <row r="2277">
          <cell r="A2277" t="str">
            <v>CH30056</v>
          </cell>
        </row>
        <row r="2278">
          <cell r="A2278" t="str">
            <v>CH30057</v>
          </cell>
        </row>
        <row r="2279">
          <cell r="A2279" t="str">
            <v>CH30058</v>
          </cell>
        </row>
        <row r="2280">
          <cell r="A2280" t="str">
            <v>CH30059</v>
          </cell>
        </row>
        <row r="2281">
          <cell r="A2281" t="str">
            <v>CH30060</v>
          </cell>
        </row>
        <row r="2282">
          <cell r="A2282" t="str">
            <v>CH33029</v>
          </cell>
        </row>
        <row r="2283">
          <cell r="A2283" t="str">
            <v>CH33030</v>
          </cell>
        </row>
        <row r="2284">
          <cell r="A2284" t="str">
            <v>CH33031</v>
          </cell>
        </row>
        <row r="2285">
          <cell r="A2285" t="str">
            <v>CH33032</v>
          </cell>
        </row>
        <row r="2286">
          <cell r="A2286" t="str">
            <v>CH33033</v>
          </cell>
        </row>
        <row r="2287">
          <cell r="A2287" t="str">
            <v>CH33034</v>
          </cell>
        </row>
        <row r="2288">
          <cell r="A2288" t="str">
            <v>CH33035</v>
          </cell>
        </row>
        <row r="2289">
          <cell r="A2289" t="str">
            <v>CH33036</v>
          </cell>
        </row>
        <row r="2290">
          <cell r="A2290" t="str">
            <v>CH33037</v>
          </cell>
        </row>
        <row r="2291">
          <cell r="A2291" t="str">
            <v>CH33038</v>
          </cell>
        </row>
        <row r="2292">
          <cell r="A2292" t="str">
            <v>CH33039</v>
          </cell>
        </row>
        <row r="2293">
          <cell r="A2293" t="str">
            <v>CH33040</v>
          </cell>
        </row>
        <row r="2294">
          <cell r="A2294" t="str">
            <v>CH33041</v>
          </cell>
        </row>
        <row r="2295">
          <cell r="A2295" t="str">
            <v>CH33042</v>
          </cell>
        </row>
        <row r="2296">
          <cell r="A2296" t="str">
            <v>CH33043</v>
          </cell>
        </row>
        <row r="2297">
          <cell r="A2297" t="str">
            <v>CH33044</v>
          </cell>
        </row>
        <row r="2298">
          <cell r="A2298" t="str">
            <v>CH33045</v>
          </cell>
        </row>
        <row r="2299">
          <cell r="A2299" t="str">
            <v>CH33046</v>
          </cell>
        </row>
        <row r="2300">
          <cell r="A2300" t="str">
            <v>CH33047</v>
          </cell>
        </row>
        <row r="2301">
          <cell r="A2301" t="str">
            <v>CH33048</v>
          </cell>
        </row>
        <row r="2302">
          <cell r="A2302" t="str">
            <v>CH33049</v>
          </cell>
        </row>
        <row r="2303">
          <cell r="A2303" t="str">
            <v>CH33050</v>
          </cell>
        </row>
        <row r="2304">
          <cell r="A2304" t="str">
            <v>CH33051</v>
          </cell>
        </row>
        <row r="2305">
          <cell r="A2305" t="str">
            <v>CH33052</v>
          </cell>
        </row>
        <row r="2306">
          <cell r="A2306" t="str">
            <v>CH33053</v>
          </cell>
        </row>
        <row r="2307">
          <cell r="A2307" t="str">
            <v>CH33054</v>
          </cell>
        </row>
        <row r="2308">
          <cell r="A2308" t="str">
            <v>CH33055</v>
          </cell>
        </row>
        <row r="2309">
          <cell r="A2309" t="str">
            <v>CH33056</v>
          </cell>
        </row>
        <row r="2310">
          <cell r="A2310" t="str">
            <v>CH33057</v>
          </cell>
        </row>
        <row r="2311">
          <cell r="A2311" t="str">
            <v>CH33058</v>
          </cell>
        </row>
        <row r="2312">
          <cell r="A2312" t="str">
            <v>CH33059</v>
          </cell>
        </row>
        <row r="2313">
          <cell r="A2313" t="str">
            <v>CH33060</v>
          </cell>
        </row>
        <row r="2314">
          <cell r="A2314" t="str">
            <v>CH36029</v>
          </cell>
        </row>
        <row r="2315">
          <cell r="A2315" t="str">
            <v>CH36030</v>
          </cell>
        </row>
        <row r="2316">
          <cell r="A2316" t="str">
            <v>CH36031</v>
          </cell>
        </row>
        <row r="2317">
          <cell r="A2317" t="str">
            <v>CH36032</v>
          </cell>
        </row>
        <row r="2318">
          <cell r="A2318" t="str">
            <v>CH36033</v>
          </cell>
        </row>
        <row r="2319">
          <cell r="A2319" t="str">
            <v>CH36034</v>
          </cell>
        </row>
        <row r="2320">
          <cell r="A2320" t="str">
            <v>CH36035</v>
          </cell>
        </row>
        <row r="2321">
          <cell r="A2321" t="str">
            <v>CH36036</v>
          </cell>
        </row>
        <row r="2322">
          <cell r="A2322" t="str">
            <v>CH36037</v>
          </cell>
        </row>
        <row r="2323">
          <cell r="A2323" t="str">
            <v>CH36038</v>
          </cell>
        </row>
        <row r="2324">
          <cell r="A2324" t="str">
            <v>CH36039</v>
          </cell>
        </row>
        <row r="2325">
          <cell r="A2325" t="str">
            <v>CH36040</v>
          </cell>
        </row>
        <row r="2326">
          <cell r="A2326" t="str">
            <v>CH36041</v>
          </cell>
        </row>
        <row r="2327">
          <cell r="A2327" t="str">
            <v>CH36042</v>
          </cell>
        </row>
        <row r="2328">
          <cell r="A2328" t="str">
            <v>CH36043</v>
          </cell>
        </row>
        <row r="2329">
          <cell r="A2329" t="str">
            <v>CH36044</v>
          </cell>
        </row>
        <row r="2330">
          <cell r="A2330" t="str">
            <v>CH36045</v>
          </cell>
        </row>
        <row r="2331">
          <cell r="A2331" t="str">
            <v>CH36046</v>
          </cell>
        </row>
        <row r="2332">
          <cell r="A2332" t="str">
            <v>CH36047</v>
          </cell>
        </row>
        <row r="2333">
          <cell r="A2333" t="str">
            <v>CH36048</v>
          </cell>
        </row>
        <row r="2334">
          <cell r="A2334" t="str">
            <v>CH36049</v>
          </cell>
        </row>
        <row r="2335">
          <cell r="A2335" t="str">
            <v>CH36050</v>
          </cell>
        </row>
        <row r="2336">
          <cell r="A2336" t="str">
            <v>CH36051</v>
          </cell>
        </row>
        <row r="2337">
          <cell r="A2337" t="str">
            <v>CH36052</v>
          </cell>
        </row>
        <row r="2338">
          <cell r="A2338" t="str">
            <v>CH36053</v>
          </cell>
        </row>
        <row r="2339">
          <cell r="A2339" t="str">
            <v>CH36054</v>
          </cell>
        </row>
        <row r="2340">
          <cell r="A2340" t="str">
            <v>CH36055</v>
          </cell>
        </row>
        <row r="2341">
          <cell r="A2341" t="str">
            <v>CH36056</v>
          </cell>
        </row>
        <row r="2342">
          <cell r="A2342" t="str">
            <v>CH36057</v>
          </cell>
        </row>
        <row r="2343">
          <cell r="A2343" t="str">
            <v>CH36058</v>
          </cell>
        </row>
        <row r="2344">
          <cell r="A2344" t="str">
            <v>CH36059</v>
          </cell>
        </row>
        <row r="2345">
          <cell r="A2345" t="str">
            <v>CH36060</v>
          </cell>
        </row>
        <row r="2346">
          <cell r="A2346" t="str">
            <v>CH40029</v>
          </cell>
        </row>
        <row r="2347">
          <cell r="A2347" t="str">
            <v>CH40030</v>
          </cell>
        </row>
        <row r="2348">
          <cell r="A2348" t="str">
            <v>CH40031</v>
          </cell>
        </row>
        <row r="2349">
          <cell r="A2349" t="str">
            <v>CH40032</v>
          </cell>
        </row>
        <row r="2350">
          <cell r="A2350" t="str">
            <v>CH40033</v>
          </cell>
        </row>
        <row r="2351">
          <cell r="A2351" t="str">
            <v>CH40034</v>
          </cell>
        </row>
        <row r="2352">
          <cell r="A2352" t="str">
            <v>CH40035</v>
          </cell>
        </row>
        <row r="2353">
          <cell r="A2353" t="str">
            <v>CH40036</v>
          </cell>
        </row>
        <row r="2354">
          <cell r="A2354" t="str">
            <v>CH40037</v>
          </cell>
        </row>
        <row r="2355">
          <cell r="A2355" t="str">
            <v>CH40038</v>
          </cell>
        </row>
        <row r="2356">
          <cell r="A2356" t="str">
            <v>CH40039</v>
          </cell>
        </row>
        <row r="2357">
          <cell r="A2357" t="str">
            <v>CH40040</v>
          </cell>
        </row>
        <row r="2358">
          <cell r="A2358" t="str">
            <v>CH40041</v>
          </cell>
        </row>
        <row r="2359">
          <cell r="A2359" t="str">
            <v>CH40042</v>
          </cell>
        </row>
        <row r="2360">
          <cell r="A2360" t="str">
            <v>CH40043</v>
          </cell>
        </row>
        <row r="2361">
          <cell r="A2361" t="str">
            <v>CH40044</v>
          </cell>
        </row>
        <row r="2362">
          <cell r="A2362" t="str">
            <v>CH40045</v>
          </cell>
        </row>
        <row r="2363">
          <cell r="A2363" t="str">
            <v>CH40046</v>
          </cell>
        </row>
        <row r="2364">
          <cell r="A2364" t="str">
            <v>CH40047</v>
          </cell>
        </row>
        <row r="2365">
          <cell r="A2365" t="str">
            <v>CH40048</v>
          </cell>
        </row>
        <row r="2366">
          <cell r="A2366" t="str">
            <v>CH40049</v>
          </cell>
        </row>
        <row r="2367">
          <cell r="A2367" t="str">
            <v>CH40050</v>
          </cell>
        </row>
        <row r="2368">
          <cell r="A2368" t="str">
            <v>CH40051</v>
          </cell>
        </row>
        <row r="2369">
          <cell r="A2369" t="str">
            <v>CH40052</v>
          </cell>
        </row>
        <row r="2370">
          <cell r="A2370" t="str">
            <v>CH40053</v>
          </cell>
        </row>
        <row r="2371">
          <cell r="A2371" t="str">
            <v>CH40054</v>
          </cell>
        </row>
        <row r="2372">
          <cell r="A2372" t="str">
            <v>CH40055</v>
          </cell>
        </row>
        <row r="2373">
          <cell r="A2373" t="str">
            <v>CH40056</v>
          </cell>
        </row>
        <row r="2374">
          <cell r="A2374" t="str">
            <v>CH40057</v>
          </cell>
        </row>
        <row r="2375">
          <cell r="A2375" t="str">
            <v>CH40058</v>
          </cell>
        </row>
        <row r="2376">
          <cell r="A2376" t="str">
            <v>CH40059</v>
          </cell>
        </row>
        <row r="2377">
          <cell r="A2377" t="str">
            <v>CH40060</v>
          </cell>
        </row>
        <row r="2378">
          <cell r="A2378" t="str">
            <v>CV06008</v>
          </cell>
        </row>
        <row r="2379">
          <cell r="A2379" t="str">
            <v>CV06009</v>
          </cell>
        </row>
        <row r="2380">
          <cell r="A2380" t="str">
            <v>CV06010</v>
          </cell>
        </row>
        <row r="2381">
          <cell r="A2381" t="str">
            <v>CV06011</v>
          </cell>
        </row>
        <row r="2382">
          <cell r="A2382" t="str">
            <v>CV06012</v>
          </cell>
        </row>
        <row r="2383">
          <cell r="A2383" t="str">
            <v>CV07008</v>
          </cell>
        </row>
        <row r="2384">
          <cell r="A2384" t="str">
            <v>CV07009</v>
          </cell>
        </row>
        <row r="2385">
          <cell r="A2385" t="str">
            <v>CV07010</v>
          </cell>
        </row>
        <row r="2386">
          <cell r="A2386" t="str">
            <v>CV07011</v>
          </cell>
        </row>
        <row r="2387">
          <cell r="A2387" t="str">
            <v>CV07012</v>
          </cell>
        </row>
        <row r="2388">
          <cell r="A2388" t="str">
            <v>CV08008</v>
          </cell>
        </row>
        <row r="2389">
          <cell r="A2389" t="str">
            <v>CV08009</v>
          </cell>
        </row>
        <row r="2390">
          <cell r="A2390" t="str">
            <v>CV08010</v>
          </cell>
        </row>
        <row r="2391">
          <cell r="A2391" t="str">
            <v>CV08011</v>
          </cell>
        </row>
        <row r="2392">
          <cell r="A2392" t="str">
            <v>CV08012</v>
          </cell>
        </row>
        <row r="2393">
          <cell r="A2393" t="str">
            <v>CV08013</v>
          </cell>
        </row>
        <row r="2394">
          <cell r="A2394" t="str">
            <v>CV08014</v>
          </cell>
        </row>
        <row r="2395">
          <cell r="A2395" t="str">
            <v>CV08015</v>
          </cell>
        </row>
        <row r="2396">
          <cell r="A2396" t="str">
            <v>CV08016</v>
          </cell>
        </row>
        <row r="2397">
          <cell r="A2397" t="str">
            <v>CV08017</v>
          </cell>
        </row>
        <row r="2398">
          <cell r="A2398" t="str">
            <v>CV08018</v>
          </cell>
        </row>
        <row r="2399">
          <cell r="A2399" t="str">
            <v>CV08019</v>
          </cell>
        </row>
        <row r="2400">
          <cell r="A2400" t="str">
            <v>CV08020</v>
          </cell>
        </row>
        <row r="2401">
          <cell r="A2401" t="str">
            <v>CV08021</v>
          </cell>
        </row>
        <row r="2402">
          <cell r="A2402" t="str">
            <v>CV08022</v>
          </cell>
        </row>
        <row r="2403">
          <cell r="A2403" t="str">
            <v>CV08023</v>
          </cell>
        </row>
        <row r="2404">
          <cell r="A2404" t="str">
            <v>CV08024</v>
          </cell>
        </row>
        <row r="2405">
          <cell r="A2405" t="str">
            <v>CV08025</v>
          </cell>
        </row>
        <row r="2406">
          <cell r="A2406" t="str">
            <v>CV08026</v>
          </cell>
        </row>
        <row r="2407">
          <cell r="A2407" t="str">
            <v>CV08027</v>
          </cell>
        </row>
        <row r="2408">
          <cell r="A2408" t="str">
            <v>CV08028</v>
          </cell>
        </row>
        <row r="2409">
          <cell r="A2409" t="str">
            <v>CV09008</v>
          </cell>
        </row>
        <row r="2410">
          <cell r="A2410" t="str">
            <v>CV09009</v>
          </cell>
        </row>
        <row r="2411">
          <cell r="A2411" t="str">
            <v>CV09010</v>
          </cell>
        </row>
        <row r="2412">
          <cell r="A2412" t="str">
            <v>CV09011</v>
          </cell>
        </row>
        <row r="2413">
          <cell r="A2413" t="str">
            <v>CV09012</v>
          </cell>
        </row>
        <row r="2414">
          <cell r="A2414" t="str">
            <v>CV09013</v>
          </cell>
        </row>
        <row r="2415">
          <cell r="A2415" t="str">
            <v>CV09014</v>
          </cell>
        </row>
        <row r="2416">
          <cell r="A2416" t="str">
            <v>CV09015</v>
          </cell>
        </row>
        <row r="2417">
          <cell r="A2417" t="str">
            <v>CV09016</v>
          </cell>
        </row>
        <row r="2418">
          <cell r="A2418" t="str">
            <v>CV09017</v>
          </cell>
        </row>
        <row r="2419">
          <cell r="A2419" t="str">
            <v>CV09018</v>
          </cell>
        </row>
        <row r="2420">
          <cell r="A2420" t="str">
            <v>CV09019</v>
          </cell>
        </row>
        <row r="2421">
          <cell r="A2421" t="str">
            <v>CV09020</v>
          </cell>
        </row>
        <row r="2422">
          <cell r="A2422" t="str">
            <v>CV09021</v>
          </cell>
        </row>
        <row r="2423">
          <cell r="A2423" t="str">
            <v>CV09022</v>
          </cell>
        </row>
        <row r="2424">
          <cell r="A2424" t="str">
            <v>CV09023</v>
          </cell>
        </row>
        <row r="2425">
          <cell r="A2425" t="str">
            <v>CV09024</v>
          </cell>
        </row>
        <row r="2426">
          <cell r="A2426" t="str">
            <v>CV09025</v>
          </cell>
        </row>
        <row r="2427">
          <cell r="A2427" t="str">
            <v>CV09026</v>
          </cell>
        </row>
        <row r="2428">
          <cell r="A2428" t="str">
            <v>CV09027</v>
          </cell>
        </row>
        <row r="2429">
          <cell r="A2429" t="str">
            <v>CV09028</v>
          </cell>
        </row>
        <row r="2430">
          <cell r="A2430" t="str">
            <v>CV10008</v>
          </cell>
        </row>
        <row r="2431">
          <cell r="A2431" t="str">
            <v>CV10009</v>
          </cell>
        </row>
        <row r="2432">
          <cell r="A2432" t="str">
            <v>CV10010</v>
          </cell>
        </row>
        <row r="2433">
          <cell r="A2433" t="str">
            <v>CV10011</v>
          </cell>
        </row>
        <row r="2434">
          <cell r="A2434" t="str">
            <v>CV10012</v>
          </cell>
        </row>
        <row r="2435">
          <cell r="A2435" t="str">
            <v>CV10013</v>
          </cell>
        </row>
        <row r="2436">
          <cell r="A2436" t="str">
            <v>CV10014</v>
          </cell>
        </row>
        <row r="2437">
          <cell r="A2437" t="str">
            <v>CV10015</v>
          </cell>
        </row>
        <row r="2438">
          <cell r="A2438" t="str">
            <v>CV10016</v>
          </cell>
        </row>
        <row r="2439">
          <cell r="A2439" t="str">
            <v>CV10017</v>
          </cell>
        </row>
        <row r="2440">
          <cell r="A2440" t="str">
            <v>CV10018</v>
          </cell>
        </row>
        <row r="2441">
          <cell r="A2441" t="str">
            <v>CV10019</v>
          </cell>
        </row>
        <row r="2442">
          <cell r="A2442" t="str">
            <v>CV10020</v>
          </cell>
        </row>
        <row r="2443">
          <cell r="A2443" t="str">
            <v>CV10021</v>
          </cell>
        </row>
        <row r="2444">
          <cell r="A2444" t="str">
            <v>CV10022</v>
          </cell>
        </row>
        <row r="2445">
          <cell r="A2445" t="str">
            <v>CV10023</v>
          </cell>
        </row>
        <row r="2446">
          <cell r="A2446" t="str">
            <v>CV10024</v>
          </cell>
        </row>
        <row r="2447">
          <cell r="A2447" t="str">
            <v>CV10025</v>
          </cell>
        </row>
        <row r="2448">
          <cell r="A2448" t="str">
            <v>CV10026</v>
          </cell>
        </row>
        <row r="2449">
          <cell r="A2449" t="str">
            <v>CV10027</v>
          </cell>
        </row>
        <row r="2450">
          <cell r="A2450" t="str">
            <v>CV10028</v>
          </cell>
        </row>
        <row r="2451">
          <cell r="A2451" t="str">
            <v>CV11008</v>
          </cell>
        </row>
        <row r="2452">
          <cell r="A2452" t="str">
            <v>CV11009</v>
          </cell>
        </row>
        <row r="2453">
          <cell r="A2453" t="str">
            <v>CV11010</v>
          </cell>
        </row>
        <row r="2454">
          <cell r="A2454" t="str">
            <v>CV11011</v>
          </cell>
        </row>
        <row r="2455">
          <cell r="A2455" t="str">
            <v>CV11012</v>
          </cell>
        </row>
        <row r="2456">
          <cell r="A2456" t="str">
            <v>CV11013</v>
          </cell>
        </row>
        <row r="2457">
          <cell r="A2457" t="str">
            <v>CV11014</v>
          </cell>
        </row>
        <row r="2458">
          <cell r="A2458" t="str">
            <v>CV11015</v>
          </cell>
        </row>
        <row r="2459">
          <cell r="A2459" t="str">
            <v>CV11016</v>
          </cell>
        </row>
        <row r="2460">
          <cell r="A2460" t="str">
            <v>CV11017</v>
          </cell>
        </row>
        <row r="2461">
          <cell r="A2461" t="str">
            <v>CV11018</v>
          </cell>
        </row>
        <row r="2462">
          <cell r="A2462" t="str">
            <v>CV11019</v>
          </cell>
        </row>
        <row r="2463">
          <cell r="A2463" t="str">
            <v>CV11020</v>
          </cell>
        </row>
        <row r="2464">
          <cell r="A2464" t="str">
            <v>CV11021</v>
          </cell>
        </row>
        <row r="2465">
          <cell r="A2465" t="str">
            <v>CV11022</v>
          </cell>
        </row>
        <row r="2466">
          <cell r="A2466" t="str">
            <v>CV11023</v>
          </cell>
        </row>
        <row r="2467">
          <cell r="A2467" t="str">
            <v>CV11024</v>
          </cell>
        </row>
        <row r="2468">
          <cell r="A2468" t="str">
            <v>CV11025</v>
          </cell>
        </row>
        <row r="2469">
          <cell r="A2469" t="str">
            <v>CV11026</v>
          </cell>
        </row>
        <row r="2470">
          <cell r="A2470" t="str">
            <v>CV11027</v>
          </cell>
        </row>
        <row r="2471">
          <cell r="A2471" t="str">
            <v>CV11028</v>
          </cell>
        </row>
        <row r="2472">
          <cell r="A2472" t="str">
            <v>CV11029</v>
          </cell>
        </row>
        <row r="2473">
          <cell r="A2473" t="str">
            <v>CV11030</v>
          </cell>
        </row>
        <row r="2474">
          <cell r="A2474" t="str">
            <v>CV11031</v>
          </cell>
        </row>
        <row r="2475">
          <cell r="A2475" t="str">
            <v>CV11032</v>
          </cell>
        </row>
        <row r="2476">
          <cell r="A2476" t="str">
            <v>CV11033</v>
          </cell>
        </row>
        <row r="2477">
          <cell r="A2477" t="str">
            <v>CV11034</v>
          </cell>
        </row>
        <row r="2478">
          <cell r="A2478" t="str">
            <v>CV11035</v>
          </cell>
        </row>
        <row r="2479">
          <cell r="A2479" t="str">
            <v>CV11036</v>
          </cell>
        </row>
        <row r="2480">
          <cell r="A2480" t="str">
            <v>CV12008</v>
          </cell>
        </row>
        <row r="2481">
          <cell r="A2481" t="str">
            <v>CV12009</v>
          </cell>
        </row>
        <row r="2482">
          <cell r="A2482" t="str">
            <v>CV12010</v>
          </cell>
        </row>
        <row r="2483">
          <cell r="A2483" t="str">
            <v>CV12011</v>
          </cell>
        </row>
        <row r="2484">
          <cell r="A2484" t="str">
            <v>CV12012</v>
          </cell>
        </row>
        <row r="2485">
          <cell r="A2485" t="str">
            <v>CV12013</v>
          </cell>
        </row>
        <row r="2486">
          <cell r="A2486" t="str">
            <v>CV12014</v>
          </cell>
        </row>
        <row r="2487">
          <cell r="A2487" t="str">
            <v>CV12015</v>
          </cell>
        </row>
        <row r="2488">
          <cell r="A2488" t="str">
            <v>CV12016</v>
          </cell>
        </row>
        <row r="2489">
          <cell r="A2489" t="str">
            <v>CV12017</v>
          </cell>
        </row>
        <row r="2490">
          <cell r="A2490" t="str">
            <v>CV12018</v>
          </cell>
        </row>
        <row r="2491">
          <cell r="A2491" t="str">
            <v>CV12019</v>
          </cell>
        </row>
        <row r="2492">
          <cell r="A2492" t="str">
            <v>CV12020</v>
          </cell>
        </row>
        <row r="2493">
          <cell r="A2493" t="str">
            <v>CV12021</v>
          </cell>
        </row>
        <row r="2494">
          <cell r="A2494" t="str">
            <v>CV12022</v>
          </cell>
        </row>
        <row r="2495">
          <cell r="A2495" t="str">
            <v>CV12023</v>
          </cell>
        </row>
        <row r="2496">
          <cell r="A2496" t="str">
            <v>CV12024</v>
          </cell>
        </row>
        <row r="2497">
          <cell r="A2497" t="str">
            <v>CV12025</v>
          </cell>
        </row>
        <row r="2498">
          <cell r="A2498" t="str">
            <v>CV12026</v>
          </cell>
        </row>
        <row r="2499">
          <cell r="A2499" t="str">
            <v>CV12027</v>
          </cell>
        </row>
        <row r="2500">
          <cell r="A2500" t="str">
            <v>CV12028</v>
          </cell>
        </row>
        <row r="2501">
          <cell r="A2501" t="str">
            <v>CV12029</v>
          </cell>
        </row>
        <row r="2502">
          <cell r="A2502" t="str">
            <v>CV12030</v>
          </cell>
        </row>
        <row r="2503">
          <cell r="A2503" t="str">
            <v>CV12031</v>
          </cell>
        </row>
        <row r="2504">
          <cell r="A2504" t="str">
            <v>CV12032</v>
          </cell>
        </row>
        <row r="2505">
          <cell r="A2505" t="str">
            <v>CV12033</v>
          </cell>
        </row>
        <row r="2506">
          <cell r="A2506" t="str">
            <v>CV12034</v>
          </cell>
        </row>
        <row r="2507">
          <cell r="A2507" t="str">
            <v>CV12035</v>
          </cell>
        </row>
        <row r="2508">
          <cell r="A2508" t="str">
            <v>CV12036</v>
          </cell>
        </row>
        <row r="2509">
          <cell r="A2509" t="str">
            <v>CV13008</v>
          </cell>
        </row>
        <row r="2510">
          <cell r="A2510" t="str">
            <v>CV13009</v>
          </cell>
        </row>
        <row r="2511">
          <cell r="A2511" t="str">
            <v>CV13010</v>
          </cell>
        </row>
        <row r="2512">
          <cell r="A2512" t="str">
            <v>CV13011</v>
          </cell>
        </row>
        <row r="2513">
          <cell r="A2513" t="str">
            <v>CV13012</v>
          </cell>
        </row>
        <row r="2514">
          <cell r="A2514" t="str">
            <v>CV13013</v>
          </cell>
        </row>
        <row r="2515">
          <cell r="A2515" t="str">
            <v>CV13014</v>
          </cell>
        </row>
        <row r="2516">
          <cell r="A2516" t="str">
            <v>CV13015</v>
          </cell>
        </row>
        <row r="2517">
          <cell r="A2517" t="str">
            <v>CV13016</v>
          </cell>
        </row>
        <row r="2518">
          <cell r="A2518" t="str">
            <v>CV13017</v>
          </cell>
        </row>
        <row r="2519">
          <cell r="A2519" t="str">
            <v>CV13018</v>
          </cell>
        </row>
        <row r="2520">
          <cell r="A2520" t="str">
            <v>CV13019</v>
          </cell>
        </row>
        <row r="2521">
          <cell r="A2521" t="str">
            <v>CV13020</v>
          </cell>
        </row>
        <row r="2522">
          <cell r="A2522" t="str">
            <v>CV13021</v>
          </cell>
        </row>
        <row r="2523">
          <cell r="A2523" t="str">
            <v>CV13022</v>
          </cell>
        </row>
        <row r="2524">
          <cell r="A2524" t="str">
            <v>CV13023</v>
          </cell>
        </row>
        <row r="2525">
          <cell r="A2525" t="str">
            <v>CV13024</v>
          </cell>
        </row>
        <row r="2526">
          <cell r="A2526" t="str">
            <v>CV13025</v>
          </cell>
        </row>
        <row r="2527">
          <cell r="A2527" t="str">
            <v>CV13026</v>
          </cell>
        </row>
        <row r="2528">
          <cell r="A2528" t="str">
            <v>CV13027</v>
          </cell>
        </row>
        <row r="2529">
          <cell r="A2529" t="str">
            <v>CV13028</v>
          </cell>
        </row>
        <row r="2530">
          <cell r="A2530" t="str">
            <v>CV13029</v>
          </cell>
        </row>
        <row r="2531">
          <cell r="A2531" t="str">
            <v>CV13030</v>
          </cell>
        </row>
        <row r="2532">
          <cell r="A2532" t="str">
            <v>CV13031</v>
          </cell>
        </row>
        <row r="2533">
          <cell r="A2533" t="str">
            <v>CV13032</v>
          </cell>
        </row>
        <row r="2534">
          <cell r="A2534" t="str">
            <v>CV13033</v>
          </cell>
        </row>
        <row r="2535">
          <cell r="A2535" t="str">
            <v>CV13034</v>
          </cell>
        </row>
        <row r="2536">
          <cell r="A2536" t="str">
            <v>CV13035</v>
          </cell>
        </row>
        <row r="2537">
          <cell r="A2537" t="str">
            <v>CV13036</v>
          </cell>
        </row>
        <row r="2538">
          <cell r="A2538" t="str">
            <v>CV14013</v>
          </cell>
        </row>
        <row r="2539">
          <cell r="A2539" t="str">
            <v>CV14014</v>
          </cell>
        </row>
        <row r="2540">
          <cell r="A2540" t="str">
            <v>CV14015</v>
          </cell>
        </row>
        <row r="2541">
          <cell r="A2541" t="str">
            <v>CV14016</v>
          </cell>
        </row>
        <row r="2542">
          <cell r="A2542" t="str">
            <v>CV14017</v>
          </cell>
        </row>
        <row r="2543">
          <cell r="A2543" t="str">
            <v>CV14018</v>
          </cell>
        </row>
        <row r="2544">
          <cell r="A2544" t="str">
            <v>CV14019</v>
          </cell>
        </row>
        <row r="2545">
          <cell r="A2545" t="str">
            <v>CV14020</v>
          </cell>
        </row>
        <row r="2546">
          <cell r="A2546" t="str">
            <v>CV14021</v>
          </cell>
        </row>
        <row r="2547">
          <cell r="A2547" t="str">
            <v>CV14022</v>
          </cell>
        </row>
        <row r="2548">
          <cell r="A2548" t="str">
            <v>CV14023</v>
          </cell>
        </row>
        <row r="2549">
          <cell r="A2549" t="str">
            <v>CV14024</v>
          </cell>
        </row>
        <row r="2550">
          <cell r="A2550" t="str">
            <v>CV14025</v>
          </cell>
        </row>
        <row r="2551">
          <cell r="A2551" t="str">
            <v>CV14026</v>
          </cell>
        </row>
        <row r="2552">
          <cell r="A2552" t="str">
            <v>CV14027</v>
          </cell>
        </row>
        <row r="2553">
          <cell r="A2553" t="str">
            <v>CV14028</v>
          </cell>
        </row>
        <row r="2554">
          <cell r="A2554" t="str">
            <v>CV14029</v>
          </cell>
        </row>
        <row r="2555">
          <cell r="A2555" t="str">
            <v>CV14030</v>
          </cell>
        </row>
        <row r="2556">
          <cell r="A2556" t="str">
            <v>CV14031</v>
          </cell>
        </row>
        <row r="2557">
          <cell r="A2557" t="str">
            <v>CV14032</v>
          </cell>
        </row>
        <row r="2558">
          <cell r="A2558" t="str">
            <v>CV14033</v>
          </cell>
        </row>
        <row r="2559">
          <cell r="A2559" t="str">
            <v>CV14034</v>
          </cell>
        </row>
        <row r="2560">
          <cell r="A2560" t="str">
            <v>CV14035</v>
          </cell>
        </row>
        <row r="2561">
          <cell r="A2561" t="str">
            <v>CV14036</v>
          </cell>
        </row>
        <row r="2562">
          <cell r="A2562" t="str">
            <v>CV14037</v>
          </cell>
        </row>
        <row r="2563">
          <cell r="A2563" t="str">
            <v>CV14038</v>
          </cell>
        </row>
        <row r="2564">
          <cell r="A2564" t="str">
            <v>CV14039</v>
          </cell>
        </row>
        <row r="2565">
          <cell r="A2565" t="str">
            <v>CV14040</v>
          </cell>
        </row>
        <row r="2566">
          <cell r="A2566" t="str">
            <v>CV14041</v>
          </cell>
        </row>
        <row r="2567">
          <cell r="A2567" t="str">
            <v>CV14042</v>
          </cell>
        </row>
        <row r="2568">
          <cell r="A2568" t="str">
            <v>CV14043</v>
          </cell>
        </row>
        <row r="2569">
          <cell r="A2569" t="str">
            <v>CV14044</v>
          </cell>
        </row>
        <row r="2570">
          <cell r="A2570" t="str">
            <v>CV14045</v>
          </cell>
        </row>
        <row r="2571">
          <cell r="A2571" t="str">
            <v>CV14046</v>
          </cell>
        </row>
        <row r="2572">
          <cell r="A2572" t="str">
            <v>CV15013</v>
          </cell>
        </row>
        <row r="2573">
          <cell r="A2573" t="str">
            <v>CV15014</v>
          </cell>
        </row>
        <row r="2574">
          <cell r="A2574" t="str">
            <v>CV15015</v>
          </cell>
        </row>
        <row r="2575">
          <cell r="A2575" t="str">
            <v>CV15016</v>
          </cell>
        </row>
        <row r="2576">
          <cell r="A2576" t="str">
            <v>CV15017</v>
          </cell>
        </row>
        <row r="2577">
          <cell r="A2577" t="str">
            <v>CV15018</v>
          </cell>
        </row>
        <row r="2578">
          <cell r="A2578" t="str">
            <v>CV15019</v>
          </cell>
        </row>
        <row r="2579">
          <cell r="A2579" t="str">
            <v>CV15020</v>
          </cell>
        </row>
        <row r="2580">
          <cell r="A2580" t="str">
            <v>CV15021</v>
          </cell>
        </row>
        <row r="2581">
          <cell r="A2581" t="str">
            <v>CV15022</v>
          </cell>
        </row>
        <row r="2582">
          <cell r="A2582" t="str">
            <v>CV15023</v>
          </cell>
        </row>
        <row r="2583">
          <cell r="A2583" t="str">
            <v>CV15024</v>
          </cell>
        </row>
        <row r="2584">
          <cell r="A2584" t="str">
            <v>CV15025</v>
          </cell>
        </row>
        <row r="2585">
          <cell r="A2585" t="str">
            <v>CV15026</v>
          </cell>
        </row>
        <row r="2586">
          <cell r="A2586" t="str">
            <v>CV15027</v>
          </cell>
        </row>
        <row r="2587">
          <cell r="A2587" t="str">
            <v>CV15028</v>
          </cell>
        </row>
        <row r="2588">
          <cell r="A2588" t="str">
            <v>CV15029</v>
          </cell>
        </row>
        <row r="2589">
          <cell r="A2589" t="str">
            <v>CV15030</v>
          </cell>
        </row>
        <row r="2590">
          <cell r="A2590" t="str">
            <v>CV15031</v>
          </cell>
        </row>
        <row r="2591">
          <cell r="A2591" t="str">
            <v>CV15032</v>
          </cell>
        </row>
        <row r="2592">
          <cell r="A2592" t="str">
            <v>CV15033</v>
          </cell>
        </row>
        <row r="2593">
          <cell r="A2593" t="str">
            <v>CV15034</v>
          </cell>
        </row>
        <row r="2594">
          <cell r="A2594" t="str">
            <v>CV15035</v>
          </cell>
        </row>
        <row r="2595">
          <cell r="A2595" t="str">
            <v>CV15036</v>
          </cell>
        </row>
        <row r="2596">
          <cell r="A2596" t="str">
            <v>CV15037</v>
          </cell>
        </row>
        <row r="2597">
          <cell r="A2597" t="str">
            <v>CV15038</v>
          </cell>
        </row>
        <row r="2598">
          <cell r="A2598" t="str">
            <v>CV15039</v>
          </cell>
        </row>
        <row r="2599">
          <cell r="A2599" t="str">
            <v>CV15040</v>
          </cell>
        </row>
        <row r="2600">
          <cell r="A2600" t="str">
            <v>CV15041</v>
          </cell>
        </row>
        <row r="2601">
          <cell r="A2601" t="str">
            <v>CV15042</v>
          </cell>
        </row>
        <row r="2602">
          <cell r="A2602" t="str">
            <v>CV15043</v>
          </cell>
        </row>
        <row r="2603">
          <cell r="A2603" t="str">
            <v>CV15044</v>
          </cell>
        </row>
        <row r="2604">
          <cell r="A2604" t="str">
            <v>CV15045</v>
          </cell>
        </row>
        <row r="2605">
          <cell r="A2605" t="str">
            <v>CV15046</v>
          </cell>
        </row>
        <row r="2606">
          <cell r="A2606" t="str">
            <v>CV15047</v>
          </cell>
        </row>
        <row r="2607">
          <cell r="A2607" t="str">
            <v>CV15048</v>
          </cell>
        </row>
        <row r="2608">
          <cell r="A2608" t="str">
            <v>CV15049</v>
          </cell>
        </row>
        <row r="2609">
          <cell r="A2609" t="str">
            <v>CV15050</v>
          </cell>
        </row>
        <row r="2610">
          <cell r="A2610" t="str">
            <v>CV15051</v>
          </cell>
        </row>
        <row r="2611">
          <cell r="A2611" t="str">
            <v>CV15052</v>
          </cell>
        </row>
        <row r="2612">
          <cell r="A2612" t="str">
            <v>CV15053</v>
          </cell>
        </row>
        <row r="2613">
          <cell r="A2613" t="str">
            <v>CV15054</v>
          </cell>
        </row>
        <row r="2614">
          <cell r="A2614" t="str">
            <v>CV15055</v>
          </cell>
        </row>
        <row r="2615">
          <cell r="A2615" t="str">
            <v>CV15056</v>
          </cell>
        </row>
        <row r="2616">
          <cell r="A2616" t="str">
            <v>CV15057</v>
          </cell>
        </row>
        <row r="2617">
          <cell r="A2617" t="str">
            <v>CV15058</v>
          </cell>
        </row>
        <row r="2618">
          <cell r="A2618" t="str">
            <v>CV15059</v>
          </cell>
        </row>
        <row r="2619">
          <cell r="A2619" t="str">
            <v>CV15060</v>
          </cell>
        </row>
        <row r="2620">
          <cell r="A2620" t="str">
            <v>CV16029</v>
          </cell>
        </row>
        <row r="2621">
          <cell r="A2621" t="str">
            <v>CV16030</v>
          </cell>
        </row>
        <row r="2622">
          <cell r="A2622" t="str">
            <v>CV16031</v>
          </cell>
        </row>
        <row r="2623">
          <cell r="A2623" t="str">
            <v>CV16032</v>
          </cell>
        </row>
        <row r="2624">
          <cell r="A2624" t="str">
            <v>CV16033</v>
          </cell>
        </row>
        <row r="2625">
          <cell r="A2625" t="str">
            <v>CV16034</v>
          </cell>
        </row>
        <row r="2626">
          <cell r="A2626" t="str">
            <v>CV16035</v>
          </cell>
        </row>
        <row r="2627">
          <cell r="A2627" t="str">
            <v>CV16036</v>
          </cell>
        </row>
        <row r="2628">
          <cell r="A2628" t="str">
            <v>CV16037</v>
          </cell>
        </row>
        <row r="2629">
          <cell r="A2629" t="str">
            <v>CV16038</v>
          </cell>
        </row>
        <row r="2630">
          <cell r="A2630" t="str">
            <v>CV16039</v>
          </cell>
        </row>
        <row r="2631">
          <cell r="A2631" t="str">
            <v>CV16040</v>
          </cell>
        </row>
        <row r="2632">
          <cell r="A2632" t="str">
            <v>CV16041</v>
          </cell>
        </row>
        <row r="2633">
          <cell r="A2633" t="str">
            <v>CV16042</v>
          </cell>
        </row>
        <row r="2634">
          <cell r="A2634" t="str">
            <v>CV16043</v>
          </cell>
        </row>
        <row r="2635">
          <cell r="A2635" t="str">
            <v>CV16044</v>
          </cell>
        </row>
        <row r="2636">
          <cell r="A2636" t="str">
            <v>CV16045</v>
          </cell>
        </row>
        <row r="2637">
          <cell r="A2637" t="str">
            <v>CV16046</v>
          </cell>
        </row>
        <row r="2638">
          <cell r="A2638" t="str">
            <v>CV16047</v>
          </cell>
        </row>
        <row r="2639">
          <cell r="A2639" t="str">
            <v>CV16048</v>
          </cell>
        </row>
        <row r="2640">
          <cell r="A2640" t="str">
            <v>CV16049</v>
          </cell>
        </row>
        <row r="2641">
          <cell r="A2641" t="str">
            <v>CV16050</v>
          </cell>
        </row>
        <row r="2642">
          <cell r="A2642" t="str">
            <v>CV16051</v>
          </cell>
        </row>
        <row r="2643">
          <cell r="A2643" t="str">
            <v>CV16052</v>
          </cell>
        </row>
        <row r="2644">
          <cell r="A2644" t="str">
            <v>CV16053</v>
          </cell>
        </row>
        <row r="2645">
          <cell r="A2645" t="str">
            <v>CV16054</v>
          </cell>
        </row>
        <row r="2646">
          <cell r="A2646" t="str">
            <v>CV16055</v>
          </cell>
        </row>
        <row r="2647">
          <cell r="A2647" t="str">
            <v>CV16056</v>
          </cell>
        </row>
        <row r="2648">
          <cell r="A2648" t="str">
            <v>CV16057</v>
          </cell>
        </row>
        <row r="2649">
          <cell r="A2649" t="str">
            <v>CV16058</v>
          </cell>
        </row>
        <row r="2650">
          <cell r="A2650" t="str">
            <v>CV16059</v>
          </cell>
        </row>
        <row r="2651">
          <cell r="A2651" t="str">
            <v>CV16060</v>
          </cell>
        </row>
        <row r="2652">
          <cell r="A2652" t="str">
            <v>CV16061</v>
          </cell>
        </row>
        <row r="2653">
          <cell r="A2653" t="str">
            <v>CV16062</v>
          </cell>
        </row>
        <row r="2654">
          <cell r="A2654" t="str">
            <v>CV16063</v>
          </cell>
        </row>
        <row r="2655">
          <cell r="A2655" t="str">
            <v>CV16064</v>
          </cell>
        </row>
        <row r="2656">
          <cell r="A2656" t="str">
            <v>CV17029</v>
          </cell>
        </row>
        <row r="2657">
          <cell r="A2657" t="str">
            <v>CV17030</v>
          </cell>
        </row>
        <row r="2658">
          <cell r="A2658" t="str">
            <v>CV17031</v>
          </cell>
        </row>
        <row r="2659">
          <cell r="A2659" t="str">
            <v>CV17032</v>
          </cell>
        </row>
        <row r="2660">
          <cell r="A2660" t="str">
            <v>CV17033</v>
          </cell>
        </row>
        <row r="2661">
          <cell r="A2661" t="str">
            <v>CV17034</v>
          </cell>
        </row>
        <row r="2662">
          <cell r="A2662" t="str">
            <v>CV17035</v>
          </cell>
        </row>
        <row r="2663">
          <cell r="A2663" t="str">
            <v>CV17036</v>
          </cell>
        </row>
        <row r="2664">
          <cell r="A2664" t="str">
            <v>CV17037</v>
          </cell>
        </row>
        <row r="2665">
          <cell r="A2665" t="str">
            <v>CV17038</v>
          </cell>
        </row>
        <row r="2666">
          <cell r="A2666" t="str">
            <v>CV17039</v>
          </cell>
        </row>
        <row r="2667">
          <cell r="A2667" t="str">
            <v>CV17040</v>
          </cell>
        </row>
        <row r="2668">
          <cell r="A2668" t="str">
            <v>CV17041</v>
          </cell>
        </row>
        <row r="2669">
          <cell r="A2669" t="str">
            <v>CV17042</v>
          </cell>
        </row>
        <row r="2670">
          <cell r="A2670" t="str">
            <v>CV17043</v>
          </cell>
        </row>
        <row r="2671">
          <cell r="A2671" t="str">
            <v>CV17044</v>
          </cell>
        </row>
        <row r="2672">
          <cell r="A2672" t="str">
            <v>CV17045</v>
          </cell>
        </row>
        <row r="2673">
          <cell r="A2673" t="str">
            <v>CV17046</v>
          </cell>
        </row>
        <row r="2674">
          <cell r="A2674" t="str">
            <v>CV17047</v>
          </cell>
        </row>
        <row r="2675">
          <cell r="A2675" t="str">
            <v>CV17048</v>
          </cell>
        </row>
        <row r="2676">
          <cell r="A2676" t="str">
            <v>CV17049</v>
          </cell>
        </row>
        <row r="2677">
          <cell r="A2677" t="str">
            <v>CV17050</v>
          </cell>
        </row>
        <row r="2678">
          <cell r="A2678" t="str">
            <v>CV17051</v>
          </cell>
        </row>
        <row r="2679">
          <cell r="A2679" t="str">
            <v>CV17052</v>
          </cell>
        </row>
        <row r="2680">
          <cell r="A2680" t="str">
            <v>CV17053</v>
          </cell>
        </row>
        <row r="2681">
          <cell r="A2681" t="str">
            <v>CV17054</v>
          </cell>
        </row>
        <row r="2682">
          <cell r="A2682" t="str">
            <v>CV17055</v>
          </cell>
        </row>
        <row r="2683">
          <cell r="A2683" t="str">
            <v>CV17056</v>
          </cell>
        </row>
        <row r="2684">
          <cell r="A2684" t="str">
            <v>CV17057</v>
          </cell>
        </row>
        <row r="2685">
          <cell r="A2685" t="str">
            <v>CV17058</v>
          </cell>
        </row>
        <row r="2686">
          <cell r="A2686" t="str">
            <v>CV17059</v>
          </cell>
        </row>
        <row r="2687">
          <cell r="A2687" t="str">
            <v>CV17060</v>
          </cell>
        </row>
        <row r="2688">
          <cell r="A2688" t="str">
            <v>CV17061</v>
          </cell>
        </row>
        <row r="2689">
          <cell r="A2689" t="str">
            <v>CV17062</v>
          </cell>
        </row>
        <row r="2690">
          <cell r="A2690" t="str">
            <v>CV17063</v>
          </cell>
        </row>
        <row r="2691">
          <cell r="A2691" t="str">
            <v>CV17064</v>
          </cell>
        </row>
        <row r="2692">
          <cell r="A2692" t="str">
            <v>CV18029</v>
          </cell>
        </row>
        <row r="2693">
          <cell r="A2693" t="str">
            <v>CV18030</v>
          </cell>
        </row>
        <row r="2694">
          <cell r="A2694" t="str">
            <v>CV18031</v>
          </cell>
        </row>
        <row r="2695">
          <cell r="A2695" t="str">
            <v>CV18032</v>
          </cell>
        </row>
        <row r="2696">
          <cell r="A2696" t="str">
            <v>CV18033</v>
          </cell>
        </row>
        <row r="2697">
          <cell r="A2697" t="str">
            <v>CV18034</v>
          </cell>
        </row>
        <row r="2698">
          <cell r="A2698" t="str">
            <v>CV18035</v>
          </cell>
        </row>
        <row r="2699">
          <cell r="A2699" t="str">
            <v>CV18036</v>
          </cell>
        </row>
        <row r="2700">
          <cell r="A2700" t="str">
            <v>CV18037</v>
          </cell>
        </row>
        <row r="2701">
          <cell r="A2701" t="str">
            <v>CV18038</v>
          </cell>
        </row>
        <row r="2702">
          <cell r="A2702" t="str">
            <v>CV18039</v>
          </cell>
        </row>
        <row r="2703">
          <cell r="A2703" t="str">
            <v>CV18040</v>
          </cell>
        </row>
        <row r="2704">
          <cell r="A2704" t="str">
            <v>CV18041</v>
          </cell>
        </row>
        <row r="2705">
          <cell r="A2705" t="str">
            <v>CV18042</v>
          </cell>
        </row>
        <row r="2706">
          <cell r="A2706" t="str">
            <v>CV18043</v>
          </cell>
        </row>
        <row r="2707">
          <cell r="A2707" t="str">
            <v>CV18044</v>
          </cell>
        </row>
        <row r="2708">
          <cell r="A2708" t="str">
            <v>CV18045</v>
          </cell>
        </row>
        <row r="2709">
          <cell r="A2709" t="str">
            <v>CV18046</v>
          </cell>
        </row>
        <row r="2710">
          <cell r="A2710" t="str">
            <v>CV18047</v>
          </cell>
        </row>
        <row r="2711">
          <cell r="A2711" t="str">
            <v>CV18048</v>
          </cell>
        </row>
        <row r="2712">
          <cell r="A2712" t="str">
            <v>CV18049</v>
          </cell>
        </row>
        <row r="2713">
          <cell r="A2713" t="str">
            <v>CV18050</v>
          </cell>
        </row>
        <row r="2714">
          <cell r="A2714" t="str">
            <v>CV18051</v>
          </cell>
        </row>
        <row r="2715">
          <cell r="A2715" t="str">
            <v>CV18052</v>
          </cell>
        </row>
        <row r="2716">
          <cell r="A2716" t="str">
            <v>CV18053</v>
          </cell>
        </row>
        <row r="2717">
          <cell r="A2717" t="str">
            <v>CV18054</v>
          </cell>
        </row>
        <row r="2718">
          <cell r="A2718" t="str">
            <v>CV18055</v>
          </cell>
        </row>
        <row r="2719">
          <cell r="A2719" t="str">
            <v>CV18056</v>
          </cell>
        </row>
        <row r="2720">
          <cell r="A2720" t="str">
            <v>CV18057</v>
          </cell>
        </row>
        <row r="2721">
          <cell r="A2721" t="str">
            <v>CV18058</v>
          </cell>
        </row>
        <row r="2722">
          <cell r="A2722" t="str">
            <v>CV18059</v>
          </cell>
        </row>
        <row r="2723">
          <cell r="A2723" t="str">
            <v>CV18060</v>
          </cell>
        </row>
        <row r="2724">
          <cell r="A2724" t="str">
            <v>CV18061</v>
          </cell>
        </row>
        <row r="2725">
          <cell r="A2725" t="str">
            <v>CV18062</v>
          </cell>
        </row>
        <row r="2726">
          <cell r="A2726" t="str">
            <v>CV18063</v>
          </cell>
        </row>
        <row r="2727">
          <cell r="A2727" t="str">
            <v>CV18064</v>
          </cell>
        </row>
        <row r="2728">
          <cell r="A2728" t="str">
            <v>CV19029</v>
          </cell>
        </row>
        <row r="2729">
          <cell r="A2729" t="str">
            <v>CV19030</v>
          </cell>
        </row>
        <row r="2730">
          <cell r="A2730" t="str">
            <v>CV19031</v>
          </cell>
        </row>
        <row r="2731">
          <cell r="A2731" t="str">
            <v>CV19032</v>
          </cell>
        </row>
        <row r="2732">
          <cell r="A2732" t="str">
            <v>CV19033</v>
          </cell>
        </row>
        <row r="2733">
          <cell r="A2733" t="str">
            <v>CV19034</v>
          </cell>
        </row>
        <row r="2734">
          <cell r="A2734" t="str">
            <v>CV19035</v>
          </cell>
        </row>
        <row r="2735">
          <cell r="A2735" t="str">
            <v>CV19036</v>
          </cell>
        </row>
        <row r="2736">
          <cell r="A2736" t="str">
            <v>CV19037</v>
          </cell>
        </row>
        <row r="2737">
          <cell r="A2737" t="str">
            <v>CV19038</v>
          </cell>
        </row>
        <row r="2738">
          <cell r="A2738" t="str">
            <v>CV19039</v>
          </cell>
        </row>
        <row r="2739">
          <cell r="A2739" t="str">
            <v>CV19040</v>
          </cell>
        </row>
        <row r="2740">
          <cell r="A2740" t="str">
            <v>CV19041</v>
          </cell>
        </row>
        <row r="2741">
          <cell r="A2741" t="str">
            <v>CV19042</v>
          </cell>
        </row>
        <row r="2742">
          <cell r="A2742" t="str">
            <v>CV19043</v>
          </cell>
        </row>
        <row r="2743">
          <cell r="A2743" t="str">
            <v>CV19044</v>
          </cell>
        </row>
        <row r="2744">
          <cell r="A2744" t="str">
            <v>CV19045</v>
          </cell>
        </row>
        <row r="2745">
          <cell r="A2745" t="str">
            <v>CV19046</v>
          </cell>
        </row>
        <row r="2746">
          <cell r="A2746" t="str">
            <v>CV19047</v>
          </cell>
        </row>
        <row r="2747">
          <cell r="A2747" t="str">
            <v>CV19048</v>
          </cell>
        </row>
        <row r="2748">
          <cell r="A2748" t="str">
            <v>CV19049</v>
          </cell>
        </row>
        <row r="2749">
          <cell r="A2749" t="str">
            <v>CV19050</v>
          </cell>
        </row>
        <row r="2750">
          <cell r="A2750" t="str">
            <v>CV19051</v>
          </cell>
        </row>
        <row r="2751">
          <cell r="A2751" t="str">
            <v>CV19052</v>
          </cell>
        </row>
        <row r="2752">
          <cell r="A2752" t="str">
            <v>CV19053</v>
          </cell>
        </row>
        <row r="2753">
          <cell r="A2753" t="str">
            <v>CV19054</v>
          </cell>
        </row>
        <row r="2754">
          <cell r="A2754" t="str">
            <v>CV19055</v>
          </cell>
        </row>
        <row r="2755">
          <cell r="A2755" t="str">
            <v>CV19056</v>
          </cell>
        </row>
        <row r="2756">
          <cell r="A2756" t="str">
            <v>CV19057</v>
          </cell>
        </row>
        <row r="2757">
          <cell r="A2757" t="str">
            <v>CV19058</v>
          </cell>
        </row>
        <row r="2758">
          <cell r="A2758" t="str">
            <v>CV19059</v>
          </cell>
        </row>
        <row r="2759">
          <cell r="A2759" t="str">
            <v>CV19060</v>
          </cell>
        </row>
        <row r="2760">
          <cell r="A2760" t="str">
            <v>CV19061</v>
          </cell>
        </row>
        <row r="2761">
          <cell r="A2761" t="str">
            <v>CV19062</v>
          </cell>
        </row>
        <row r="2762">
          <cell r="A2762" t="str">
            <v>CV19063</v>
          </cell>
        </row>
        <row r="2763">
          <cell r="A2763" t="str">
            <v>CV19064</v>
          </cell>
        </row>
        <row r="2764">
          <cell r="A2764" t="str">
            <v>CV20037</v>
          </cell>
        </row>
        <row r="2765">
          <cell r="A2765" t="str">
            <v>CV20038</v>
          </cell>
        </row>
        <row r="2766">
          <cell r="A2766" t="str">
            <v>CV20039</v>
          </cell>
        </row>
        <row r="2767">
          <cell r="A2767" t="str">
            <v>CV20040</v>
          </cell>
        </row>
        <row r="2768">
          <cell r="A2768" t="str">
            <v>CV20041</v>
          </cell>
        </row>
        <row r="2769">
          <cell r="A2769" t="str">
            <v>CV20042</v>
          </cell>
        </row>
        <row r="2770">
          <cell r="A2770" t="str">
            <v>CV20043</v>
          </cell>
        </row>
        <row r="2771">
          <cell r="A2771" t="str">
            <v>CV20044</v>
          </cell>
        </row>
        <row r="2772">
          <cell r="A2772" t="str">
            <v>CV20045</v>
          </cell>
        </row>
        <row r="2773">
          <cell r="A2773" t="str">
            <v>CV20046</v>
          </cell>
        </row>
        <row r="2774">
          <cell r="A2774" t="str">
            <v>CV20047</v>
          </cell>
        </row>
        <row r="2775">
          <cell r="A2775" t="str">
            <v>CV20048</v>
          </cell>
        </row>
        <row r="2776">
          <cell r="A2776" t="str">
            <v>CV20049</v>
          </cell>
        </row>
        <row r="2777">
          <cell r="A2777" t="str">
            <v>CV20050</v>
          </cell>
        </row>
        <row r="2778">
          <cell r="A2778" t="str">
            <v>CV20051</v>
          </cell>
        </row>
        <row r="2779">
          <cell r="A2779" t="str">
            <v>CV20052</v>
          </cell>
        </row>
        <row r="2780">
          <cell r="A2780" t="str">
            <v>CV20053</v>
          </cell>
        </row>
        <row r="2781">
          <cell r="A2781" t="str">
            <v>CV20054</v>
          </cell>
        </row>
        <row r="2782">
          <cell r="A2782" t="str">
            <v>CV20055</v>
          </cell>
        </row>
        <row r="2783">
          <cell r="A2783" t="str">
            <v>CV20056</v>
          </cell>
        </row>
        <row r="2784">
          <cell r="A2784" t="str">
            <v>CV20057</v>
          </cell>
        </row>
        <row r="2785">
          <cell r="A2785" t="str">
            <v>CV20058</v>
          </cell>
        </row>
        <row r="2786">
          <cell r="A2786" t="str">
            <v>CV20059</v>
          </cell>
        </row>
        <row r="2787">
          <cell r="A2787" t="str">
            <v>CV20060</v>
          </cell>
        </row>
        <row r="2788">
          <cell r="A2788" t="str">
            <v>CV20061</v>
          </cell>
        </row>
        <row r="2789">
          <cell r="A2789" t="str">
            <v>CV20062</v>
          </cell>
        </row>
        <row r="2790">
          <cell r="A2790" t="str">
            <v>CV20063</v>
          </cell>
        </row>
        <row r="2791">
          <cell r="A2791" t="str">
            <v>CV20064</v>
          </cell>
        </row>
        <row r="2792">
          <cell r="A2792" t="str">
            <v>CV22037</v>
          </cell>
        </row>
        <row r="2793">
          <cell r="A2793" t="str">
            <v>CV22038</v>
          </cell>
        </row>
        <row r="2794">
          <cell r="A2794" t="str">
            <v>CV22039</v>
          </cell>
        </row>
        <row r="2795">
          <cell r="A2795" t="str">
            <v>CV22040</v>
          </cell>
        </row>
        <row r="2796">
          <cell r="A2796" t="str">
            <v>CV22041</v>
          </cell>
        </row>
        <row r="2797">
          <cell r="A2797" t="str">
            <v>CV22042</v>
          </cell>
        </row>
        <row r="2798">
          <cell r="A2798" t="str">
            <v>CV22043</v>
          </cell>
        </row>
        <row r="2799">
          <cell r="A2799" t="str">
            <v>CV22044</v>
          </cell>
        </row>
        <row r="2800">
          <cell r="A2800" t="str">
            <v>CV22045</v>
          </cell>
        </row>
        <row r="2801">
          <cell r="A2801" t="str">
            <v>CV22046</v>
          </cell>
        </row>
        <row r="2802">
          <cell r="A2802" t="str">
            <v>CV22047</v>
          </cell>
        </row>
        <row r="2803">
          <cell r="A2803" t="str">
            <v>CV22048</v>
          </cell>
        </row>
        <row r="2804">
          <cell r="A2804" t="str">
            <v>CV22049</v>
          </cell>
        </row>
        <row r="2805">
          <cell r="A2805" t="str">
            <v>CV22050</v>
          </cell>
        </row>
        <row r="2806">
          <cell r="A2806" t="str">
            <v>CV22051</v>
          </cell>
        </row>
        <row r="2807">
          <cell r="A2807" t="str">
            <v>CV22052</v>
          </cell>
        </row>
        <row r="2808">
          <cell r="A2808" t="str">
            <v>CV22053</v>
          </cell>
        </row>
        <row r="2809">
          <cell r="A2809" t="str">
            <v>CV22054</v>
          </cell>
        </row>
        <row r="2810">
          <cell r="A2810" t="str">
            <v>CV22055</v>
          </cell>
        </row>
        <row r="2811">
          <cell r="A2811" t="str">
            <v>CV22056</v>
          </cell>
        </row>
        <row r="2812">
          <cell r="A2812" t="str">
            <v>CV22057</v>
          </cell>
        </row>
        <row r="2813">
          <cell r="A2813" t="str">
            <v>CV22058</v>
          </cell>
        </row>
        <row r="2814">
          <cell r="A2814" t="str">
            <v>CV22059</v>
          </cell>
        </row>
        <row r="2815">
          <cell r="A2815" t="str">
            <v>CV22060</v>
          </cell>
        </row>
        <row r="2816">
          <cell r="A2816" t="str">
            <v>CV22061</v>
          </cell>
        </row>
        <row r="2817">
          <cell r="A2817" t="str">
            <v>CV22062</v>
          </cell>
        </row>
        <row r="2818">
          <cell r="A2818" t="str">
            <v>CV22063</v>
          </cell>
        </row>
        <row r="2819">
          <cell r="A2819" t="str">
            <v>CV22064</v>
          </cell>
        </row>
        <row r="2820">
          <cell r="A2820" t="str">
            <v>CV24037</v>
          </cell>
        </row>
        <row r="2821">
          <cell r="A2821" t="str">
            <v>CV24038</v>
          </cell>
        </row>
        <row r="2822">
          <cell r="A2822" t="str">
            <v>CV24039</v>
          </cell>
        </row>
        <row r="2823">
          <cell r="A2823" t="str">
            <v>CV24040</v>
          </cell>
        </row>
        <row r="2824">
          <cell r="A2824" t="str">
            <v>CV24041</v>
          </cell>
        </row>
        <row r="2825">
          <cell r="A2825" t="str">
            <v>CV24042</v>
          </cell>
        </row>
        <row r="2826">
          <cell r="A2826" t="str">
            <v>CV24043</v>
          </cell>
        </row>
        <row r="2827">
          <cell r="A2827" t="str">
            <v>CV24044</v>
          </cell>
        </row>
        <row r="2828">
          <cell r="A2828" t="str">
            <v>CV24045</v>
          </cell>
        </row>
        <row r="2829">
          <cell r="A2829" t="str">
            <v>CV24046</v>
          </cell>
        </row>
        <row r="2830">
          <cell r="A2830" t="str">
            <v>CV24047</v>
          </cell>
        </row>
        <row r="2831">
          <cell r="A2831" t="str">
            <v>CV24048</v>
          </cell>
        </row>
        <row r="2832">
          <cell r="A2832" t="str">
            <v>CV24049</v>
          </cell>
        </row>
        <row r="2833">
          <cell r="A2833" t="str">
            <v>CV24050</v>
          </cell>
        </row>
        <row r="2834">
          <cell r="A2834" t="str">
            <v>CV24051</v>
          </cell>
        </row>
        <row r="2835">
          <cell r="A2835" t="str">
            <v>CV24052</v>
          </cell>
        </row>
        <row r="2836">
          <cell r="A2836" t="str">
            <v>CV24053</v>
          </cell>
        </row>
        <row r="2837">
          <cell r="A2837" t="str">
            <v>CV24054</v>
          </cell>
        </row>
        <row r="2838">
          <cell r="A2838" t="str">
            <v>CV24055</v>
          </cell>
        </row>
        <row r="2839">
          <cell r="A2839" t="str">
            <v>CV24056</v>
          </cell>
        </row>
        <row r="2840">
          <cell r="A2840" t="str">
            <v>CV24057</v>
          </cell>
        </row>
        <row r="2841">
          <cell r="A2841" t="str">
            <v>CV24058</v>
          </cell>
        </row>
        <row r="2842">
          <cell r="A2842" t="str">
            <v>CV24059</v>
          </cell>
        </row>
        <row r="2843">
          <cell r="A2843" t="str">
            <v>CV24060</v>
          </cell>
        </row>
        <row r="2844">
          <cell r="A2844" t="str">
            <v>CV24061</v>
          </cell>
        </row>
        <row r="2845">
          <cell r="A2845" t="str">
            <v>CV24062</v>
          </cell>
        </row>
        <row r="2846">
          <cell r="A2846" t="str">
            <v>CV24063</v>
          </cell>
        </row>
        <row r="2847">
          <cell r="A2847" t="str">
            <v>CV24064</v>
          </cell>
        </row>
        <row r="2848">
          <cell r="A2848" t="str">
            <v>CV26037</v>
          </cell>
        </row>
        <row r="2849">
          <cell r="A2849" t="str">
            <v>CV26038</v>
          </cell>
        </row>
        <row r="2850">
          <cell r="A2850" t="str">
            <v>CV26039</v>
          </cell>
        </row>
        <row r="2851">
          <cell r="A2851" t="str">
            <v>CV26040</v>
          </cell>
        </row>
        <row r="2852">
          <cell r="A2852" t="str">
            <v>CV26041</v>
          </cell>
        </row>
        <row r="2853">
          <cell r="A2853" t="str">
            <v>CV26042</v>
          </cell>
        </row>
        <row r="2854">
          <cell r="A2854" t="str">
            <v>CV26043</v>
          </cell>
        </row>
        <row r="2855">
          <cell r="A2855" t="str">
            <v>CV26044</v>
          </cell>
        </row>
        <row r="2856">
          <cell r="A2856" t="str">
            <v>CV26045</v>
          </cell>
        </row>
        <row r="2857">
          <cell r="A2857" t="str">
            <v>CV26046</v>
          </cell>
        </row>
        <row r="2858">
          <cell r="A2858" t="str">
            <v>CV26047</v>
          </cell>
        </row>
        <row r="2859">
          <cell r="A2859" t="str">
            <v>CV26048</v>
          </cell>
        </row>
        <row r="2860">
          <cell r="A2860" t="str">
            <v>CV26049</v>
          </cell>
        </row>
        <row r="2861">
          <cell r="A2861" t="str">
            <v>CV26050</v>
          </cell>
        </row>
        <row r="2862">
          <cell r="A2862" t="str">
            <v>CV26051</v>
          </cell>
        </row>
        <row r="2863">
          <cell r="A2863" t="str">
            <v>CV26052</v>
          </cell>
        </row>
        <row r="2864">
          <cell r="A2864" t="str">
            <v>CV26053</v>
          </cell>
        </row>
        <row r="2865">
          <cell r="A2865" t="str">
            <v>CV26054</v>
          </cell>
        </row>
        <row r="2866">
          <cell r="A2866" t="str">
            <v>CV26055</v>
          </cell>
        </row>
        <row r="2867">
          <cell r="A2867" t="str">
            <v>CV26056</v>
          </cell>
        </row>
        <row r="2868">
          <cell r="A2868" t="str">
            <v>CV26057</v>
          </cell>
        </row>
        <row r="2869">
          <cell r="A2869" t="str">
            <v>CV26058</v>
          </cell>
        </row>
        <row r="2870">
          <cell r="A2870" t="str">
            <v>CV26059</v>
          </cell>
        </row>
        <row r="2871">
          <cell r="A2871" t="str">
            <v>CV26060</v>
          </cell>
        </row>
        <row r="2872">
          <cell r="A2872" t="str">
            <v>CV26061</v>
          </cell>
        </row>
        <row r="2873">
          <cell r="A2873" t="str">
            <v>CV26062</v>
          </cell>
        </row>
        <row r="2874">
          <cell r="A2874" t="str">
            <v>CV26063</v>
          </cell>
        </row>
        <row r="2875">
          <cell r="A2875" t="str">
            <v>CV26064</v>
          </cell>
        </row>
        <row r="2876">
          <cell r="A2876" t="str">
            <v>CV28037</v>
          </cell>
        </row>
        <row r="2877">
          <cell r="A2877" t="str">
            <v>CV28038</v>
          </cell>
        </row>
        <row r="2878">
          <cell r="A2878" t="str">
            <v>CV28039</v>
          </cell>
        </row>
        <row r="2879">
          <cell r="A2879" t="str">
            <v>CV28040</v>
          </cell>
        </row>
        <row r="2880">
          <cell r="A2880" t="str">
            <v>CV28041</v>
          </cell>
        </row>
        <row r="2881">
          <cell r="A2881" t="str">
            <v>CV28042</v>
          </cell>
        </row>
        <row r="2882">
          <cell r="A2882" t="str">
            <v>CV28043</v>
          </cell>
        </row>
        <row r="2883">
          <cell r="A2883" t="str">
            <v>CV28044</v>
          </cell>
        </row>
        <row r="2884">
          <cell r="A2884" t="str">
            <v>CV28045</v>
          </cell>
        </row>
        <row r="2885">
          <cell r="A2885" t="str">
            <v>CV28046</v>
          </cell>
        </row>
        <row r="2886">
          <cell r="A2886" t="str">
            <v>CV28047</v>
          </cell>
        </row>
        <row r="2887">
          <cell r="A2887" t="str">
            <v>CV28048</v>
          </cell>
        </row>
        <row r="2888">
          <cell r="A2888" t="str">
            <v>CV28049</v>
          </cell>
        </row>
        <row r="2889">
          <cell r="A2889" t="str">
            <v>CV28050</v>
          </cell>
        </row>
        <row r="2890">
          <cell r="A2890" t="str">
            <v>CV28051</v>
          </cell>
        </row>
        <row r="2891">
          <cell r="A2891" t="str">
            <v>CV28052</v>
          </cell>
        </row>
        <row r="2892">
          <cell r="A2892" t="str">
            <v>CV28053</v>
          </cell>
        </row>
        <row r="2893">
          <cell r="A2893" t="str">
            <v>CV28054</v>
          </cell>
        </row>
        <row r="2894">
          <cell r="A2894" t="str">
            <v>CV28055</v>
          </cell>
        </row>
        <row r="2895">
          <cell r="A2895" t="str">
            <v>CV28056</v>
          </cell>
        </row>
        <row r="2896">
          <cell r="A2896" t="str">
            <v>CV28057</v>
          </cell>
        </row>
        <row r="2897">
          <cell r="A2897" t="str">
            <v>CV28058</v>
          </cell>
        </row>
        <row r="2898">
          <cell r="A2898" t="str">
            <v>CV28059</v>
          </cell>
        </row>
        <row r="2899">
          <cell r="A2899" t="str">
            <v>CV28060</v>
          </cell>
        </row>
        <row r="2900">
          <cell r="A2900" t="str">
            <v>CV28061</v>
          </cell>
        </row>
        <row r="2901">
          <cell r="A2901" t="str">
            <v>CV28062</v>
          </cell>
        </row>
        <row r="2902">
          <cell r="A2902" t="str">
            <v>CV28063</v>
          </cell>
        </row>
        <row r="2903">
          <cell r="A2903" t="str">
            <v>CV28064</v>
          </cell>
        </row>
        <row r="2904">
          <cell r="A2904" t="str">
            <v>CV30037</v>
          </cell>
        </row>
        <row r="2905">
          <cell r="A2905" t="str">
            <v>CV30038</v>
          </cell>
        </row>
        <row r="2906">
          <cell r="A2906" t="str">
            <v>CV30039</v>
          </cell>
        </row>
        <row r="2907">
          <cell r="A2907" t="str">
            <v>CV30040</v>
          </cell>
        </row>
        <row r="2908">
          <cell r="A2908" t="str">
            <v>CV30041</v>
          </cell>
        </row>
        <row r="2909">
          <cell r="A2909" t="str">
            <v>CV30042</v>
          </cell>
        </row>
        <row r="2910">
          <cell r="A2910" t="str">
            <v>CV30043</v>
          </cell>
        </row>
        <row r="2911">
          <cell r="A2911" t="str">
            <v>CV30044</v>
          </cell>
        </row>
        <row r="2912">
          <cell r="A2912" t="str">
            <v>CV30045</v>
          </cell>
        </row>
        <row r="2913">
          <cell r="A2913" t="str">
            <v>CV30046</v>
          </cell>
        </row>
        <row r="2914">
          <cell r="A2914" t="str">
            <v>CV30047</v>
          </cell>
        </row>
        <row r="2915">
          <cell r="A2915" t="str">
            <v>CV30048</v>
          </cell>
        </row>
        <row r="2916">
          <cell r="A2916" t="str">
            <v>CV30049</v>
          </cell>
        </row>
        <row r="2917">
          <cell r="A2917" t="str">
            <v>CV30050</v>
          </cell>
        </row>
        <row r="2918">
          <cell r="A2918" t="str">
            <v>CV30051</v>
          </cell>
        </row>
        <row r="2919">
          <cell r="A2919" t="str">
            <v>CV30052</v>
          </cell>
        </row>
        <row r="2920">
          <cell r="A2920" t="str">
            <v>CV30053</v>
          </cell>
        </row>
        <row r="2921">
          <cell r="A2921" t="str">
            <v>CV30054</v>
          </cell>
        </row>
        <row r="2922">
          <cell r="A2922" t="str">
            <v>CV30055</v>
          </cell>
        </row>
        <row r="2923">
          <cell r="A2923" t="str">
            <v>CV30056</v>
          </cell>
        </row>
        <row r="2924">
          <cell r="A2924" t="str">
            <v>CV30057</v>
          </cell>
        </row>
        <row r="2925">
          <cell r="A2925" t="str">
            <v>CV30058</v>
          </cell>
        </row>
        <row r="2926">
          <cell r="A2926" t="str">
            <v>CV30059</v>
          </cell>
        </row>
        <row r="2927">
          <cell r="A2927" t="str">
            <v>CV30060</v>
          </cell>
        </row>
        <row r="2928">
          <cell r="A2928" t="str">
            <v>CV30061</v>
          </cell>
        </row>
        <row r="2929">
          <cell r="A2929" t="str">
            <v>CV30062</v>
          </cell>
        </row>
        <row r="2930">
          <cell r="A2930" t="str">
            <v>CV30063</v>
          </cell>
        </row>
        <row r="2931">
          <cell r="A2931" t="str">
            <v>CV30064</v>
          </cell>
        </row>
        <row r="2932">
          <cell r="A2932" t="str">
            <v>CV33037</v>
          </cell>
        </row>
        <row r="2933">
          <cell r="A2933" t="str">
            <v>CV33038</v>
          </cell>
        </row>
        <row r="2934">
          <cell r="A2934" t="str">
            <v>CV33039</v>
          </cell>
        </row>
        <row r="2935">
          <cell r="A2935" t="str">
            <v>CV33040</v>
          </cell>
        </row>
        <row r="2936">
          <cell r="A2936" t="str">
            <v>CV33041</v>
          </cell>
        </row>
        <row r="2937">
          <cell r="A2937" t="str">
            <v>CV33042</v>
          </cell>
        </row>
        <row r="2938">
          <cell r="A2938" t="str">
            <v>CV33043</v>
          </cell>
        </row>
        <row r="2939">
          <cell r="A2939" t="str">
            <v>CV33044</v>
          </cell>
        </row>
        <row r="2940">
          <cell r="A2940" t="str">
            <v>CV33045</v>
          </cell>
        </row>
        <row r="2941">
          <cell r="A2941" t="str">
            <v>CV33046</v>
          </cell>
        </row>
        <row r="2942">
          <cell r="A2942" t="str">
            <v>CV33047</v>
          </cell>
        </row>
        <row r="2943">
          <cell r="A2943" t="str">
            <v>CV33048</v>
          </cell>
        </row>
        <row r="2944">
          <cell r="A2944" t="str">
            <v>CV33049</v>
          </cell>
        </row>
        <row r="2945">
          <cell r="A2945" t="str">
            <v>CV33050</v>
          </cell>
        </row>
        <row r="2946">
          <cell r="A2946" t="str">
            <v>CV33051</v>
          </cell>
        </row>
        <row r="2947">
          <cell r="A2947" t="str">
            <v>CV33052</v>
          </cell>
        </row>
        <row r="2948">
          <cell r="A2948" t="str">
            <v>CV33053</v>
          </cell>
        </row>
        <row r="2949">
          <cell r="A2949" t="str">
            <v>CV33054</v>
          </cell>
        </row>
        <row r="2950">
          <cell r="A2950" t="str">
            <v>CV33055</v>
          </cell>
        </row>
        <row r="2951">
          <cell r="A2951" t="str">
            <v>CV33056</v>
          </cell>
        </row>
        <row r="2952">
          <cell r="A2952" t="str">
            <v>CV33057</v>
          </cell>
        </row>
        <row r="2953">
          <cell r="A2953" t="str">
            <v>CV33058</v>
          </cell>
        </row>
        <row r="2954">
          <cell r="A2954" t="str">
            <v>CV33059</v>
          </cell>
        </row>
        <row r="2955">
          <cell r="A2955" t="str">
            <v>CV33060</v>
          </cell>
        </row>
        <row r="2956">
          <cell r="A2956" t="str">
            <v>CV33061</v>
          </cell>
        </row>
        <row r="2957">
          <cell r="A2957" t="str">
            <v>CV33062</v>
          </cell>
        </row>
        <row r="2958">
          <cell r="A2958" t="str">
            <v>CV33063</v>
          </cell>
        </row>
        <row r="2959">
          <cell r="A2959" t="str">
            <v>CV33064</v>
          </cell>
        </row>
        <row r="2960">
          <cell r="A2960" t="str">
            <v>CV36037</v>
          </cell>
        </row>
        <row r="2961">
          <cell r="A2961" t="str">
            <v>CV36038</v>
          </cell>
        </row>
        <row r="2962">
          <cell r="A2962" t="str">
            <v>CV36039</v>
          </cell>
        </row>
        <row r="2963">
          <cell r="A2963" t="str">
            <v>CV36040</v>
          </cell>
        </row>
        <row r="2964">
          <cell r="A2964" t="str">
            <v>CV36041</v>
          </cell>
        </row>
        <row r="2965">
          <cell r="A2965" t="str">
            <v>CV36042</v>
          </cell>
        </row>
        <row r="2966">
          <cell r="A2966" t="str">
            <v>CV36043</v>
          </cell>
        </row>
        <row r="2967">
          <cell r="A2967" t="str">
            <v>CV36044</v>
          </cell>
        </row>
        <row r="2968">
          <cell r="A2968" t="str">
            <v>CV36045</v>
          </cell>
        </row>
        <row r="2969">
          <cell r="A2969" t="str">
            <v>CV36046</v>
          </cell>
        </row>
        <row r="2970">
          <cell r="A2970" t="str">
            <v>CV36047</v>
          </cell>
        </row>
        <row r="2971">
          <cell r="A2971" t="str">
            <v>CV36048</v>
          </cell>
        </row>
        <row r="2972">
          <cell r="A2972" t="str">
            <v>CV36049</v>
          </cell>
        </row>
        <row r="2973">
          <cell r="A2973" t="str">
            <v>CV36050</v>
          </cell>
        </row>
        <row r="2974">
          <cell r="A2974" t="str">
            <v>CV36051</v>
          </cell>
        </row>
        <row r="2975">
          <cell r="A2975" t="str">
            <v>CV36052</v>
          </cell>
        </row>
        <row r="2976">
          <cell r="A2976" t="str">
            <v>CV36053</v>
          </cell>
        </row>
        <row r="2977">
          <cell r="A2977" t="str">
            <v>CV36054</v>
          </cell>
        </row>
        <row r="2978">
          <cell r="A2978" t="str">
            <v>CV36055</v>
          </cell>
        </row>
        <row r="2979">
          <cell r="A2979" t="str">
            <v>CV36056</v>
          </cell>
        </row>
        <row r="2980">
          <cell r="A2980" t="str">
            <v>CV36057</v>
          </cell>
        </row>
        <row r="2981">
          <cell r="A2981" t="str">
            <v>CV36058</v>
          </cell>
        </row>
        <row r="2982">
          <cell r="A2982" t="str">
            <v>CV36059</v>
          </cell>
        </row>
        <row r="2983">
          <cell r="A2983" t="str">
            <v>CV36060</v>
          </cell>
        </row>
        <row r="2984">
          <cell r="A2984" t="str">
            <v>CV36061</v>
          </cell>
        </row>
        <row r="2985">
          <cell r="A2985" t="str">
            <v>CV36062</v>
          </cell>
        </row>
        <row r="2986">
          <cell r="A2986" t="str">
            <v>CV36063</v>
          </cell>
        </row>
        <row r="2987">
          <cell r="A2987" t="str">
            <v>CV36064</v>
          </cell>
        </row>
        <row r="2988">
          <cell r="A2988" t="str">
            <v>CV40037</v>
          </cell>
        </row>
        <row r="2989">
          <cell r="A2989" t="str">
            <v>CV40038</v>
          </cell>
        </row>
        <row r="2990">
          <cell r="A2990" t="str">
            <v>CV40039</v>
          </cell>
        </row>
        <row r="2991">
          <cell r="A2991" t="str">
            <v>CV40040</v>
          </cell>
        </row>
        <row r="2992">
          <cell r="A2992" t="str">
            <v>CV40041</v>
          </cell>
        </row>
        <row r="2993">
          <cell r="A2993" t="str">
            <v>CV40042</v>
          </cell>
        </row>
        <row r="2994">
          <cell r="A2994" t="str">
            <v>CV40043</v>
          </cell>
        </row>
        <row r="2995">
          <cell r="A2995" t="str">
            <v>CV40044</v>
          </cell>
        </row>
        <row r="2996">
          <cell r="A2996" t="str">
            <v>CV40045</v>
          </cell>
        </row>
        <row r="2997">
          <cell r="A2997" t="str">
            <v>CV40046</v>
          </cell>
        </row>
        <row r="2998">
          <cell r="A2998" t="str">
            <v>CV40047</v>
          </cell>
        </row>
        <row r="2999">
          <cell r="A2999" t="str">
            <v>CV40048</v>
          </cell>
        </row>
        <row r="3000">
          <cell r="A3000" t="str">
            <v>CV40049</v>
          </cell>
        </row>
        <row r="3001">
          <cell r="A3001" t="str">
            <v>CV40050</v>
          </cell>
        </row>
        <row r="3002">
          <cell r="A3002" t="str">
            <v>CV40051</v>
          </cell>
        </row>
        <row r="3003">
          <cell r="A3003" t="str">
            <v>CV40052</v>
          </cell>
        </row>
        <row r="3004">
          <cell r="A3004" t="str">
            <v>CV40053</v>
          </cell>
        </row>
        <row r="3005">
          <cell r="A3005" t="str">
            <v>CV40054</v>
          </cell>
        </row>
        <row r="3006">
          <cell r="A3006" t="str">
            <v>CV40055</v>
          </cell>
        </row>
        <row r="3007">
          <cell r="A3007" t="str">
            <v>CV40056</v>
          </cell>
        </row>
        <row r="3008">
          <cell r="A3008" t="str">
            <v>CV40057</v>
          </cell>
        </row>
        <row r="3009">
          <cell r="A3009" t="str">
            <v>CV40058</v>
          </cell>
        </row>
        <row r="3010">
          <cell r="A3010" t="str">
            <v>CV40059</v>
          </cell>
        </row>
        <row r="3011">
          <cell r="A3011" t="str">
            <v>CV40060</v>
          </cell>
        </row>
        <row r="3012">
          <cell r="A3012" t="str">
            <v>CV40061</v>
          </cell>
        </row>
        <row r="3013">
          <cell r="A3013" t="str">
            <v>CV40062</v>
          </cell>
        </row>
        <row r="3014">
          <cell r="A3014" t="str">
            <v>CV40063</v>
          </cell>
        </row>
        <row r="3015">
          <cell r="A3015" t="str">
            <v>CV40064</v>
          </cell>
        </row>
        <row r="3016">
          <cell r="A3016" t="str">
            <v>CD05001L</v>
          </cell>
        </row>
        <row r="3017">
          <cell r="A3017" t="str">
            <v>CD05002L</v>
          </cell>
        </row>
        <row r="3018">
          <cell r="A3018" t="str">
            <v>CD05003L</v>
          </cell>
        </row>
        <row r="3019">
          <cell r="A3019" t="str">
            <v>CD05004L</v>
          </cell>
        </row>
        <row r="3020">
          <cell r="A3020" t="str">
            <v>CD05005L</v>
          </cell>
        </row>
        <row r="3021">
          <cell r="A3021" t="str">
            <v>CD05006L</v>
          </cell>
        </row>
        <row r="3022">
          <cell r="A3022" t="str">
            <v>CD05007L</v>
          </cell>
        </row>
        <row r="3023">
          <cell r="A3023" t="str">
            <v>CD05008L</v>
          </cell>
        </row>
        <row r="3024">
          <cell r="A3024" t="str">
            <v>CD05009L</v>
          </cell>
        </row>
        <row r="3025">
          <cell r="A3025" t="str">
            <v>CD05010L</v>
          </cell>
        </row>
        <row r="3026">
          <cell r="A3026" t="str">
            <v>CD05011L</v>
          </cell>
        </row>
        <row r="3027">
          <cell r="A3027" t="str">
            <v>CD05012L</v>
          </cell>
        </row>
        <row r="3028">
          <cell r="A3028" t="str">
            <v>CD06001L</v>
          </cell>
        </row>
        <row r="3029">
          <cell r="A3029" t="str">
            <v>CD06002L</v>
          </cell>
        </row>
        <row r="3030">
          <cell r="A3030" t="str">
            <v>CD06003L</v>
          </cell>
        </row>
        <row r="3031">
          <cell r="A3031" t="str">
            <v>CD06004L</v>
          </cell>
        </row>
        <row r="3032">
          <cell r="A3032" t="str">
            <v>CD06005L</v>
          </cell>
        </row>
        <row r="3033">
          <cell r="A3033" t="str">
            <v>CD06006L</v>
          </cell>
        </row>
        <row r="3034">
          <cell r="A3034" t="str">
            <v>CD06007L</v>
          </cell>
        </row>
        <row r="3035">
          <cell r="A3035" t="str">
            <v>CD06008L</v>
          </cell>
        </row>
        <row r="3036">
          <cell r="A3036" t="str">
            <v>CD06009L</v>
          </cell>
        </row>
        <row r="3037">
          <cell r="A3037" t="str">
            <v>CD06010L</v>
          </cell>
        </row>
        <row r="3038">
          <cell r="A3038" t="str">
            <v>CD06011L</v>
          </cell>
        </row>
        <row r="3039">
          <cell r="A3039" t="str">
            <v>CD06012L</v>
          </cell>
        </row>
        <row r="3040">
          <cell r="A3040" t="str">
            <v>CD06013L</v>
          </cell>
        </row>
        <row r="3041">
          <cell r="A3041" t="str">
            <v>CD06014L</v>
          </cell>
        </row>
        <row r="3042">
          <cell r="A3042" t="str">
            <v>CD06015L</v>
          </cell>
        </row>
        <row r="3043">
          <cell r="A3043" t="str">
            <v>CD06016L</v>
          </cell>
        </row>
        <row r="3044">
          <cell r="A3044" t="str">
            <v>CD06017L</v>
          </cell>
        </row>
        <row r="3045">
          <cell r="A3045" t="str">
            <v>CD06018L</v>
          </cell>
        </row>
        <row r="3046">
          <cell r="A3046" t="str">
            <v>CD06019L</v>
          </cell>
        </row>
        <row r="3047">
          <cell r="A3047" t="str">
            <v>CD06020L</v>
          </cell>
        </row>
        <row r="3048">
          <cell r="A3048" t="str">
            <v>CD06021L</v>
          </cell>
        </row>
        <row r="3049">
          <cell r="A3049" t="str">
            <v>CD06022L</v>
          </cell>
        </row>
        <row r="3050">
          <cell r="A3050" t="str">
            <v>CD06023L</v>
          </cell>
        </row>
        <row r="3051">
          <cell r="A3051" t="str">
            <v>CD06024L</v>
          </cell>
        </row>
        <row r="3052">
          <cell r="A3052" t="str">
            <v>CD06025L</v>
          </cell>
        </row>
        <row r="3053">
          <cell r="A3053" t="str">
            <v>CD06026L</v>
          </cell>
        </row>
        <row r="3054">
          <cell r="A3054" t="str">
            <v>CD06027L</v>
          </cell>
        </row>
        <row r="3055">
          <cell r="A3055" t="str">
            <v>CD06028L</v>
          </cell>
        </row>
        <row r="3056">
          <cell r="A3056" t="str">
            <v>CD07001L</v>
          </cell>
        </row>
        <row r="3057">
          <cell r="A3057" t="str">
            <v>CD07002L</v>
          </cell>
        </row>
        <row r="3058">
          <cell r="A3058" t="str">
            <v>CD07003L</v>
          </cell>
        </row>
        <row r="3059">
          <cell r="A3059" t="str">
            <v>CD07004L</v>
          </cell>
        </row>
        <row r="3060">
          <cell r="A3060" t="str">
            <v>CD07005L</v>
          </cell>
        </row>
        <row r="3061">
          <cell r="A3061" t="str">
            <v>CD07006L</v>
          </cell>
        </row>
        <row r="3062">
          <cell r="A3062" t="str">
            <v>CD07007L</v>
          </cell>
        </row>
        <row r="3063">
          <cell r="A3063" t="str">
            <v>CD07008L</v>
          </cell>
        </row>
        <row r="3064">
          <cell r="A3064" t="str">
            <v>CD07009L</v>
          </cell>
        </row>
        <row r="3065">
          <cell r="A3065" t="str">
            <v>CD07010L</v>
          </cell>
        </row>
        <row r="3066">
          <cell r="A3066" t="str">
            <v>CD07011L</v>
          </cell>
        </row>
        <row r="3067">
          <cell r="A3067" t="str">
            <v>CD07012L</v>
          </cell>
        </row>
        <row r="3068">
          <cell r="A3068" t="str">
            <v>CD07013L</v>
          </cell>
        </row>
        <row r="3069">
          <cell r="A3069" t="str">
            <v>CD07014L</v>
          </cell>
        </row>
        <row r="3070">
          <cell r="A3070" t="str">
            <v>CD07015L</v>
          </cell>
        </row>
        <row r="3071">
          <cell r="A3071" t="str">
            <v>CD07016L</v>
          </cell>
        </row>
        <row r="3072">
          <cell r="A3072" t="str">
            <v>CD07017L</v>
          </cell>
        </row>
        <row r="3073">
          <cell r="A3073" t="str">
            <v>CD07018L</v>
          </cell>
        </row>
        <row r="3074">
          <cell r="A3074" t="str">
            <v>CD07019L</v>
          </cell>
        </row>
        <row r="3075">
          <cell r="A3075" t="str">
            <v>CD07020L</v>
          </cell>
        </row>
        <row r="3076">
          <cell r="A3076" t="str">
            <v>CD07021L</v>
          </cell>
        </row>
        <row r="3077">
          <cell r="A3077" t="str">
            <v>CD07022L</v>
          </cell>
        </row>
        <row r="3078">
          <cell r="A3078" t="str">
            <v>CD07023L</v>
          </cell>
        </row>
        <row r="3079">
          <cell r="A3079" t="str">
            <v>CD07024L</v>
          </cell>
        </row>
        <row r="3080">
          <cell r="A3080" t="str">
            <v>CD07025L</v>
          </cell>
        </row>
        <row r="3081">
          <cell r="A3081" t="str">
            <v>CD07026L</v>
          </cell>
        </row>
        <row r="3082">
          <cell r="A3082" t="str">
            <v>CD07027L</v>
          </cell>
        </row>
        <row r="3083">
          <cell r="A3083" t="str">
            <v>CD07028L</v>
          </cell>
        </row>
        <row r="3084">
          <cell r="A3084" t="str">
            <v>CD08001L</v>
          </cell>
        </row>
        <row r="3085">
          <cell r="A3085" t="str">
            <v>CD08002L</v>
          </cell>
        </row>
        <row r="3086">
          <cell r="A3086" t="str">
            <v>CD08003L</v>
          </cell>
        </row>
        <row r="3087">
          <cell r="A3087" t="str">
            <v>CD08004L</v>
          </cell>
        </row>
        <row r="3088">
          <cell r="A3088" t="str">
            <v>CD08005L</v>
          </cell>
        </row>
        <row r="3089">
          <cell r="A3089" t="str">
            <v>CD08006L</v>
          </cell>
        </row>
        <row r="3090">
          <cell r="A3090" t="str">
            <v>CD08007L</v>
          </cell>
        </row>
        <row r="3091">
          <cell r="A3091" t="str">
            <v>CD08008L</v>
          </cell>
        </row>
        <row r="3092">
          <cell r="A3092" t="str">
            <v>CD08009L</v>
          </cell>
        </row>
        <row r="3093">
          <cell r="A3093" t="str">
            <v>CD08010L</v>
          </cell>
        </row>
        <row r="3094">
          <cell r="A3094" t="str">
            <v>CD08011L</v>
          </cell>
        </row>
        <row r="3095">
          <cell r="A3095" t="str">
            <v>CD08012L</v>
          </cell>
        </row>
        <row r="3096">
          <cell r="A3096" t="str">
            <v>CD08013L</v>
          </cell>
        </row>
        <row r="3097">
          <cell r="A3097" t="str">
            <v>CD08014L</v>
          </cell>
        </row>
        <row r="3098">
          <cell r="A3098" t="str">
            <v>CD08015L</v>
          </cell>
        </row>
        <row r="3099">
          <cell r="A3099" t="str">
            <v>CD08016L</v>
          </cell>
        </row>
        <row r="3100">
          <cell r="A3100" t="str">
            <v>CD08017L</v>
          </cell>
        </row>
        <row r="3101">
          <cell r="A3101" t="str">
            <v>CD08018L</v>
          </cell>
        </row>
        <row r="3102">
          <cell r="A3102" t="str">
            <v>CD08019L</v>
          </cell>
        </row>
        <row r="3103">
          <cell r="A3103" t="str">
            <v>CD08020L</v>
          </cell>
        </row>
        <row r="3104">
          <cell r="A3104" t="str">
            <v>CD08021L</v>
          </cell>
        </row>
        <row r="3105">
          <cell r="A3105" t="str">
            <v>CD08022L</v>
          </cell>
        </row>
        <row r="3106">
          <cell r="A3106" t="str">
            <v>CD08023L</v>
          </cell>
        </row>
        <row r="3107">
          <cell r="A3107" t="str">
            <v>CD08024L</v>
          </cell>
        </row>
        <row r="3108">
          <cell r="A3108" t="str">
            <v>CD08025L</v>
          </cell>
        </row>
        <row r="3109">
          <cell r="A3109" t="str">
            <v>CD08026L</v>
          </cell>
        </row>
        <row r="3110">
          <cell r="A3110" t="str">
            <v>CD08027L</v>
          </cell>
        </row>
        <row r="3111">
          <cell r="A3111" t="str">
            <v>CD08028L</v>
          </cell>
        </row>
        <row r="3112">
          <cell r="A3112" t="str">
            <v>CD08029L</v>
          </cell>
        </row>
        <row r="3113">
          <cell r="A3113" t="str">
            <v>CD08030L</v>
          </cell>
        </row>
        <row r="3114">
          <cell r="A3114" t="str">
            <v>CD08031L</v>
          </cell>
        </row>
        <row r="3115">
          <cell r="A3115" t="str">
            <v>CD08032L</v>
          </cell>
        </row>
        <row r="3116">
          <cell r="A3116" t="str">
            <v>CD08033L</v>
          </cell>
        </row>
        <row r="3117">
          <cell r="A3117" t="str">
            <v>CD08034L</v>
          </cell>
        </row>
        <row r="3118">
          <cell r="A3118" t="str">
            <v>CD08035L</v>
          </cell>
        </row>
        <row r="3119">
          <cell r="A3119" t="str">
            <v>CD08036L</v>
          </cell>
        </row>
        <row r="3120">
          <cell r="A3120" t="str">
            <v>CD09001L</v>
          </cell>
        </row>
        <row r="3121">
          <cell r="A3121" t="str">
            <v>CD09002L</v>
          </cell>
        </row>
        <row r="3122">
          <cell r="A3122" t="str">
            <v>CD09003L</v>
          </cell>
        </row>
        <row r="3123">
          <cell r="A3123" t="str">
            <v>CD09004L</v>
          </cell>
        </row>
        <row r="3124">
          <cell r="A3124" t="str">
            <v>CD09005L</v>
          </cell>
        </row>
        <row r="3125">
          <cell r="A3125" t="str">
            <v>CD09006L</v>
          </cell>
        </row>
        <row r="3126">
          <cell r="A3126" t="str">
            <v>CD09007L</v>
          </cell>
        </row>
        <row r="3127">
          <cell r="A3127" t="str">
            <v>CD09008L</v>
          </cell>
        </row>
        <row r="3128">
          <cell r="A3128" t="str">
            <v>CD09009L</v>
          </cell>
        </row>
        <row r="3129">
          <cell r="A3129" t="str">
            <v>CD09010L</v>
          </cell>
        </row>
        <row r="3130">
          <cell r="A3130" t="str">
            <v>CD09011L</v>
          </cell>
        </row>
        <row r="3131">
          <cell r="A3131" t="str">
            <v>CD09012L</v>
          </cell>
        </row>
        <row r="3132">
          <cell r="A3132" t="str">
            <v>CD09013L</v>
          </cell>
        </row>
        <row r="3133">
          <cell r="A3133" t="str">
            <v>CD09014L</v>
          </cell>
        </row>
        <row r="3134">
          <cell r="A3134" t="str">
            <v>CD09015L</v>
          </cell>
        </row>
        <row r="3135">
          <cell r="A3135" t="str">
            <v>CD09016L</v>
          </cell>
        </row>
        <row r="3136">
          <cell r="A3136" t="str">
            <v>CD09017L</v>
          </cell>
        </row>
        <row r="3137">
          <cell r="A3137" t="str">
            <v>CD09018L</v>
          </cell>
        </row>
        <row r="3138">
          <cell r="A3138" t="str">
            <v>CD09019L</v>
          </cell>
        </row>
        <row r="3139">
          <cell r="A3139" t="str">
            <v>CD09020L</v>
          </cell>
        </row>
        <row r="3140">
          <cell r="A3140" t="str">
            <v>CD09021L</v>
          </cell>
        </row>
        <row r="3141">
          <cell r="A3141" t="str">
            <v>CD09022L</v>
          </cell>
        </row>
        <row r="3142">
          <cell r="A3142" t="str">
            <v>CD09023L</v>
          </cell>
        </row>
        <row r="3143">
          <cell r="A3143" t="str">
            <v>CD09024L</v>
          </cell>
        </row>
        <row r="3144">
          <cell r="A3144" t="str">
            <v>CD09025L</v>
          </cell>
        </row>
        <row r="3145">
          <cell r="A3145" t="str">
            <v>CD09026L</v>
          </cell>
        </row>
        <row r="3146">
          <cell r="A3146" t="str">
            <v>CD09027L</v>
          </cell>
        </row>
        <row r="3147">
          <cell r="A3147" t="str">
            <v>CD09028L</v>
          </cell>
        </row>
      </sheetData>
      <sheetData sheetId="7">
        <row r="2">
          <cell r="A2" t="str">
            <v>NPCX-L-020</v>
          </cell>
          <cell r="B2">
            <v>35</v>
          </cell>
          <cell r="C2">
            <v>12</v>
          </cell>
          <cell r="D2">
            <v>18</v>
          </cell>
        </row>
        <row r="3">
          <cell r="A3" t="str">
            <v>NPCX-L-025</v>
          </cell>
          <cell r="B3">
            <v>40</v>
          </cell>
          <cell r="C3">
            <v>12</v>
          </cell>
          <cell r="D3">
            <v>18</v>
          </cell>
        </row>
        <row r="4">
          <cell r="A4" t="str">
            <v>NPCX-L-032</v>
          </cell>
          <cell r="B4">
            <v>45</v>
          </cell>
          <cell r="C4">
            <v>12</v>
          </cell>
          <cell r="D4">
            <v>18</v>
          </cell>
        </row>
        <row r="5">
          <cell r="A5" t="str">
            <v>NPCX-L-040</v>
          </cell>
          <cell r="B5">
            <v>55</v>
          </cell>
          <cell r="C5">
            <v>16</v>
          </cell>
          <cell r="D5">
            <v>22</v>
          </cell>
        </row>
        <row r="6">
          <cell r="A6" t="str">
            <v>NPCX-L-050</v>
          </cell>
          <cell r="B6">
            <v>60</v>
          </cell>
          <cell r="C6">
            <v>16</v>
          </cell>
          <cell r="D6">
            <v>22</v>
          </cell>
        </row>
        <row r="7">
          <cell r="A7" t="str">
            <v>NPCX-L-065</v>
          </cell>
          <cell r="B7">
            <v>65</v>
          </cell>
          <cell r="C7">
            <v>16</v>
          </cell>
          <cell r="D7">
            <v>22</v>
          </cell>
        </row>
        <row r="8">
          <cell r="A8" t="str">
            <v>NPCX-L-080</v>
          </cell>
          <cell r="B8">
            <v>75</v>
          </cell>
          <cell r="C8">
            <v>16</v>
          </cell>
          <cell r="D8">
            <v>22</v>
          </cell>
        </row>
        <row r="9">
          <cell r="A9" t="str">
            <v>NPCX-L-090</v>
          </cell>
          <cell r="B9">
            <v>90</v>
          </cell>
          <cell r="C9">
            <v>20</v>
          </cell>
          <cell r="D9">
            <v>28</v>
          </cell>
        </row>
        <row r="10">
          <cell r="A10" t="str">
            <v>NPCX-L-100</v>
          </cell>
          <cell r="B10">
            <v>95</v>
          </cell>
          <cell r="C10">
            <v>20</v>
          </cell>
          <cell r="D10">
            <v>28</v>
          </cell>
        </row>
        <row r="11">
          <cell r="A11" t="str">
            <v>NPCX-L-125</v>
          </cell>
          <cell r="B11">
            <v>110</v>
          </cell>
          <cell r="C11">
            <v>20</v>
          </cell>
          <cell r="D11">
            <v>28</v>
          </cell>
        </row>
        <row r="12">
          <cell r="A12" t="str">
            <v>NPCX-L-150</v>
          </cell>
          <cell r="B12">
            <v>125</v>
          </cell>
          <cell r="C12">
            <v>20</v>
          </cell>
          <cell r="D12">
            <v>28</v>
          </cell>
        </row>
        <row r="13">
          <cell r="A13" t="str">
            <v>NPCX-L-175</v>
          </cell>
          <cell r="B13">
            <v>140</v>
          </cell>
          <cell r="C13">
            <v>20</v>
          </cell>
          <cell r="D13">
            <v>28</v>
          </cell>
        </row>
        <row r="14">
          <cell r="A14" t="str">
            <v>NPCX-L-200</v>
          </cell>
          <cell r="B14">
            <v>150</v>
          </cell>
          <cell r="C14">
            <v>20</v>
          </cell>
          <cell r="D14">
            <v>28</v>
          </cell>
        </row>
        <row r="15">
          <cell r="A15" t="str">
            <v>NPCX-L-225</v>
          </cell>
          <cell r="B15">
            <v>185</v>
          </cell>
          <cell r="C15">
            <v>24</v>
          </cell>
          <cell r="D15">
            <v>28</v>
          </cell>
        </row>
        <row r="16">
          <cell r="A16" t="str">
            <v>NPCX-L-250</v>
          </cell>
          <cell r="B16">
            <v>200</v>
          </cell>
          <cell r="C16">
            <v>24</v>
          </cell>
          <cell r="D16">
            <v>28</v>
          </cell>
        </row>
        <row r="17">
          <cell r="A17" t="str">
            <v>NPCX-L-300</v>
          </cell>
          <cell r="B17">
            <v>225</v>
          </cell>
          <cell r="C17">
            <v>24</v>
          </cell>
          <cell r="D17">
            <v>28</v>
          </cell>
        </row>
        <row r="18">
          <cell r="A18" t="str">
            <v>NPCX-L-350</v>
          </cell>
          <cell r="B18">
            <v>245</v>
          </cell>
          <cell r="C18">
            <v>24</v>
          </cell>
          <cell r="D18">
            <v>28</v>
          </cell>
        </row>
        <row r="19">
          <cell r="A19" t="str">
            <v>NPCX-L-400</v>
          </cell>
          <cell r="B19">
            <v>280</v>
          </cell>
          <cell r="C19">
            <v>30</v>
          </cell>
          <cell r="D19">
            <v>34</v>
          </cell>
        </row>
        <row r="20">
          <cell r="A20" t="str">
            <v>NPCX-L-450</v>
          </cell>
          <cell r="B20">
            <v>310</v>
          </cell>
          <cell r="C20">
            <v>30</v>
          </cell>
          <cell r="D20">
            <v>34</v>
          </cell>
        </row>
        <row r="21">
          <cell r="A21" t="str">
            <v>NPCX-L-500</v>
          </cell>
          <cell r="B21">
            <v>350</v>
          </cell>
          <cell r="C21">
            <v>36</v>
          </cell>
          <cell r="D21">
            <v>40</v>
          </cell>
        </row>
        <row r="22">
          <cell r="A22" t="str">
            <v>NPCX-L-550</v>
          </cell>
          <cell r="B22">
            <v>370</v>
          </cell>
          <cell r="C22">
            <v>36</v>
          </cell>
          <cell r="D22">
            <v>40</v>
          </cell>
        </row>
        <row r="23">
          <cell r="A23" t="str">
            <v>NPCX-L-600</v>
          </cell>
          <cell r="B23">
            <v>400</v>
          </cell>
          <cell r="C23">
            <v>36</v>
          </cell>
          <cell r="D23">
            <v>40</v>
          </cell>
        </row>
        <row r="24">
          <cell r="A24" t="str">
            <v>NPCX-L-650</v>
          </cell>
          <cell r="B24">
            <v>430</v>
          </cell>
          <cell r="C24">
            <v>42</v>
          </cell>
          <cell r="D24">
            <v>47</v>
          </cell>
        </row>
        <row r="25">
          <cell r="A25" t="str">
            <v>NPCX-L-700</v>
          </cell>
          <cell r="B25">
            <v>450</v>
          </cell>
          <cell r="C25">
            <v>42</v>
          </cell>
          <cell r="D25">
            <v>47</v>
          </cell>
        </row>
        <row r="26">
          <cell r="A26" t="str">
            <v>NPCX-L-750</v>
          </cell>
          <cell r="B26">
            <v>480</v>
          </cell>
          <cell r="C26">
            <v>42</v>
          </cell>
          <cell r="D26">
            <v>47</v>
          </cell>
        </row>
        <row r="27">
          <cell r="A27" t="str">
            <v>NPCX-L-800</v>
          </cell>
          <cell r="B27">
            <v>505</v>
          </cell>
          <cell r="C27">
            <v>42</v>
          </cell>
          <cell r="D27">
            <v>47</v>
          </cell>
        </row>
        <row r="28">
          <cell r="A28" t="str">
            <v>NPCX-L-850</v>
          </cell>
          <cell r="B28">
            <v>545</v>
          </cell>
          <cell r="C28">
            <v>48</v>
          </cell>
          <cell r="D28">
            <v>54</v>
          </cell>
        </row>
        <row r="29">
          <cell r="A29" t="str">
            <v>NPCX-L-900</v>
          </cell>
          <cell r="B29">
            <v>565</v>
          </cell>
          <cell r="C29">
            <v>48</v>
          </cell>
          <cell r="D29">
            <v>54</v>
          </cell>
        </row>
        <row r="30">
          <cell r="A30" t="str">
            <v>NPCX-L-1000</v>
          </cell>
          <cell r="B30">
            <v>620</v>
          </cell>
          <cell r="C30">
            <v>48</v>
          </cell>
          <cell r="D30">
            <v>54</v>
          </cell>
        </row>
        <row r="31">
          <cell r="A31" t="str">
            <v>NPCX-L-1100</v>
          </cell>
          <cell r="B31">
            <v>670</v>
          </cell>
          <cell r="C31">
            <v>48</v>
          </cell>
          <cell r="D31">
            <v>54</v>
          </cell>
        </row>
        <row r="32">
          <cell r="A32" t="str">
            <v>NPCX-L-1200</v>
          </cell>
          <cell r="B32">
            <v>730</v>
          </cell>
          <cell r="C32">
            <v>48</v>
          </cell>
          <cell r="D32">
            <v>54</v>
          </cell>
        </row>
        <row r="33">
          <cell r="A33" t="str">
            <v>NPCX-M-300</v>
          </cell>
          <cell r="B33">
            <v>225</v>
          </cell>
          <cell r="C33">
            <v>24</v>
          </cell>
          <cell r="D33">
            <v>28</v>
          </cell>
        </row>
        <row r="34">
          <cell r="A34" t="str">
            <v>NPCX-M-350</v>
          </cell>
          <cell r="B34">
            <v>255</v>
          </cell>
          <cell r="C34">
            <v>30</v>
          </cell>
          <cell r="D34">
            <v>34</v>
          </cell>
        </row>
        <row r="35">
          <cell r="A35" t="str">
            <v>NPCX-M-400</v>
          </cell>
          <cell r="B35">
            <v>280</v>
          </cell>
          <cell r="C35">
            <v>30</v>
          </cell>
          <cell r="D35">
            <v>34</v>
          </cell>
        </row>
        <row r="36">
          <cell r="A36" t="str">
            <v>NPCX-M-450</v>
          </cell>
          <cell r="B36">
            <v>310</v>
          </cell>
          <cell r="C36">
            <v>30</v>
          </cell>
          <cell r="D36">
            <v>34</v>
          </cell>
        </row>
        <row r="37">
          <cell r="A37" t="str">
            <v>NPCX-M-500</v>
          </cell>
          <cell r="B37">
            <v>350</v>
          </cell>
          <cell r="C37">
            <v>36</v>
          </cell>
          <cell r="D37">
            <v>40</v>
          </cell>
        </row>
        <row r="38">
          <cell r="A38" t="str">
            <v>NPCX-M-550</v>
          </cell>
          <cell r="B38">
            <v>370</v>
          </cell>
          <cell r="C38">
            <v>36</v>
          </cell>
          <cell r="D38">
            <v>40</v>
          </cell>
        </row>
        <row r="39">
          <cell r="A39" t="str">
            <v>NPCX-M-600</v>
          </cell>
          <cell r="B39">
            <v>420</v>
          </cell>
          <cell r="C39">
            <v>42</v>
          </cell>
          <cell r="D39">
            <v>47</v>
          </cell>
        </row>
        <row r="40">
          <cell r="A40" t="str">
            <v>NPCX-M-650</v>
          </cell>
          <cell r="B40">
            <v>450</v>
          </cell>
          <cell r="C40">
            <v>42</v>
          </cell>
          <cell r="D40">
            <v>47</v>
          </cell>
        </row>
        <row r="41">
          <cell r="A41" t="str">
            <v>NPCX-M-700</v>
          </cell>
          <cell r="B41">
            <v>475</v>
          </cell>
          <cell r="C41">
            <v>48</v>
          </cell>
          <cell r="D41">
            <v>54</v>
          </cell>
        </row>
        <row r="42">
          <cell r="A42" t="str">
            <v>NPCX-M-750</v>
          </cell>
          <cell r="B42">
            <v>500</v>
          </cell>
          <cell r="C42">
            <v>48</v>
          </cell>
          <cell r="D42">
            <v>54</v>
          </cell>
        </row>
        <row r="43">
          <cell r="A43" t="str">
            <v>NPCX-M-800</v>
          </cell>
          <cell r="B43">
            <v>520</v>
          </cell>
          <cell r="C43">
            <v>48</v>
          </cell>
          <cell r="D43">
            <v>54</v>
          </cell>
        </row>
        <row r="44">
          <cell r="A44" t="str">
            <v>NPCX-M-850</v>
          </cell>
          <cell r="B44">
            <v>545</v>
          </cell>
          <cell r="C44">
            <v>48</v>
          </cell>
          <cell r="D44">
            <v>54</v>
          </cell>
        </row>
        <row r="45">
          <cell r="A45" t="str">
            <v>NPCX-M-900</v>
          </cell>
          <cell r="B45">
            <v>580</v>
          </cell>
          <cell r="C45">
            <v>56</v>
          </cell>
          <cell r="D45">
            <v>62</v>
          </cell>
        </row>
        <row r="46">
          <cell r="A46" t="str">
            <v>NPCX-M-1000</v>
          </cell>
          <cell r="B46">
            <v>650</v>
          </cell>
          <cell r="C46">
            <v>56</v>
          </cell>
          <cell r="D46">
            <v>62</v>
          </cell>
        </row>
        <row r="47">
          <cell r="A47" t="str">
            <v>NPCX-M-1100</v>
          </cell>
          <cell r="B47">
            <v>700</v>
          </cell>
          <cell r="C47">
            <v>56</v>
          </cell>
          <cell r="D47">
            <v>62</v>
          </cell>
        </row>
        <row r="48">
          <cell r="A48" t="str">
            <v>NPCX-M-1200</v>
          </cell>
          <cell r="B48">
            <v>750</v>
          </cell>
          <cell r="C48">
            <v>56</v>
          </cell>
          <cell r="D48">
            <v>62</v>
          </cell>
        </row>
        <row r="49">
          <cell r="A49" t="str">
            <v>NPCX-H-150</v>
          </cell>
          <cell r="B49">
            <v>130</v>
          </cell>
          <cell r="C49">
            <v>24</v>
          </cell>
          <cell r="D49">
            <v>28</v>
          </cell>
        </row>
        <row r="50">
          <cell r="A50" t="str">
            <v>NPCX-H-175</v>
          </cell>
          <cell r="B50">
            <v>150</v>
          </cell>
          <cell r="C50">
            <v>24</v>
          </cell>
          <cell r="D50">
            <v>28</v>
          </cell>
        </row>
        <row r="51">
          <cell r="A51" t="str">
            <v>NPCX-H-200</v>
          </cell>
          <cell r="B51">
            <v>165</v>
          </cell>
          <cell r="C51">
            <v>24</v>
          </cell>
          <cell r="D51">
            <v>28</v>
          </cell>
        </row>
        <row r="52">
          <cell r="A52" t="str">
            <v>NPCX-H-225</v>
          </cell>
          <cell r="B52">
            <v>180</v>
          </cell>
          <cell r="C52">
            <v>30</v>
          </cell>
          <cell r="D52">
            <v>34</v>
          </cell>
        </row>
        <row r="53">
          <cell r="A53" t="str">
            <v>NPCX-H-250</v>
          </cell>
          <cell r="B53">
            <v>200</v>
          </cell>
          <cell r="C53">
            <v>30</v>
          </cell>
          <cell r="D53">
            <v>34</v>
          </cell>
        </row>
        <row r="54">
          <cell r="A54" t="str">
            <v>NPCX-H-300</v>
          </cell>
          <cell r="B54">
            <v>230</v>
          </cell>
          <cell r="C54">
            <v>30</v>
          </cell>
          <cell r="D54">
            <v>34</v>
          </cell>
        </row>
        <row r="55">
          <cell r="A55" t="str">
            <v>NPCX-H-350</v>
          </cell>
          <cell r="B55">
            <v>260</v>
          </cell>
          <cell r="C55">
            <v>36</v>
          </cell>
          <cell r="D55">
            <v>42</v>
          </cell>
        </row>
        <row r="56">
          <cell r="A56" t="str">
            <v>NPCX-H-400</v>
          </cell>
          <cell r="B56">
            <v>300</v>
          </cell>
          <cell r="C56">
            <v>36</v>
          </cell>
          <cell r="D56">
            <v>42</v>
          </cell>
        </row>
        <row r="57">
          <cell r="A57" t="str">
            <v>NPCX-H-450</v>
          </cell>
          <cell r="B57">
            <v>335</v>
          </cell>
          <cell r="C57">
            <v>48</v>
          </cell>
          <cell r="D57">
            <v>54</v>
          </cell>
        </row>
        <row r="58">
          <cell r="A58" t="str">
            <v>NPCX-H-500</v>
          </cell>
          <cell r="B58">
            <v>360</v>
          </cell>
          <cell r="C58">
            <v>48</v>
          </cell>
          <cell r="D58">
            <v>54</v>
          </cell>
        </row>
        <row r="59">
          <cell r="A59" t="str">
            <v>NPCX-H-550</v>
          </cell>
          <cell r="B59">
            <v>400</v>
          </cell>
          <cell r="C59">
            <v>48</v>
          </cell>
          <cell r="D59">
            <v>54</v>
          </cell>
        </row>
        <row r="60">
          <cell r="A60" t="str">
            <v>NPCX-H-600</v>
          </cell>
          <cell r="B60">
            <v>430</v>
          </cell>
          <cell r="C60">
            <v>48</v>
          </cell>
          <cell r="D60">
            <v>54</v>
          </cell>
        </row>
        <row r="61">
          <cell r="A61" t="str">
            <v>NPCB-L-020</v>
          </cell>
          <cell r="B61">
            <v>85</v>
          </cell>
          <cell r="C61">
            <v>12</v>
          </cell>
          <cell r="D61">
            <v>18</v>
          </cell>
        </row>
        <row r="62">
          <cell r="A62" t="str">
            <v>NPCB-L-025</v>
          </cell>
          <cell r="B62">
            <v>90</v>
          </cell>
          <cell r="C62">
            <v>12</v>
          </cell>
          <cell r="D62">
            <v>18</v>
          </cell>
        </row>
        <row r="63">
          <cell r="A63" t="str">
            <v>NPCB-L-032</v>
          </cell>
          <cell r="B63">
            <v>105</v>
          </cell>
          <cell r="C63">
            <v>12</v>
          </cell>
          <cell r="D63">
            <v>18</v>
          </cell>
        </row>
        <row r="64">
          <cell r="A64" t="str">
            <v>NPCB-L-040</v>
          </cell>
          <cell r="B64">
            <v>115</v>
          </cell>
          <cell r="C64">
            <v>16</v>
          </cell>
          <cell r="D64">
            <v>22</v>
          </cell>
        </row>
        <row r="65">
          <cell r="A65" t="str">
            <v>NPCB-L-050</v>
          </cell>
          <cell r="B65">
            <v>120</v>
          </cell>
          <cell r="C65">
            <v>16</v>
          </cell>
          <cell r="D65">
            <v>22</v>
          </cell>
        </row>
        <row r="66">
          <cell r="A66" t="str">
            <v>NPCB-L-065</v>
          </cell>
          <cell r="B66">
            <v>130</v>
          </cell>
          <cell r="C66">
            <v>16</v>
          </cell>
          <cell r="D66">
            <v>22</v>
          </cell>
        </row>
        <row r="67">
          <cell r="A67" t="str">
            <v>NPCB-L-080</v>
          </cell>
          <cell r="B67">
            <v>145</v>
          </cell>
          <cell r="C67">
            <v>16</v>
          </cell>
          <cell r="D67">
            <v>22</v>
          </cell>
        </row>
        <row r="68">
          <cell r="A68" t="str">
            <v>NPCB-L-090</v>
          </cell>
          <cell r="B68">
            <v>155</v>
          </cell>
          <cell r="C68">
            <v>20</v>
          </cell>
          <cell r="D68">
            <v>28</v>
          </cell>
        </row>
        <row r="69">
          <cell r="A69" t="str">
            <v>NPCB-L-100</v>
          </cell>
          <cell r="B69">
            <v>165</v>
          </cell>
          <cell r="C69">
            <v>20</v>
          </cell>
          <cell r="D69">
            <v>28</v>
          </cell>
        </row>
        <row r="70">
          <cell r="A70" t="str">
            <v>NPCB-L-125</v>
          </cell>
          <cell r="B70">
            <v>185</v>
          </cell>
          <cell r="C70">
            <v>20</v>
          </cell>
          <cell r="D70">
            <v>28</v>
          </cell>
        </row>
        <row r="71">
          <cell r="A71" t="str">
            <v>NPCB-L-150</v>
          </cell>
          <cell r="B71">
            <v>215</v>
          </cell>
          <cell r="C71">
            <v>20</v>
          </cell>
          <cell r="D71">
            <v>28</v>
          </cell>
        </row>
        <row r="72">
          <cell r="A72" t="str">
            <v>NPCB-L-175</v>
          </cell>
          <cell r="B72">
            <v>240</v>
          </cell>
          <cell r="C72">
            <v>20</v>
          </cell>
          <cell r="D72">
            <v>28</v>
          </cell>
        </row>
        <row r="73">
          <cell r="A73" t="str">
            <v>NPCB-L-200</v>
          </cell>
          <cell r="B73">
            <v>255</v>
          </cell>
          <cell r="C73">
            <v>20</v>
          </cell>
          <cell r="D73">
            <v>28</v>
          </cell>
        </row>
        <row r="74">
          <cell r="A74" t="str">
            <v>NPCB-L-225</v>
          </cell>
          <cell r="B74">
            <v>275</v>
          </cell>
          <cell r="C74">
            <v>24</v>
          </cell>
          <cell r="D74">
            <v>28</v>
          </cell>
        </row>
        <row r="75">
          <cell r="A75" t="str">
            <v>NPCB-L-250</v>
          </cell>
          <cell r="B75">
            <v>290</v>
          </cell>
          <cell r="C75">
            <v>24</v>
          </cell>
          <cell r="D75">
            <v>28</v>
          </cell>
        </row>
        <row r="76">
          <cell r="A76" t="str">
            <v>NPCB-L-300</v>
          </cell>
          <cell r="B76">
            <v>325</v>
          </cell>
          <cell r="C76">
            <v>24</v>
          </cell>
          <cell r="D76">
            <v>28</v>
          </cell>
        </row>
        <row r="77">
          <cell r="A77" t="str">
            <v>NPCB-L-350</v>
          </cell>
          <cell r="B77">
            <v>365</v>
          </cell>
          <cell r="C77">
            <v>24</v>
          </cell>
          <cell r="D77">
            <v>28</v>
          </cell>
        </row>
        <row r="78">
          <cell r="A78" t="str">
            <v>NPCB-L-400</v>
          </cell>
          <cell r="B78">
            <v>400</v>
          </cell>
          <cell r="C78">
            <v>30</v>
          </cell>
          <cell r="D78">
            <v>34</v>
          </cell>
        </row>
        <row r="79">
          <cell r="A79" t="str">
            <v>NPCB-L-450</v>
          </cell>
          <cell r="B79">
            <v>430</v>
          </cell>
          <cell r="C79">
            <v>30</v>
          </cell>
          <cell r="D79">
            <v>34</v>
          </cell>
        </row>
        <row r="80">
          <cell r="A80" t="str">
            <v>NPCB-L-500</v>
          </cell>
          <cell r="B80">
            <v>470</v>
          </cell>
          <cell r="C80">
            <v>36</v>
          </cell>
          <cell r="D80">
            <v>40</v>
          </cell>
        </row>
        <row r="81">
          <cell r="A81" t="str">
            <v>NPCB-L-550</v>
          </cell>
          <cell r="B81">
            <v>495</v>
          </cell>
          <cell r="C81">
            <v>36</v>
          </cell>
          <cell r="D81">
            <v>40</v>
          </cell>
        </row>
        <row r="82">
          <cell r="A82" t="str">
            <v>NPCB-L-600</v>
          </cell>
          <cell r="B82">
            <v>520</v>
          </cell>
          <cell r="C82">
            <v>36</v>
          </cell>
          <cell r="D82">
            <v>40</v>
          </cell>
        </row>
        <row r="83">
          <cell r="A83" t="str">
            <v>NPCB-L-650</v>
          </cell>
          <cell r="B83">
            <v>590</v>
          </cell>
          <cell r="C83">
            <v>42</v>
          </cell>
          <cell r="D83">
            <v>47</v>
          </cell>
        </row>
        <row r="84">
          <cell r="A84" t="str">
            <v>NPCB-L-700</v>
          </cell>
          <cell r="B84">
            <v>620</v>
          </cell>
          <cell r="C84">
            <v>42</v>
          </cell>
          <cell r="D84">
            <v>47</v>
          </cell>
        </row>
        <row r="85">
          <cell r="A85" t="str">
            <v>NPCB-L-750</v>
          </cell>
          <cell r="B85">
            <v>650</v>
          </cell>
          <cell r="C85">
            <v>42</v>
          </cell>
          <cell r="D85">
            <v>47</v>
          </cell>
        </row>
        <row r="86">
          <cell r="A86" t="str">
            <v>NPCB-L-800</v>
          </cell>
          <cell r="B86">
            <v>700</v>
          </cell>
          <cell r="C86">
            <v>42</v>
          </cell>
          <cell r="D86">
            <v>47</v>
          </cell>
        </row>
        <row r="87">
          <cell r="A87" t="str">
            <v>NPCB-L-850</v>
          </cell>
          <cell r="B87">
            <v>730</v>
          </cell>
          <cell r="C87">
            <v>48</v>
          </cell>
          <cell r="D87">
            <v>54</v>
          </cell>
        </row>
        <row r="88">
          <cell r="A88" t="str">
            <v>NPCB-L-900</v>
          </cell>
          <cell r="B88">
            <v>760</v>
          </cell>
          <cell r="C88">
            <v>48</v>
          </cell>
          <cell r="D88">
            <v>54</v>
          </cell>
        </row>
        <row r="89">
          <cell r="A89" t="str">
            <v>NPCB-L-1000</v>
          </cell>
          <cell r="B89">
            <v>800</v>
          </cell>
          <cell r="C89">
            <v>48</v>
          </cell>
          <cell r="D89">
            <v>54</v>
          </cell>
        </row>
        <row r="90">
          <cell r="A90" t="str">
            <v>NPCB-L-1100</v>
          </cell>
          <cell r="B90">
            <v>850</v>
          </cell>
          <cell r="C90">
            <v>48</v>
          </cell>
          <cell r="D90">
            <v>54</v>
          </cell>
        </row>
        <row r="91">
          <cell r="A91" t="str">
            <v>NPCB-L-1200</v>
          </cell>
          <cell r="B91">
            <v>900</v>
          </cell>
          <cell r="C91">
            <v>48</v>
          </cell>
          <cell r="D91">
            <v>54</v>
          </cell>
        </row>
        <row r="92">
          <cell r="A92" t="str">
            <v>NPCB-M-300</v>
          </cell>
          <cell r="B92">
            <v>325</v>
          </cell>
          <cell r="C92">
            <v>24</v>
          </cell>
          <cell r="D92">
            <v>28</v>
          </cell>
        </row>
        <row r="93">
          <cell r="A93" t="str">
            <v>NPCB-M-350</v>
          </cell>
          <cell r="B93">
            <v>365</v>
          </cell>
          <cell r="C93">
            <v>30</v>
          </cell>
          <cell r="D93">
            <v>34</v>
          </cell>
        </row>
        <row r="94">
          <cell r="A94" t="str">
            <v>NPCB-M-400</v>
          </cell>
          <cell r="B94">
            <v>400</v>
          </cell>
          <cell r="C94">
            <v>30</v>
          </cell>
          <cell r="D94">
            <v>34</v>
          </cell>
        </row>
        <row r="95">
          <cell r="A95" t="str">
            <v>NPCB-M-450</v>
          </cell>
          <cell r="B95">
            <v>430</v>
          </cell>
          <cell r="C95">
            <v>30</v>
          </cell>
          <cell r="D95">
            <v>34</v>
          </cell>
        </row>
        <row r="96">
          <cell r="A96" t="str">
            <v>NPCB-M-500</v>
          </cell>
          <cell r="B96">
            <v>470</v>
          </cell>
          <cell r="C96">
            <v>36</v>
          </cell>
          <cell r="D96">
            <v>40</v>
          </cell>
        </row>
        <row r="97">
          <cell r="A97" t="str">
            <v>NPCB-M-550</v>
          </cell>
          <cell r="B97">
            <v>495</v>
          </cell>
          <cell r="C97">
            <v>36</v>
          </cell>
          <cell r="D97">
            <v>40</v>
          </cell>
        </row>
        <row r="98">
          <cell r="A98" t="str">
            <v>NPCB-M-600</v>
          </cell>
          <cell r="B98">
            <v>520</v>
          </cell>
          <cell r="C98">
            <v>42</v>
          </cell>
          <cell r="D98">
            <v>47</v>
          </cell>
        </row>
        <row r="99">
          <cell r="A99" t="str">
            <v>NPCB-M-650</v>
          </cell>
          <cell r="B99">
            <v>590</v>
          </cell>
          <cell r="C99">
            <v>42</v>
          </cell>
          <cell r="D99">
            <v>47</v>
          </cell>
        </row>
        <row r="100">
          <cell r="A100" t="str">
            <v>NPCB-M-700</v>
          </cell>
          <cell r="B100">
            <v>620</v>
          </cell>
          <cell r="C100">
            <v>48</v>
          </cell>
          <cell r="D100">
            <v>54</v>
          </cell>
        </row>
        <row r="101">
          <cell r="A101" t="str">
            <v>NPCB-M-750</v>
          </cell>
          <cell r="B101">
            <v>650</v>
          </cell>
          <cell r="C101">
            <v>48</v>
          </cell>
          <cell r="D101">
            <v>54</v>
          </cell>
        </row>
        <row r="102">
          <cell r="A102" t="str">
            <v>NPCB-M-800</v>
          </cell>
          <cell r="B102">
            <v>700</v>
          </cell>
          <cell r="C102">
            <v>48</v>
          </cell>
          <cell r="D102">
            <v>54</v>
          </cell>
        </row>
        <row r="103">
          <cell r="A103" t="str">
            <v>NPCB-M-850</v>
          </cell>
          <cell r="B103">
            <v>730</v>
          </cell>
          <cell r="C103">
            <v>48</v>
          </cell>
          <cell r="D103">
            <v>54</v>
          </cell>
        </row>
        <row r="104">
          <cell r="A104" t="str">
            <v>NPCB-M-900</v>
          </cell>
          <cell r="B104">
            <v>760</v>
          </cell>
          <cell r="C104">
            <v>56</v>
          </cell>
          <cell r="D104">
            <v>62</v>
          </cell>
        </row>
        <row r="105">
          <cell r="A105" t="str">
            <v>NPCB-M-1000</v>
          </cell>
          <cell r="B105">
            <v>800</v>
          </cell>
          <cell r="C105">
            <v>56</v>
          </cell>
          <cell r="D105">
            <v>62</v>
          </cell>
        </row>
        <row r="106">
          <cell r="A106" t="str">
            <v>NPCB-M-1100</v>
          </cell>
          <cell r="B106">
            <v>850</v>
          </cell>
          <cell r="C106">
            <v>56</v>
          </cell>
          <cell r="D106">
            <v>62</v>
          </cell>
        </row>
        <row r="107">
          <cell r="A107" t="str">
            <v>NPCB-M-1200</v>
          </cell>
          <cell r="B107">
            <v>900</v>
          </cell>
          <cell r="C107">
            <v>56</v>
          </cell>
          <cell r="D107">
            <v>62</v>
          </cell>
        </row>
        <row r="108">
          <cell r="A108" t="str">
            <v>NPCB-H-150</v>
          </cell>
          <cell r="B108">
            <v>215</v>
          </cell>
          <cell r="C108">
            <v>24</v>
          </cell>
          <cell r="D108">
            <v>28</v>
          </cell>
        </row>
        <row r="109">
          <cell r="A109" t="str">
            <v>NPCB-H-175</v>
          </cell>
          <cell r="B109">
            <v>240</v>
          </cell>
          <cell r="C109">
            <v>24</v>
          </cell>
          <cell r="D109">
            <v>28</v>
          </cell>
        </row>
        <row r="110">
          <cell r="A110" t="str">
            <v>NPCB-H-200</v>
          </cell>
          <cell r="B110">
            <v>255</v>
          </cell>
          <cell r="C110">
            <v>24</v>
          </cell>
          <cell r="D110">
            <v>28</v>
          </cell>
        </row>
        <row r="111">
          <cell r="A111" t="str">
            <v>NPCB-H-225</v>
          </cell>
          <cell r="B111">
            <v>275</v>
          </cell>
          <cell r="C111">
            <v>30</v>
          </cell>
          <cell r="D111">
            <v>34</v>
          </cell>
        </row>
        <row r="112">
          <cell r="A112" t="str">
            <v>NPCB-H-250</v>
          </cell>
          <cell r="B112">
            <v>290</v>
          </cell>
          <cell r="C112">
            <v>30</v>
          </cell>
          <cell r="D112">
            <v>34</v>
          </cell>
        </row>
        <row r="113">
          <cell r="A113" t="str">
            <v>NPCB-H-300</v>
          </cell>
          <cell r="B113">
            <v>325</v>
          </cell>
          <cell r="C113">
            <v>30</v>
          </cell>
          <cell r="D113">
            <v>34</v>
          </cell>
        </row>
        <row r="114">
          <cell r="A114" t="str">
            <v>NPCB-H-350</v>
          </cell>
          <cell r="B114">
            <v>365</v>
          </cell>
          <cell r="C114">
            <v>36</v>
          </cell>
          <cell r="D114">
            <v>42</v>
          </cell>
        </row>
        <row r="115">
          <cell r="A115" t="str">
            <v>NPCB-H-400</v>
          </cell>
          <cell r="B115">
            <v>400</v>
          </cell>
          <cell r="C115">
            <v>36</v>
          </cell>
          <cell r="D115">
            <v>42</v>
          </cell>
        </row>
        <row r="116">
          <cell r="A116" t="str">
            <v>NPCB-H-450</v>
          </cell>
          <cell r="B116">
            <v>430</v>
          </cell>
          <cell r="C116">
            <v>48</v>
          </cell>
          <cell r="D116">
            <v>54</v>
          </cell>
        </row>
        <row r="117">
          <cell r="A117" t="str">
            <v>NPCB-H-500</v>
          </cell>
          <cell r="B117">
            <v>470</v>
          </cell>
          <cell r="C117">
            <v>48</v>
          </cell>
          <cell r="D117">
            <v>54</v>
          </cell>
        </row>
        <row r="118">
          <cell r="A118" t="str">
            <v>NPCB-H-550</v>
          </cell>
          <cell r="B118">
            <v>495</v>
          </cell>
          <cell r="C118">
            <v>48</v>
          </cell>
          <cell r="D118">
            <v>54</v>
          </cell>
        </row>
        <row r="119">
          <cell r="A119" t="str">
            <v>NPCB-H-600</v>
          </cell>
          <cell r="B119">
            <v>520</v>
          </cell>
          <cell r="C119">
            <v>48</v>
          </cell>
          <cell r="D119">
            <v>54</v>
          </cell>
        </row>
        <row r="120">
          <cell r="A120" t="str">
            <v>NPCD-L-020</v>
          </cell>
          <cell r="B120">
            <v>110</v>
          </cell>
          <cell r="C120">
            <v>12</v>
          </cell>
          <cell r="D120">
            <v>18</v>
          </cell>
        </row>
        <row r="121">
          <cell r="A121" t="str">
            <v>NPCD-L-025</v>
          </cell>
          <cell r="B121">
            <v>110</v>
          </cell>
          <cell r="C121">
            <v>12</v>
          </cell>
          <cell r="D121">
            <v>18</v>
          </cell>
        </row>
        <row r="122">
          <cell r="A122" t="str">
            <v>NPCD-L-032</v>
          </cell>
          <cell r="B122">
            <v>125</v>
          </cell>
          <cell r="C122">
            <v>12</v>
          </cell>
          <cell r="D122">
            <v>18</v>
          </cell>
        </row>
        <row r="123">
          <cell r="A123" t="str">
            <v>NPCD-L-040</v>
          </cell>
          <cell r="B123">
            <v>135</v>
          </cell>
          <cell r="C123">
            <v>16</v>
          </cell>
          <cell r="D123">
            <v>22</v>
          </cell>
        </row>
        <row r="124">
          <cell r="A124" t="str">
            <v>NPCD-L-050</v>
          </cell>
          <cell r="B124">
            <v>145</v>
          </cell>
          <cell r="C124">
            <v>16</v>
          </cell>
          <cell r="D124">
            <v>22</v>
          </cell>
        </row>
        <row r="125">
          <cell r="A125" t="str">
            <v>NPCD-L-065</v>
          </cell>
          <cell r="B125">
            <v>155</v>
          </cell>
          <cell r="C125">
            <v>16</v>
          </cell>
          <cell r="D125">
            <v>22</v>
          </cell>
        </row>
        <row r="126">
          <cell r="A126" t="str">
            <v>NPCD-L-080</v>
          </cell>
          <cell r="B126">
            <v>165</v>
          </cell>
          <cell r="C126">
            <v>16</v>
          </cell>
          <cell r="D126">
            <v>22</v>
          </cell>
        </row>
        <row r="127">
          <cell r="A127" t="str">
            <v>NPCD-L-090</v>
          </cell>
          <cell r="B127">
            <v>185</v>
          </cell>
          <cell r="C127">
            <v>20</v>
          </cell>
          <cell r="D127">
            <v>28</v>
          </cell>
        </row>
        <row r="128">
          <cell r="A128" t="str">
            <v>NPCD-L-100</v>
          </cell>
          <cell r="B128">
            <v>195</v>
          </cell>
          <cell r="C128">
            <v>20</v>
          </cell>
          <cell r="D128">
            <v>28</v>
          </cell>
        </row>
        <row r="129">
          <cell r="A129" t="str">
            <v>NPCD-L-125</v>
          </cell>
          <cell r="B129">
            <v>215</v>
          </cell>
          <cell r="C129">
            <v>20</v>
          </cell>
          <cell r="D129">
            <v>28</v>
          </cell>
        </row>
        <row r="130">
          <cell r="A130" t="str">
            <v>NPCD-L-150</v>
          </cell>
          <cell r="B130">
            <v>255</v>
          </cell>
          <cell r="C130">
            <v>20</v>
          </cell>
          <cell r="D130">
            <v>28</v>
          </cell>
        </row>
        <row r="131">
          <cell r="A131" t="str">
            <v>NPCD-L-175</v>
          </cell>
          <cell r="B131">
            <v>280</v>
          </cell>
          <cell r="C131">
            <v>20</v>
          </cell>
          <cell r="D131">
            <v>28</v>
          </cell>
        </row>
        <row r="132">
          <cell r="A132" t="str">
            <v>NPCD-L-200</v>
          </cell>
          <cell r="B132">
            <v>300</v>
          </cell>
          <cell r="C132">
            <v>20</v>
          </cell>
          <cell r="D132">
            <v>28</v>
          </cell>
        </row>
        <row r="133">
          <cell r="A133" t="str">
            <v>NPCD-L-225</v>
          </cell>
          <cell r="B133">
            <v>320</v>
          </cell>
          <cell r="C133">
            <v>24</v>
          </cell>
          <cell r="D133">
            <v>28</v>
          </cell>
        </row>
        <row r="134">
          <cell r="A134" t="str">
            <v>NPCD-L-250</v>
          </cell>
          <cell r="B134">
            <v>340</v>
          </cell>
          <cell r="C134">
            <v>24</v>
          </cell>
          <cell r="D134">
            <v>28</v>
          </cell>
        </row>
        <row r="135">
          <cell r="A135" t="str">
            <v>NPCD-L-300</v>
          </cell>
          <cell r="B135">
            <v>370</v>
          </cell>
          <cell r="C135">
            <v>24</v>
          </cell>
          <cell r="D135">
            <v>28</v>
          </cell>
        </row>
        <row r="136">
          <cell r="A136" t="str">
            <v>NPCD-L-350</v>
          </cell>
          <cell r="B136">
            <v>420</v>
          </cell>
          <cell r="C136">
            <v>24</v>
          </cell>
          <cell r="D136">
            <v>28</v>
          </cell>
        </row>
        <row r="137">
          <cell r="A137" t="str">
            <v>NPCD-L-400</v>
          </cell>
          <cell r="B137">
            <v>445</v>
          </cell>
          <cell r="C137">
            <v>30</v>
          </cell>
          <cell r="D137">
            <v>34</v>
          </cell>
        </row>
        <row r="138">
          <cell r="A138" t="str">
            <v>NPCD-L-450</v>
          </cell>
          <cell r="B138">
            <v>470</v>
          </cell>
          <cell r="C138">
            <v>30</v>
          </cell>
          <cell r="D138">
            <v>34</v>
          </cell>
        </row>
        <row r="139">
          <cell r="A139" t="str">
            <v>NPCD-L-500</v>
          </cell>
          <cell r="B139">
            <v>520</v>
          </cell>
          <cell r="C139">
            <v>36</v>
          </cell>
          <cell r="D139">
            <v>40</v>
          </cell>
        </row>
        <row r="140">
          <cell r="A140" t="str">
            <v>NPCD-L-550</v>
          </cell>
          <cell r="B140">
            <v>550</v>
          </cell>
          <cell r="C140">
            <v>36</v>
          </cell>
          <cell r="D140">
            <v>40</v>
          </cell>
        </row>
        <row r="141">
          <cell r="A141" t="str">
            <v>NPCD-L-600</v>
          </cell>
          <cell r="B141">
            <v>580</v>
          </cell>
          <cell r="C141">
            <v>36</v>
          </cell>
          <cell r="D141">
            <v>40</v>
          </cell>
        </row>
        <row r="142">
          <cell r="A142" t="str">
            <v>NPCD-L-650</v>
          </cell>
          <cell r="B142">
            <v>590</v>
          </cell>
          <cell r="C142">
            <v>42</v>
          </cell>
          <cell r="D142">
            <v>47</v>
          </cell>
        </row>
        <row r="143">
          <cell r="A143" t="str">
            <v>NPCD-L-700</v>
          </cell>
          <cell r="B143">
            <v>620</v>
          </cell>
          <cell r="C143">
            <v>42</v>
          </cell>
          <cell r="D143">
            <v>47</v>
          </cell>
        </row>
        <row r="144">
          <cell r="A144" t="str">
            <v>NPCD-L-750</v>
          </cell>
          <cell r="B144">
            <v>650</v>
          </cell>
          <cell r="C144">
            <v>42</v>
          </cell>
          <cell r="D144">
            <v>47</v>
          </cell>
        </row>
        <row r="145">
          <cell r="A145" t="str">
            <v>NPCD-L-800</v>
          </cell>
          <cell r="B145">
            <v>700</v>
          </cell>
          <cell r="C145">
            <v>42</v>
          </cell>
          <cell r="D145">
            <v>47</v>
          </cell>
        </row>
        <row r="146">
          <cell r="A146" t="str">
            <v>NPCD-L-850</v>
          </cell>
          <cell r="B146">
            <v>730</v>
          </cell>
          <cell r="C146">
            <v>48</v>
          </cell>
          <cell r="D146">
            <v>54</v>
          </cell>
        </row>
        <row r="147">
          <cell r="A147" t="str">
            <v>NPCD-L-900</v>
          </cell>
          <cell r="B147">
            <v>760</v>
          </cell>
          <cell r="C147">
            <v>48</v>
          </cell>
          <cell r="D147">
            <v>54</v>
          </cell>
        </row>
        <row r="148">
          <cell r="A148" t="str">
            <v>NPCD-L-1000</v>
          </cell>
          <cell r="B148">
            <v>800</v>
          </cell>
          <cell r="C148">
            <v>48</v>
          </cell>
          <cell r="D148">
            <v>54</v>
          </cell>
        </row>
        <row r="149">
          <cell r="A149" t="str">
            <v>NPCD-L-1100</v>
          </cell>
          <cell r="B149">
            <v>850</v>
          </cell>
          <cell r="C149">
            <v>48</v>
          </cell>
          <cell r="D149">
            <v>54</v>
          </cell>
        </row>
        <row r="150">
          <cell r="A150" t="str">
            <v>NPCD-L-1200</v>
          </cell>
          <cell r="B150">
            <v>900</v>
          </cell>
          <cell r="C150">
            <v>48</v>
          </cell>
          <cell r="D150">
            <v>54</v>
          </cell>
        </row>
        <row r="151">
          <cell r="A151" t="str">
            <v>NPCD-M-300</v>
          </cell>
          <cell r="B151">
            <v>370</v>
          </cell>
          <cell r="C151">
            <v>24</v>
          </cell>
          <cell r="D151">
            <v>28</v>
          </cell>
        </row>
        <row r="152">
          <cell r="A152" t="str">
            <v>NPCD-M-350</v>
          </cell>
          <cell r="B152">
            <v>420</v>
          </cell>
          <cell r="C152">
            <v>30</v>
          </cell>
          <cell r="D152">
            <v>34</v>
          </cell>
        </row>
        <row r="153">
          <cell r="A153" t="str">
            <v>NPCD-M-400</v>
          </cell>
          <cell r="B153">
            <v>445</v>
          </cell>
          <cell r="C153">
            <v>30</v>
          </cell>
          <cell r="D153">
            <v>34</v>
          </cell>
        </row>
        <row r="154">
          <cell r="A154" t="str">
            <v>NPCD-M-450</v>
          </cell>
          <cell r="B154">
            <v>470</v>
          </cell>
          <cell r="C154">
            <v>30</v>
          </cell>
          <cell r="D154">
            <v>34</v>
          </cell>
        </row>
        <row r="155">
          <cell r="A155" t="str">
            <v>NPCD-M-500</v>
          </cell>
          <cell r="B155">
            <v>520</v>
          </cell>
          <cell r="C155">
            <v>36</v>
          </cell>
          <cell r="D155">
            <v>40</v>
          </cell>
        </row>
        <row r="156">
          <cell r="A156" t="str">
            <v>NPCD-M-550</v>
          </cell>
          <cell r="B156">
            <v>550</v>
          </cell>
          <cell r="C156">
            <v>36</v>
          </cell>
          <cell r="D156">
            <v>40</v>
          </cell>
        </row>
        <row r="157">
          <cell r="A157" t="str">
            <v>NPCD-M-600</v>
          </cell>
          <cell r="B157">
            <v>580</v>
          </cell>
          <cell r="C157">
            <v>42</v>
          </cell>
          <cell r="D157">
            <v>46</v>
          </cell>
        </row>
        <row r="158">
          <cell r="A158" t="str">
            <v>NPCD-M-650</v>
          </cell>
          <cell r="B158">
            <v>590</v>
          </cell>
          <cell r="C158">
            <v>42</v>
          </cell>
          <cell r="D158">
            <v>46</v>
          </cell>
        </row>
        <row r="159">
          <cell r="A159" t="str">
            <v>NPCD-M-700</v>
          </cell>
          <cell r="B159">
            <v>620</v>
          </cell>
          <cell r="C159">
            <v>48</v>
          </cell>
          <cell r="D159">
            <v>54</v>
          </cell>
        </row>
        <row r="160">
          <cell r="A160" t="str">
            <v>NPCD-M-750</v>
          </cell>
          <cell r="B160">
            <v>650</v>
          </cell>
          <cell r="C160">
            <v>48</v>
          </cell>
          <cell r="D160">
            <v>54</v>
          </cell>
        </row>
        <row r="161">
          <cell r="A161" t="str">
            <v>NPCD-M-800</v>
          </cell>
          <cell r="B161">
            <v>700</v>
          </cell>
          <cell r="C161">
            <v>48</v>
          </cell>
          <cell r="D161">
            <v>54</v>
          </cell>
        </row>
        <row r="162">
          <cell r="A162" t="str">
            <v>NPCD-M-850</v>
          </cell>
          <cell r="B162">
            <v>730</v>
          </cell>
          <cell r="C162">
            <v>48</v>
          </cell>
          <cell r="D162">
            <v>54</v>
          </cell>
        </row>
        <row r="163">
          <cell r="A163" t="str">
            <v>NPCD-M-900</v>
          </cell>
          <cell r="B163">
            <v>760</v>
          </cell>
          <cell r="C163">
            <v>56</v>
          </cell>
          <cell r="D163">
            <v>62</v>
          </cell>
        </row>
        <row r="164">
          <cell r="A164" t="str">
            <v>NPCD-M-1000</v>
          </cell>
          <cell r="B164">
            <v>800</v>
          </cell>
          <cell r="C164">
            <v>56</v>
          </cell>
          <cell r="D164">
            <v>62</v>
          </cell>
        </row>
        <row r="165">
          <cell r="A165" t="str">
            <v>NPCD-M-1100</v>
          </cell>
          <cell r="B165">
            <v>850</v>
          </cell>
          <cell r="C165">
            <v>56</v>
          </cell>
          <cell r="D165">
            <v>62</v>
          </cell>
        </row>
        <row r="166">
          <cell r="A166" t="str">
            <v>NPCD-M-1200</v>
          </cell>
          <cell r="B166">
            <v>900</v>
          </cell>
          <cell r="C166">
            <v>56</v>
          </cell>
          <cell r="D166">
            <v>62</v>
          </cell>
        </row>
        <row r="167">
          <cell r="A167" t="str">
            <v>NPCD-H-150</v>
          </cell>
          <cell r="B167">
            <v>255</v>
          </cell>
          <cell r="C167">
            <v>24</v>
          </cell>
          <cell r="D167">
            <v>28</v>
          </cell>
        </row>
        <row r="168">
          <cell r="A168" t="str">
            <v>NPCD-H-175</v>
          </cell>
          <cell r="B168">
            <v>280</v>
          </cell>
          <cell r="C168">
            <v>24</v>
          </cell>
          <cell r="D168">
            <v>28</v>
          </cell>
        </row>
        <row r="169">
          <cell r="A169" t="str">
            <v>NPCD-H-200</v>
          </cell>
          <cell r="B169">
            <v>300</v>
          </cell>
          <cell r="C169">
            <v>24</v>
          </cell>
          <cell r="D169">
            <v>28</v>
          </cell>
        </row>
        <row r="170">
          <cell r="A170" t="str">
            <v>NPCD-H-225</v>
          </cell>
          <cell r="B170">
            <v>320</v>
          </cell>
          <cell r="C170">
            <v>30</v>
          </cell>
          <cell r="D170">
            <v>34</v>
          </cell>
        </row>
        <row r="171">
          <cell r="A171" t="str">
            <v>NPCD-H-250</v>
          </cell>
          <cell r="B171">
            <v>340</v>
          </cell>
          <cell r="C171">
            <v>30</v>
          </cell>
          <cell r="D171">
            <v>34</v>
          </cell>
        </row>
        <row r="172">
          <cell r="A172" t="str">
            <v>NPCD-H-300</v>
          </cell>
          <cell r="B172">
            <v>370</v>
          </cell>
          <cell r="C172">
            <v>30</v>
          </cell>
          <cell r="D172">
            <v>34</v>
          </cell>
        </row>
        <row r="173">
          <cell r="A173" t="str">
            <v>NPCD-H-350</v>
          </cell>
          <cell r="B173">
            <v>420</v>
          </cell>
          <cell r="C173">
            <v>36</v>
          </cell>
          <cell r="D173">
            <v>42</v>
          </cell>
        </row>
        <row r="174">
          <cell r="A174" t="str">
            <v>NPCD-H-400</v>
          </cell>
          <cell r="B174">
            <v>445</v>
          </cell>
          <cell r="C174">
            <v>36</v>
          </cell>
          <cell r="D174">
            <v>42</v>
          </cell>
        </row>
        <row r="175">
          <cell r="A175" t="str">
            <v>NPCD-H-450</v>
          </cell>
          <cell r="B175">
            <v>470</v>
          </cell>
          <cell r="C175">
            <v>48</v>
          </cell>
          <cell r="D175">
            <v>54</v>
          </cell>
        </row>
        <row r="176">
          <cell r="A176" t="str">
            <v>NPCD-H-500</v>
          </cell>
          <cell r="B176">
            <v>520</v>
          </cell>
          <cell r="C176">
            <v>48</v>
          </cell>
          <cell r="D176">
            <v>54</v>
          </cell>
        </row>
        <row r="177">
          <cell r="A177" t="str">
            <v>NPCD-H-550</v>
          </cell>
          <cell r="B177">
            <v>550</v>
          </cell>
          <cell r="C177">
            <v>48</v>
          </cell>
          <cell r="D177">
            <v>54</v>
          </cell>
        </row>
        <row r="178">
          <cell r="A178" t="str">
            <v>NPCD-H-575</v>
          </cell>
          <cell r="B178">
            <v>580</v>
          </cell>
          <cell r="C178">
            <v>48</v>
          </cell>
          <cell r="D178">
            <v>54</v>
          </cell>
        </row>
        <row r="179">
          <cell r="A179" t="str">
            <v>NPCD-H-600</v>
          </cell>
          <cell r="B179">
            <v>580</v>
          </cell>
          <cell r="C179">
            <v>48</v>
          </cell>
          <cell r="D179">
            <v>54</v>
          </cell>
        </row>
        <row r="180">
          <cell r="A180" t="str">
            <v>NPCE-L-020</v>
          </cell>
          <cell r="B180">
            <v>110</v>
          </cell>
          <cell r="C180">
            <v>12</v>
          </cell>
          <cell r="D180">
            <v>18</v>
          </cell>
        </row>
        <row r="181">
          <cell r="A181" t="str">
            <v>NPCE-L-025</v>
          </cell>
          <cell r="B181">
            <v>110</v>
          </cell>
          <cell r="C181">
            <v>12</v>
          </cell>
          <cell r="D181">
            <v>18</v>
          </cell>
        </row>
        <row r="182">
          <cell r="A182" t="str">
            <v>NPCE-L-032</v>
          </cell>
          <cell r="B182">
            <v>125</v>
          </cell>
          <cell r="C182">
            <v>12</v>
          </cell>
          <cell r="D182">
            <v>18</v>
          </cell>
        </row>
        <row r="183">
          <cell r="A183" t="str">
            <v>NPCE-L-040</v>
          </cell>
          <cell r="B183">
            <v>135</v>
          </cell>
          <cell r="C183">
            <v>16</v>
          </cell>
          <cell r="D183">
            <v>22</v>
          </cell>
        </row>
        <row r="184">
          <cell r="A184" t="str">
            <v>NPCE-L-050</v>
          </cell>
          <cell r="B184">
            <v>145</v>
          </cell>
          <cell r="C184">
            <v>16</v>
          </cell>
          <cell r="D184">
            <v>22</v>
          </cell>
        </row>
        <row r="185">
          <cell r="A185" t="str">
            <v>NPCE-L-065</v>
          </cell>
          <cell r="B185">
            <v>155</v>
          </cell>
          <cell r="C185">
            <v>16</v>
          </cell>
          <cell r="D185">
            <v>22</v>
          </cell>
        </row>
        <row r="186">
          <cell r="A186" t="str">
            <v>NPCE-L-080</v>
          </cell>
          <cell r="B186">
            <v>165</v>
          </cell>
          <cell r="C186">
            <v>16</v>
          </cell>
          <cell r="D186">
            <v>22</v>
          </cell>
        </row>
        <row r="187">
          <cell r="A187" t="str">
            <v>NPCE-L-090</v>
          </cell>
          <cell r="B187">
            <v>185</v>
          </cell>
          <cell r="C187">
            <v>20</v>
          </cell>
          <cell r="D187">
            <v>28</v>
          </cell>
        </row>
        <row r="188">
          <cell r="A188" t="str">
            <v>NPCE-L-100</v>
          </cell>
          <cell r="B188">
            <v>195</v>
          </cell>
          <cell r="C188">
            <v>20</v>
          </cell>
          <cell r="D188">
            <v>28</v>
          </cell>
        </row>
        <row r="189">
          <cell r="A189" t="str">
            <v>NPCE-L-125</v>
          </cell>
          <cell r="B189">
            <v>215</v>
          </cell>
          <cell r="C189">
            <v>20</v>
          </cell>
          <cell r="D189">
            <v>28</v>
          </cell>
        </row>
        <row r="190">
          <cell r="A190" t="str">
            <v>NPCE-L-150</v>
          </cell>
          <cell r="B190">
            <v>255</v>
          </cell>
          <cell r="C190">
            <v>20</v>
          </cell>
          <cell r="D190">
            <v>28</v>
          </cell>
        </row>
        <row r="191">
          <cell r="A191" t="str">
            <v>NPCE-L-175</v>
          </cell>
          <cell r="B191">
            <v>280</v>
          </cell>
          <cell r="C191">
            <v>20</v>
          </cell>
          <cell r="D191">
            <v>28</v>
          </cell>
        </row>
        <row r="192">
          <cell r="A192" t="str">
            <v>NPCE-L-200</v>
          </cell>
          <cell r="B192">
            <v>300</v>
          </cell>
          <cell r="C192">
            <v>20</v>
          </cell>
          <cell r="D192">
            <v>28</v>
          </cell>
        </row>
        <row r="193">
          <cell r="A193" t="str">
            <v>NPCE-L-225</v>
          </cell>
          <cell r="B193">
            <v>320</v>
          </cell>
          <cell r="C193">
            <v>24</v>
          </cell>
          <cell r="D193">
            <v>28</v>
          </cell>
        </row>
        <row r="194">
          <cell r="A194" t="str">
            <v>NPCE-L-250</v>
          </cell>
          <cell r="B194">
            <v>340</v>
          </cell>
          <cell r="C194">
            <v>24</v>
          </cell>
          <cell r="D194">
            <v>28</v>
          </cell>
        </row>
        <row r="195">
          <cell r="A195" t="str">
            <v>NPCE-L-300</v>
          </cell>
          <cell r="B195">
            <v>370</v>
          </cell>
          <cell r="C195">
            <v>24</v>
          </cell>
          <cell r="D195">
            <v>28</v>
          </cell>
        </row>
        <row r="196">
          <cell r="A196" t="str">
            <v>NPCE-L-350</v>
          </cell>
          <cell r="B196">
            <v>420</v>
          </cell>
          <cell r="C196">
            <v>24</v>
          </cell>
          <cell r="D196">
            <v>28</v>
          </cell>
        </row>
        <row r="197">
          <cell r="A197" t="str">
            <v>NPCE-L-400</v>
          </cell>
          <cell r="B197">
            <v>445</v>
          </cell>
          <cell r="C197">
            <v>30</v>
          </cell>
          <cell r="D197">
            <v>34</v>
          </cell>
        </row>
        <row r="198">
          <cell r="A198" t="str">
            <v>NPCE-L-450</v>
          </cell>
          <cell r="B198">
            <v>470</v>
          </cell>
          <cell r="C198">
            <v>30</v>
          </cell>
          <cell r="D198">
            <v>34</v>
          </cell>
        </row>
        <row r="199">
          <cell r="A199" t="str">
            <v>NPCE-L-500</v>
          </cell>
          <cell r="B199">
            <v>520</v>
          </cell>
          <cell r="C199">
            <v>36</v>
          </cell>
          <cell r="D199">
            <v>40</v>
          </cell>
        </row>
        <row r="200">
          <cell r="A200" t="str">
            <v>NPCE-L-550</v>
          </cell>
          <cell r="B200">
            <v>550</v>
          </cell>
          <cell r="C200">
            <v>36</v>
          </cell>
          <cell r="D200">
            <v>40</v>
          </cell>
        </row>
        <row r="201">
          <cell r="A201" t="str">
            <v>NPCE-L-600</v>
          </cell>
          <cell r="B201">
            <v>580</v>
          </cell>
          <cell r="C201">
            <v>36</v>
          </cell>
          <cell r="D201">
            <v>40</v>
          </cell>
        </row>
        <row r="202">
          <cell r="A202" t="str">
            <v>NPCE-L-650</v>
          </cell>
          <cell r="B202">
            <v>590</v>
          </cell>
          <cell r="C202">
            <v>42</v>
          </cell>
          <cell r="D202">
            <v>47</v>
          </cell>
        </row>
        <row r="203">
          <cell r="A203" t="str">
            <v>NPCE-L-700</v>
          </cell>
          <cell r="B203">
            <v>620</v>
          </cell>
          <cell r="C203">
            <v>42</v>
          </cell>
          <cell r="D203">
            <v>47</v>
          </cell>
        </row>
        <row r="204">
          <cell r="A204" t="str">
            <v>NPCE-L-750</v>
          </cell>
          <cell r="B204">
            <v>650</v>
          </cell>
          <cell r="C204">
            <v>42</v>
          </cell>
          <cell r="D204">
            <v>47</v>
          </cell>
        </row>
        <row r="205">
          <cell r="A205" t="str">
            <v>NPCE-L-800</v>
          </cell>
          <cell r="B205">
            <v>700</v>
          </cell>
          <cell r="C205">
            <v>42</v>
          </cell>
          <cell r="D205">
            <v>47</v>
          </cell>
        </row>
        <row r="206">
          <cell r="A206" t="str">
            <v>NPCE-L-850</v>
          </cell>
          <cell r="B206">
            <v>730</v>
          </cell>
          <cell r="C206">
            <v>48</v>
          </cell>
          <cell r="D206">
            <v>54</v>
          </cell>
        </row>
        <row r="207">
          <cell r="A207" t="str">
            <v>NPCE-L-900</v>
          </cell>
          <cell r="B207">
            <v>760</v>
          </cell>
          <cell r="C207">
            <v>48</v>
          </cell>
          <cell r="D207">
            <v>54</v>
          </cell>
        </row>
        <row r="208">
          <cell r="A208" t="str">
            <v>NPCE-L-1000</v>
          </cell>
          <cell r="B208">
            <v>800</v>
          </cell>
          <cell r="C208">
            <v>48</v>
          </cell>
          <cell r="D208">
            <v>54</v>
          </cell>
        </row>
        <row r="209">
          <cell r="A209" t="str">
            <v>NPCE-L-1100</v>
          </cell>
          <cell r="B209">
            <v>850</v>
          </cell>
          <cell r="C209">
            <v>48</v>
          </cell>
          <cell r="D209">
            <v>54</v>
          </cell>
        </row>
        <row r="210">
          <cell r="A210" t="str">
            <v>NPCE-L-1200</v>
          </cell>
          <cell r="B210">
            <v>900</v>
          </cell>
          <cell r="C210">
            <v>48</v>
          </cell>
          <cell r="D210">
            <v>54</v>
          </cell>
        </row>
        <row r="211">
          <cell r="A211" t="str">
            <v>NPCE-M-300</v>
          </cell>
          <cell r="B211">
            <v>370</v>
          </cell>
          <cell r="C211">
            <v>24</v>
          </cell>
          <cell r="D211">
            <v>28</v>
          </cell>
        </row>
        <row r="212">
          <cell r="A212" t="str">
            <v>NPCE-M-350</v>
          </cell>
          <cell r="B212">
            <v>420</v>
          </cell>
          <cell r="C212">
            <v>30</v>
          </cell>
          <cell r="D212">
            <v>34</v>
          </cell>
        </row>
        <row r="213">
          <cell r="A213" t="str">
            <v>NPCE-M-400</v>
          </cell>
          <cell r="B213">
            <v>445</v>
          </cell>
          <cell r="C213">
            <v>30</v>
          </cell>
          <cell r="D213">
            <v>34</v>
          </cell>
        </row>
        <row r="214">
          <cell r="A214" t="str">
            <v>NPCE-M-450</v>
          </cell>
          <cell r="B214">
            <v>470</v>
          </cell>
          <cell r="C214">
            <v>30</v>
          </cell>
          <cell r="D214">
            <v>34</v>
          </cell>
        </row>
        <row r="215">
          <cell r="A215" t="str">
            <v>NPCE-M-500</v>
          </cell>
          <cell r="B215">
            <v>520</v>
          </cell>
          <cell r="C215">
            <v>36</v>
          </cell>
          <cell r="D215">
            <v>40</v>
          </cell>
        </row>
        <row r="216">
          <cell r="A216" t="str">
            <v>NPCE-M-550</v>
          </cell>
          <cell r="B216">
            <v>550</v>
          </cell>
          <cell r="C216">
            <v>36</v>
          </cell>
          <cell r="D216">
            <v>40</v>
          </cell>
        </row>
        <row r="217">
          <cell r="A217" t="str">
            <v>NPCE-M-600</v>
          </cell>
          <cell r="B217">
            <v>580</v>
          </cell>
          <cell r="C217">
            <v>42</v>
          </cell>
          <cell r="D217">
            <v>47</v>
          </cell>
        </row>
        <row r="218">
          <cell r="A218" t="str">
            <v>NPCE-M-650</v>
          </cell>
          <cell r="B218">
            <v>590</v>
          </cell>
          <cell r="C218">
            <v>42</v>
          </cell>
          <cell r="D218">
            <v>47</v>
          </cell>
        </row>
        <row r="219">
          <cell r="A219" t="str">
            <v>NPCE-M-700</v>
          </cell>
          <cell r="B219">
            <v>620</v>
          </cell>
          <cell r="C219">
            <v>48</v>
          </cell>
          <cell r="D219">
            <v>54</v>
          </cell>
        </row>
        <row r="220">
          <cell r="A220" t="str">
            <v>NPCE-M-750</v>
          </cell>
          <cell r="B220">
            <v>650</v>
          </cell>
          <cell r="C220">
            <v>48</v>
          </cell>
          <cell r="D220">
            <v>54</v>
          </cell>
        </row>
        <row r="221">
          <cell r="A221" t="str">
            <v>NPCE-M-800</v>
          </cell>
          <cell r="B221">
            <v>700</v>
          </cell>
          <cell r="C221">
            <v>48</v>
          </cell>
          <cell r="D221">
            <v>54</v>
          </cell>
        </row>
        <row r="222">
          <cell r="A222" t="str">
            <v>NPCE-M-850</v>
          </cell>
          <cell r="B222">
            <v>730</v>
          </cell>
          <cell r="C222">
            <v>48</v>
          </cell>
          <cell r="D222">
            <v>54</v>
          </cell>
        </row>
        <row r="223">
          <cell r="A223" t="str">
            <v>NPCE-M-900</v>
          </cell>
          <cell r="B223">
            <v>760</v>
          </cell>
          <cell r="C223">
            <v>56</v>
          </cell>
          <cell r="D223">
            <v>62</v>
          </cell>
        </row>
        <row r="224">
          <cell r="A224" t="str">
            <v>NPCE-M-1000</v>
          </cell>
          <cell r="B224">
            <v>800</v>
          </cell>
          <cell r="C224">
            <v>56</v>
          </cell>
          <cell r="D224">
            <v>62</v>
          </cell>
        </row>
        <row r="225">
          <cell r="A225" t="str">
            <v>NPCE-M-1100</v>
          </cell>
          <cell r="B225">
            <v>850</v>
          </cell>
          <cell r="C225">
            <v>56</v>
          </cell>
          <cell r="D225">
            <v>62</v>
          </cell>
        </row>
        <row r="226">
          <cell r="A226" t="str">
            <v>NPCE-M-1200</v>
          </cell>
          <cell r="B226">
            <v>900</v>
          </cell>
          <cell r="C226">
            <v>56</v>
          </cell>
          <cell r="D226">
            <v>62</v>
          </cell>
        </row>
        <row r="227">
          <cell r="A227" t="str">
            <v>NPCE-H-150</v>
          </cell>
          <cell r="B227">
            <v>255</v>
          </cell>
          <cell r="C227">
            <v>24</v>
          </cell>
          <cell r="D227">
            <v>28</v>
          </cell>
        </row>
        <row r="228">
          <cell r="A228" t="str">
            <v>NPCE-H-175</v>
          </cell>
          <cell r="B228">
            <v>280</v>
          </cell>
          <cell r="C228">
            <v>24</v>
          </cell>
          <cell r="D228">
            <v>28</v>
          </cell>
        </row>
        <row r="229">
          <cell r="A229" t="str">
            <v>NPCE-H-200</v>
          </cell>
          <cell r="B229">
            <v>300</v>
          </cell>
          <cell r="C229">
            <v>24</v>
          </cell>
          <cell r="D229">
            <v>28</v>
          </cell>
        </row>
        <row r="230">
          <cell r="A230" t="str">
            <v>NPCE-H-225</v>
          </cell>
          <cell r="B230">
            <v>320</v>
          </cell>
          <cell r="C230">
            <v>30</v>
          </cell>
          <cell r="D230">
            <v>34</v>
          </cell>
        </row>
        <row r="231">
          <cell r="A231" t="str">
            <v>NPCE-H-250</v>
          </cell>
          <cell r="B231">
            <v>340</v>
          </cell>
          <cell r="C231">
            <v>30</v>
          </cell>
          <cell r="D231">
            <v>34</v>
          </cell>
        </row>
        <row r="232">
          <cell r="A232" t="str">
            <v>NPCE-H-300</v>
          </cell>
          <cell r="B232">
            <v>370</v>
          </cell>
          <cell r="C232">
            <v>30</v>
          </cell>
          <cell r="D232">
            <v>34</v>
          </cell>
        </row>
        <row r="233">
          <cell r="A233" t="str">
            <v>NPCE-H-350</v>
          </cell>
          <cell r="B233">
            <v>420</v>
          </cell>
          <cell r="C233">
            <v>36</v>
          </cell>
          <cell r="D233">
            <v>42</v>
          </cell>
        </row>
        <row r="234">
          <cell r="A234" t="str">
            <v>NPCE-H-400</v>
          </cell>
          <cell r="B234">
            <v>445</v>
          </cell>
          <cell r="C234">
            <v>36</v>
          </cell>
          <cell r="D234">
            <v>42</v>
          </cell>
        </row>
        <row r="235">
          <cell r="A235" t="str">
            <v>NPCE-H-450</v>
          </cell>
          <cell r="B235">
            <v>470</v>
          </cell>
          <cell r="C235">
            <v>48</v>
          </cell>
          <cell r="D235">
            <v>54</v>
          </cell>
        </row>
        <row r="236">
          <cell r="A236" t="str">
            <v>NPCE-H-500</v>
          </cell>
          <cell r="B236">
            <v>520</v>
          </cell>
          <cell r="C236">
            <v>48</v>
          </cell>
          <cell r="D236">
            <v>54</v>
          </cell>
        </row>
        <row r="237">
          <cell r="A237" t="str">
            <v>NPCE-H-550</v>
          </cell>
          <cell r="B237">
            <v>550</v>
          </cell>
          <cell r="C237">
            <v>48</v>
          </cell>
          <cell r="D237">
            <v>54</v>
          </cell>
        </row>
        <row r="238">
          <cell r="A238" t="str">
            <v>NPCE-H-600</v>
          </cell>
          <cell r="B238">
            <v>580</v>
          </cell>
          <cell r="C238">
            <v>48</v>
          </cell>
          <cell r="D238">
            <v>54</v>
          </cell>
        </row>
        <row r="239">
          <cell r="A239" t="str">
            <v>NPCX-L-065A</v>
          </cell>
          <cell r="B239">
            <v>65</v>
          </cell>
        </row>
        <row r="240">
          <cell r="A240" t="str">
            <v>NPCX-L-150A</v>
          </cell>
          <cell r="B240">
            <v>125</v>
          </cell>
        </row>
        <row r="241">
          <cell r="A241" t="str">
            <v>NPCX-L-200A</v>
          </cell>
          <cell r="B241">
            <v>150</v>
          </cell>
        </row>
        <row r="242">
          <cell r="A242" t="str">
            <v>NPCX-L-250A</v>
          </cell>
          <cell r="B242">
            <v>200</v>
          </cell>
        </row>
        <row r="243">
          <cell r="A243" t="str">
            <v>NPCX-L-300A</v>
          </cell>
          <cell r="B243">
            <v>225</v>
          </cell>
        </row>
        <row r="244">
          <cell r="A244" t="str">
            <v>NPCX-M-300A</v>
          </cell>
          <cell r="B244">
            <v>225</v>
          </cell>
        </row>
        <row r="245">
          <cell r="A245" t="str">
            <v>NPCX-H-150A</v>
          </cell>
          <cell r="B245">
            <v>130</v>
          </cell>
        </row>
        <row r="246">
          <cell r="A246" t="str">
            <v>NPCX-H-200A</v>
          </cell>
          <cell r="B246">
            <v>165</v>
          </cell>
        </row>
        <row r="247">
          <cell r="A247" t="str">
            <v>NPCX-H-250A</v>
          </cell>
          <cell r="B247">
            <v>200</v>
          </cell>
        </row>
        <row r="248">
          <cell r="A248" t="str">
            <v>NPCX-H-300A</v>
          </cell>
          <cell r="B248">
            <v>230</v>
          </cell>
        </row>
        <row r="249">
          <cell r="A249" t="str">
            <v>NPCB-L-065A</v>
          </cell>
          <cell r="B249">
            <v>130</v>
          </cell>
        </row>
        <row r="250">
          <cell r="A250" t="str">
            <v>NPCB-L-150A</v>
          </cell>
          <cell r="B250">
            <v>215</v>
          </cell>
        </row>
        <row r="251">
          <cell r="A251" t="str">
            <v>NPCB-L-200A</v>
          </cell>
          <cell r="B251">
            <v>255</v>
          </cell>
        </row>
        <row r="252">
          <cell r="A252" t="str">
            <v>NPCB-L-250A</v>
          </cell>
          <cell r="B252">
            <v>290</v>
          </cell>
        </row>
        <row r="253">
          <cell r="A253" t="str">
            <v>NPCB-L-300A</v>
          </cell>
          <cell r="B253">
            <v>325</v>
          </cell>
        </row>
        <row r="254">
          <cell r="A254" t="str">
            <v>NPCB-M-300A</v>
          </cell>
          <cell r="B254">
            <v>325</v>
          </cell>
        </row>
        <row r="255">
          <cell r="A255" t="str">
            <v>NPCB-H-150A</v>
          </cell>
          <cell r="B255">
            <v>215</v>
          </cell>
        </row>
        <row r="256">
          <cell r="A256" t="str">
            <v>NPCB-H-200A</v>
          </cell>
          <cell r="B256">
            <v>255</v>
          </cell>
        </row>
        <row r="257">
          <cell r="A257" t="str">
            <v>NPCB-H-250A</v>
          </cell>
          <cell r="B257">
            <v>290</v>
          </cell>
        </row>
        <row r="258">
          <cell r="A258" t="str">
            <v>NPCB-H-300A</v>
          </cell>
          <cell r="B258">
            <v>325</v>
          </cell>
        </row>
        <row r="259">
          <cell r="A259" t="str">
            <v>NPCD-L-065A</v>
          </cell>
          <cell r="B259">
            <v>155</v>
          </cell>
        </row>
        <row r="260">
          <cell r="A260" t="str">
            <v>NPCD-L-150A</v>
          </cell>
          <cell r="B260">
            <v>255</v>
          </cell>
        </row>
        <row r="261">
          <cell r="A261" t="str">
            <v>NPCD-L-200A</v>
          </cell>
          <cell r="B261">
            <v>300</v>
          </cell>
        </row>
        <row r="262">
          <cell r="A262" t="str">
            <v>NPCD-L-250A</v>
          </cell>
          <cell r="B262">
            <v>340</v>
          </cell>
        </row>
        <row r="263">
          <cell r="A263" t="str">
            <v>NPCD-L-300A</v>
          </cell>
          <cell r="B263">
            <v>370</v>
          </cell>
        </row>
        <row r="264">
          <cell r="A264" t="str">
            <v>NPCD-M-300A</v>
          </cell>
          <cell r="B264">
            <v>370</v>
          </cell>
        </row>
        <row r="265">
          <cell r="A265" t="str">
            <v>NPCD-H-150A</v>
          </cell>
          <cell r="B265">
            <v>255</v>
          </cell>
        </row>
        <row r="266">
          <cell r="A266" t="str">
            <v>NPCD-H-200A</v>
          </cell>
          <cell r="B266">
            <v>300</v>
          </cell>
        </row>
        <row r="267">
          <cell r="A267" t="str">
            <v>NPCD-H-250A</v>
          </cell>
          <cell r="B267">
            <v>340</v>
          </cell>
        </row>
        <row r="268">
          <cell r="A268" t="str">
            <v>NPCD-H-300A</v>
          </cell>
          <cell r="B268">
            <v>370</v>
          </cell>
        </row>
        <row r="269">
          <cell r="A269" t="str">
            <v>NPCE-L-065A</v>
          </cell>
          <cell r="B269">
            <v>155</v>
          </cell>
        </row>
        <row r="270">
          <cell r="A270" t="str">
            <v>NPCE-L-150A</v>
          </cell>
          <cell r="B270">
            <v>255</v>
          </cell>
        </row>
        <row r="271">
          <cell r="A271" t="str">
            <v>NPCE-L-200A</v>
          </cell>
          <cell r="B271">
            <v>300</v>
          </cell>
        </row>
        <row r="272">
          <cell r="A272" t="str">
            <v>NPCE-L-250A</v>
          </cell>
          <cell r="B272">
            <v>340</v>
          </cell>
        </row>
        <row r="273">
          <cell r="A273" t="str">
            <v>NPCE-L-300A</v>
          </cell>
          <cell r="B273">
            <v>370</v>
          </cell>
        </row>
        <row r="274">
          <cell r="A274" t="str">
            <v>NPCE-M-300A</v>
          </cell>
          <cell r="B274">
            <v>370</v>
          </cell>
        </row>
        <row r="275">
          <cell r="A275" t="str">
            <v>NPCE-H-150A</v>
          </cell>
          <cell r="B275">
            <v>255</v>
          </cell>
        </row>
        <row r="276">
          <cell r="A276" t="str">
            <v>NPCE-H-200A</v>
          </cell>
          <cell r="B276">
            <v>300</v>
          </cell>
        </row>
        <row r="277">
          <cell r="A277" t="str">
            <v>NPCE-H-250A</v>
          </cell>
          <cell r="B277">
            <v>340</v>
          </cell>
        </row>
        <row r="278">
          <cell r="A278" t="str">
            <v>NPCE-H-300A</v>
          </cell>
          <cell r="B278">
            <v>370</v>
          </cell>
        </row>
        <row r="279">
          <cell r="A279" t="str">
            <v>EHC-080</v>
          </cell>
          <cell r="B279">
            <v>150</v>
          </cell>
        </row>
        <row r="280">
          <cell r="A280" t="str">
            <v>EHC-090</v>
          </cell>
          <cell r="B280">
            <v>150</v>
          </cell>
        </row>
        <row r="281">
          <cell r="A281" t="str">
            <v>EHC-100</v>
          </cell>
          <cell r="B281">
            <v>150</v>
          </cell>
        </row>
        <row r="282">
          <cell r="A282" t="str">
            <v>EHC-125</v>
          </cell>
          <cell r="B282">
            <v>200</v>
          </cell>
        </row>
        <row r="283">
          <cell r="A283" t="str">
            <v>EHC-150</v>
          </cell>
          <cell r="B283">
            <v>200</v>
          </cell>
        </row>
        <row r="284">
          <cell r="A284" t="str">
            <v>EHC-175</v>
          </cell>
          <cell r="B284">
            <v>200</v>
          </cell>
        </row>
        <row r="285">
          <cell r="A285" t="str">
            <v>EHC-200</v>
          </cell>
          <cell r="B285">
            <v>200</v>
          </cell>
        </row>
        <row r="286">
          <cell r="A286" t="str">
            <v>EHC-225</v>
          </cell>
          <cell r="B286">
            <v>200</v>
          </cell>
        </row>
        <row r="287">
          <cell r="A287" t="str">
            <v>EHC-250</v>
          </cell>
          <cell r="B287">
            <v>250</v>
          </cell>
          <cell r="C287">
            <v>0</v>
          </cell>
          <cell r="D287">
            <v>47</v>
          </cell>
        </row>
        <row r="288">
          <cell r="A288" t="str">
            <v>EHC-300</v>
          </cell>
          <cell r="B288">
            <v>250</v>
          </cell>
          <cell r="C288">
            <v>0</v>
          </cell>
          <cell r="D288">
            <v>47</v>
          </cell>
        </row>
        <row r="289">
          <cell r="A289" t="str">
            <v>EHC-350</v>
          </cell>
          <cell r="B289">
            <v>250</v>
          </cell>
          <cell r="D289">
            <v>47</v>
          </cell>
        </row>
        <row r="290">
          <cell r="A290" t="str">
            <v>EHC-400</v>
          </cell>
          <cell r="B290">
            <v>300</v>
          </cell>
          <cell r="D290">
            <v>54</v>
          </cell>
        </row>
        <row r="291">
          <cell r="A291" t="str">
            <v>EHC-450</v>
          </cell>
          <cell r="B291">
            <v>300</v>
          </cell>
          <cell r="D291">
            <v>54</v>
          </cell>
        </row>
        <row r="292">
          <cell r="A292" t="str">
            <v>EHC-500</v>
          </cell>
          <cell r="B292">
            <v>300</v>
          </cell>
          <cell r="D292">
            <v>54</v>
          </cell>
        </row>
        <row r="293">
          <cell r="A293" t="str">
            <v>EHC-550</v>
          </cell>
          <cell r="B293">
            <v>300</v>
          </cell>
          <cell r="D293">
            <v>62</v>
          </cell>
        </row>
        <row r="294">
          <cell r="A294" t="str">
            <v>EHC-600</v>
          </cell>
          <cell r="B294">
            <v>300</v>
          </cell>
          <cell r="D294">
            <v>62</v>
          </cell>
        </row>
        <row r="295">
          <cell r="A295" t="str">
            <v>EHA-080</v>
          </cell>
          <cell r="B295">
            <v>175</v>
          </cell>
        </row>
        <row r="296">
          <cell r="A296" t="str">
            <v>EHA-090</v>
          </cell>
          <cell r="B296">
            <v>200</v>
          </cell>
        </row>
        <row r="297">
          <cell r="A297" t="str">
            <v>EHA-100</v>
          </cell>
          <cell r="B297">
            <v>200</v>
          </cell>
        </row>
        <row r="298">
          <cell r="A298" t="str">
            <v>EHA-125</v>
          </cell>
          <cell r="B298">
            <v>200</v>
          </cell>
        </row>
        <row r="299">
          <cell r="A299" t="str">
            <v>EHA-150</v>
          </cell>
          <cell r="B299">
            <v>250</v>
          </cell>
        </row>
        <row r="300">
          <cell r="A300" t="str">
            <v>EHA-175</v>
          </cell>
          <cell r="B300">
            <v>250</v>
          </cell>
        </row>
        <row r="301">
          <cell r="A301" t="str">
            <v>EHA-200</v>
          </cell>
          <cell r="B301">
            <v>250</v>
          </cell>
        </row>
        <row r="302">
          <cell r="A302" t="str">
            <v>EHA-225</v>
          </cell>
          <cell r="B302">
            <v>250</v>
          </cell>
        </row>
        <row r="303">
          <cell r="A303" t="str">
            <v>EHA-250</v>
          </cell>
          <cell r="B303">
            <v>300</v>
          </cell>
          <cell r="D303">
            <v>47</v>
          </cell>
        </row>
        <row r="304">
          <cell r="A304" t="str">
            <v>EHA-300</v>
          </cell>
          <cell r="B304">
            <v>300</v>
          </cell>
          <cell r="D304">
            <v>47</v>
          </cell>
        </row>
        <row r="305">
          <cell r="A305" t="str">
            <v>EHA-350</v>
          </cell>
          <cell r="B305">
            <v>300</v>
          </cell>
          <cell r="D305">
            <v>47</v>
          </cell>
        </row>
        <row r="306">
          <cell r="A306" t="str">
            <v>EHA-400</v>
          </cell>
          <cell r="B306">
            <v>300</v>
          </cell>
          <cell r="D306">
            <v>54</v>
          </cell>
        </row>
        <row r="307">
          <cell r="A307" t="str">
            <v>EHA-450</v>
          </cell>
          <cell r="B307">
            <v>300</v>
          </cell>
          <cell r="D307">
            <v>54</v>
          </cell>
        </row>
        <row r="308">
          <cell r="A308" t="str">
            <v>EHA-500</v>
          </cell>
          <cell r="B308">
            <v>300</v>
          </cell>
          <cell r="D308">
            <v>54</v>
          </cell>
        </row>
        <row r="309">
          <cell r="A309" t="str">
            <v>EHA-550</v>
          </cell>
          <cell r="B309">
            <v>300</v>
          </cell>
          <cell r="D309">
            <v>62</v>
          </cell>
        </row>
        <row r="310">
          <cell r="A310" t="str">
            <v>EHA-600</v>
          </cell>
          <cell r="B310">
            <v>300</v>
          </cell>
          <cell r="D310">
            <v>62</v>
          </cell>
        </row>
        <row r="311">
          <cell r="A311" t="str">
            <v>NPCY-L-020</v>
          </cell>
          <cell r="B311">
            <v>35</v>
          </cell>
          <cell r="C311">
            <v>12</v>
          </cell>
          <cell r="D311">
            <v>18</v>
          </cell>
        </row>
        <row r="312">
          <cell r="A312" t="str">
            <v>NPCY-L-025</v>
          </cell>
          <cell r="B312">
            <v>40</v>
          </cell>
          <cell r="C312">
            <v>12</v>
          </cell>
          <cell r="D312">
            <v>18</v>
          </cell>
        </row>
        <row r="313">
          <cell r="A313" t="str">
            <v>NPCY-L-032</v>
          </cell>
          <cell r="B313">
            <v>45</v>
          </cell>
          <cell r="C313">
            <v>12</v>
          </cell>
          <cell r="D313">
            <v>18</v>
          </cell>
        </row>
        <row r="314">
          <cell r="A314" t="str">
            <v>NPCY-L-040</v>
          </cell>
          <cell r="B314">
            <v>55</v>
          </cell>
          <cell r="C314">
            <v>16</v>
          </cell>
          <cell r="D314">
            <v>22</v>
          </cell>
        </row>
        <row r="315">
          <cell r="A315" t="str">
            <v>NPCY-L-050</v>
          </cell>
          <cell r="B315">
            <v>60</v>
          </cell>
          <cell r="C315">
            <v>16</v>
          </cell>
          <cell r="D315">
            <v>22</v>
          </cell>
        </row>
        <row r="316">
          <cell r="A316" t="str">
            <v>NPCY-L-065</v>
          </cell>
          <cell r="B316">
            <v>65</v>
          </cell>
          <cell r="C316">
            <v>16</v>
          </cell>
          <cell r="D316">
            <v>22</v>
          </cell>
        </row>
        <row r="317">
          <cell r="A317" t="str">
            <v>NPCY-L-080</v>
          </cell>
          <cell r="B317">
            <v>75</v>
          </cell>
          <cell r="C317">
            <v>16</v>
          </cell>
          <cell r="D317">
            <v>22</v>
          </cell>
        </row>
        <row r="318">
          <cell r="A318" t="str">
            <v>NPCY-L-090</v>
          </cell>
          <cell r="B318">
            <v>90</v>
          </cell>
          <cell r="C318">
            <v>20</v>
          </cell>
          <cell r="D318">
            <v>28</v>
          </cell>
        </row>
        <row r="319">
          <cell r="A319" t="str">
            <v>NPCY-L-100</v>
          </cell>
          <cell r="B319">
            <v>95</v>
          </cell>
          <cell r="C319">
            <v>20</v>
          </cell>
          <cell r="D319">
            <v>28</v>
          </cell>
        </row>
        <row r="320">
          <cell r="A320" t="str">
            <v>NPCY-L-125</v>
          </cell>
          <cell r="B320">
            <v>110</v>
          </cell>
          <cell r="C320">
            <v>20</v>
          </cell>
          <cell r="D320">
            <v>28</v>
          </cell>
        </row>
        <row r="321">
          <cell r="A321" t="str">
            <v>NPCY-L-150</v>
          </cell>
          <cell r="B321">
            <v>125</v>
          </cell>
          <cell r="C321">
            <v>20</v>
          </cell>
          <cell r="D321">
            <v>28</v>
          </cell>
        </row>
        <row r="322">
          <cell r="A322" t="str">
            <v>NPCY-L-175</v>
          </cell>
          <cell r="B322">
            <v>140</v>
          </cell>
          <cell r="C322">
            <v>20</v>
          </cell>
          <cell r="D322">
            <v>28</v>
          </cell>
        </row>
        <row r="323">
          <cell r="A323" t="str">
            <v>NPCY-L-200</v>
          </cell>
          <cell r="B323">
            <v>150</v>
          </cell>
          <cell r="C323">
            <v>20</v>
          </cell>
          <cell r="D323">
            <v>28</v>
          </cell>
        </row>
        <row r="324">
          <cell r="A324" t="str">
            <v>NPCY-L-225</v>
          </cell>
          <cell r="B324">
            <v>185</v>
          </cell>
          <cell r="C324">
            <v>24</v>
          </cell>
          <cell r="D324">
            <v>28</v>
          </cell>
        </row>
        <row r="325">
          <cell r="A325" t="str">
            <v>NPCY-L-250</v>
          </cell>
          <cell r="B325">
            <v>200</v>
          </cell>
          <cell r="C325">
            <v>24</v>
          </cell>
          <cell r="D325">
            <v>28</v>
          </cell>
        </row>
        <row r="326">
          <cell r="A326" t="str">
            <v>NPCY-L-300</v>
          </cell>
          <cell r="B326">
            <v>225</v>
          </cell>
          <cell r="C326">
            <v>24</v>
          </cell>
          <cell r="D326">
            <v>28</v>
          </cell>
        </row>
        <row r="327">
          <cell r="A327" t="str">
            <v>NPCY-L-350</v>
          </cell>
          <cell r="B327">
            <v>245</v>
          </cell>
          <cell r="C327">
            <v>24</v>
          </cell>
          <cell r="D327">
            <v>28</v>
          </cell>
        </row>
        <row r="328">
          <cell r="A328" t="str">
            <v>NPCY-L-400</v>
          </cell>
          <cell r="B328">
            <v>280</v>
          </cell>
          <cell r="C328">
            <v>30</v>
          </cell>
          <cell r="D328">
            <v>34</v>
          </cell>
        </row>
        <row r="329">
          <cell r="A329" t="str">
            <v>NPCY-L-450</v>
          </cell>
          <cell r="B329">
            <v>310</v>
          </cell>
          <cell r="C329">
            <v>30</v>
          </cell>
          <cell r="D329">
            <v>34</v>
          </cell>
        </row>
        <row r="330">
          <cell r="A330" t="str">
            <v>NPCY-L-500</v>
          </cell>
          <cell r="B330">
            <v>350</v>
          </cell>
          <cell r="C330">
            <v>36</v>
          </cell>
          <cell r="D330">
            <v>40</v>
          </cell>
        </row>
        <row r="331">
          <cell r="A331" t="str">
            <v>NPCY-L-550</v>
          </cell>
          <cell r="B331">
            <v>370</v>
          </cell>
          <cell r="C331">
            <v>36</v>
          </cell>
          <cell r="D331">
            <v>40</v>
          </cell>
        </row>
        <row r="332">
          <cell r="A332" t="str">
            <v>NPCY-L-600</v>
          </cell>
          <cell r="B332">
            <v>400</v>
          </cell>
          <cell r="C332">
            <v>36</v>
          </cell>
          <cell r="D332">
            <v>40</v>
          </cell>
        </row>
        <row r="333">
          <cell r="A333" t="str">
            <v>NPCY-L-650</v>
          </cell>
          <cell r="B333">
            <v>430</v>
          </cell>
          <cell r="C333">
            <v>42</v>
          </cell>
          <cell r="D333">
            <v>47</v>
          </cell>
        </row>
        <row r="334">
          <cell r="A334" t="str">
            <v>NPCY-L-700</v>
          </cell>
          <cell r="B334">
            <v>450</v>
          </cell>
          <cell r="C334">
            <v>42</v>
          </cell>
          <cell r="D334">
            <v>47</v>
          </cell>
        </row>
        <row r="335">
          <cell r="A335" t="str">
            <v>NPCY-L-750</v>
          </cell>
          <cell r="B335">
            <v>480</v>
          </cell>
          <cell r="C335">
            <v>42</v>
          </cell>
          <cell r="D335">
            <v>47</v>
          </cell>
        </row>
        <row r="336">
          <cell r="A336" t="str">
            <v>NPCY-L-800</v>
          </cell>
          <cell r="B336">
            <v>505</v>
          </cell>
          <cell r="C336">
            <v>42</v>
          </cell>
          <cell r="D336">
            <v>47</v>
          </cell>
        </row>
        <row r="337">
          <cell r="A337" t="str">
            <v>NPCY-L-850</v>
          </cell>
          <cell r="B337">
            <v>545</v>
          </cell>
          <cell r="C337">
            <v>48</v>
          </cell>
          <cell r="D337">
            <v>54</v>
          </cell>
        </row>
        <row r="338">
          <cell r="A338" t="str">
            <v>NPCY-L-900</v>
          </cell>
          <cell r="B338">
            <v>565</v>
          </cell>
          <cell r="C338">
            <v>48</v>
          </cell>
          <cell r="D338">
            <v>54</v>
          </cell>
        </row>
        <row r="339">
          <cell r="A339" t="str">
            <v>NPCY-L-1000</v>
          </cell>
          <cell r="B339">
            <v>620</v>
          </cell>
          <cell r="C339">
            <v>48</v>
          </cell>
          <cell r="D339">
            <v>54</v>
          </cell>
        </row>
        <row r="340">
          <cell r="A340" t="str">
            <v>NPCY-L-1100</v>
          </cell>
          <cell r="B340">
            <v>670</v>
          </cell>
          <cell r="C340">
            <v>48</v>
          </cell>
          <cell r="D340">
            <v>54</v>
          </cell>
        </row>
        <row r="341">
          <cell r="A341" t="str">
            <v>NPCY-L-1200</v>
          </cell>
          <cell r="B341">
            <v>730</v>
          </cell>
          <cell r="C341">
            <v>48</v>
          </cell>
          <cell r="D341">
            <v>54</v>
          </cell>
        </row>
        <row r="342">
          <cell r="A342" t="str">
            <v>NPCZ-L-020</v>
          </cell>
          <cell r="B342">
            <v>35</v>
          </cell>
          <cell r="C342">
            <v>12</v>
          </cell>
          <cell r="D342">
            <v>18</v>
          </cell>
        </row>
        <row r="343">
          <cell r="A343" t="str">
            <v>NPCZ-L-025</v>
          </cell>
          <cell r="B343">
            <v>40</v>
          </cell>
          <cell r="C343">
            <v>12</v>
          </cell>
          <cell r="D343">
            <v>18</v>
          </cell>
        </row>
        <row r="344">
          <cell r="A344" t="str">
            <v>NPCZ-L-032</v>
          </cell>
          <cell r="B344">
            <v>45</v>
          </cell>
          <cell r="C344">
            <v>12</v>
          </cell>
          <cell r="D344">
            <v>18</v>
          </cell>
        </row>
        <row r="345">
          <cell r="A345" t="str">
            <v>NPCZ-L-040</v>
          </cell>
          <cell r="B345">
            <v>55</v>
          </cell>
          <cell r="C345">
            <v>16</v>
          </cell>
          <cell r="D345">
            <v>22</v>
          </cell>
        </row>
        <row r="346">
          <cell r="A346" t="str">
            <v>NPCZ-L-050</v>
          </cell>
          <cell r="B346">
            <v>60</v>
          </cell>
          <cell r="C346">
            <v>16</v>
          </cell>
          <cell r="D346">
            <v>22</v>
          </cell>
        </row>
        <row r="347">
          <cell r="A347" t="str">
            <v>NPCZ-L-065</v>
          </cell>
          <cell r="B347">
            <v>65</v>
          </cell>
          <cell r="C347">
            <v>16</v>
          </cell>
          <cell r="D347">
            <v>22</v>
          </cell>
        </row>
        <row r="348">
          <cell r="A348" t="str">
            <v>NPCZ-L-080</v>
          </cell>
          <cell r="B348">
            <v>75</v>
          </cell>
          <cell r="C348">
            <v>16</v>
          </cell>
          <cell r="D348">
            <v>22</v>
          </cell>
        </row>
        <row r="349">
          <cell r="A349" t="str">
            <v>NPCZ-L-090</v>
          </cell>
          <cell r="B349">
            <v>90</v>
          </cell>
          <cell r="C349">
            <v>20</v>
          </cell>
          <cell r="D349">
            <v>28</v>
          </cell>
        </row>
        <row r="350">
          <cell r="A350" t="str">
            <v>NPCZ-L-100</v>
          </cell>
          <cell r="B350">
            <v>95</v>
          </cell>
          <cell r="C350">
            <v>20</v>
          </cell>
          <cell r="D350">
            <v>28</v>
          </cell>
        </row>
        <row r="351">
          <cell r="A351" t="str">
            <v>NPCZ-L-125</v>
          </cell>
          <cell r="B351">
            <v>110</v>
          </cell>
          <cell r="C351">
            <v>20</v>
          </cell>
          <cell r="D351">
            <v>28</v>
          </cell>
        </row>
        <row r="352">
          <cell r="A352" t="str">
            <v>NPCZ-L-150</v>
          </cell>
          <cell r="B352">
            <v>125</v>
          </cell>
          <cell r="C352">
            <v>20</v>
          </cell>
          <cell r="D352">
            <v>28</v>
          </cell>
        </row>
        <row r="353">
          <cell r="A353" t="str">
            <v>NPCZ-L-175</v>
          </cell>
          <cell r="B353">
            <v>140</v>
          </cell>
          <cell r="C353">
            <v>20</v>
          </cell>
          <cell r="D353">
            <v>28</v>
          </cell>
        </row>
        <row r="354">
          <cell r="A354" t="str">
            <v>NPCZ-L-200</v>
          </cell>
          <cell r="B354">
            <v>150</v>
          </cell>
          <cell r="C354">
            <v>20</v>
          </cell>
          <cell r="D354">
            <v>28</v>
          </cell>
        </row>
        <row r="355">
          <cell r="A355" t="str">
            <v>NPCZ-L-225</v>
          </cell>
          <cell r="B355">
            <v>185</v>
          </cell>
          <cell r="C355">
            <v>24</v>
          </cell>
          <cell r="D355">
            <v>28</v>
          </cell>
        </row>
        <row r="356">
          <cell r="A356" t="str">
            <v>NPCZ-L-250</v>
          </cell>
          <cell r="B356">
            <v>200</v>
          </cell>
          <cell r="C356">
            <v>24</v>
          </cell>
          <cell r="D356">
            <v>28</v>
          </cell>
        </row>
        <row r="357">
          <cell r="A357" t="str">
            <v>NPCZ-L-300</v>
          </cell>
          <cell r="B357">
            <v>225</v>
          </cell>
          <cell r="C357">
            <v>24</v>
          </cell>
          <cell r="D357">
            <v>28</v>
          </cell>
        </row>
        <row r="358">
          <cell r="A358" t="str">
            <v>NPCZ-L-350</v>
          </cell>
          <cell r="B358">
            <v>245</v>
          </cell>
          <cell r="C358">
            <v>24</v>
          </cell>
          <cell r="D358">
            <v>28</v>
          </cell>
        </row>
        <row r="359">
          <cell r="A359" t="str">
            <v>NPCZ-L-400</v>
          </cell>
          <cell r="B359">
            <v>280</v>
          </cell>
          <cell r="C359">
            <v>30</v>
          </cell>
          <cell r="D359">
            <v>34</v>
          </cell>
        </row>
        <row r="360">
          <cell r="A360" t="str">
            <v>NPCZ-L-450</v>
          </cell>
          <cell r="B360">
            <v>310</v>
          </cell>
          <cell r="C360">
            <v>30</v>
          </cell>
          <cell r="D360">
            <v>34</v>
          </cell>
        </row>
        <row r="361">
          <cell r="A361" t="str">
            <v>NPCZ-L-500</v>
          </cell>
          <cell r="B361">
            <v>350</v>
          </cell>
          <cell r="C361">
            <v>36</v>
          </cell>
          <cell r="D361">
            <v>40</v>
          </cell>
        </row>
        <row r="362">
          <cell r="A362" t="str">
            <v>NPCZ-L-550</v>
          </cell>
          <cell r="B362">
            <v>370</v>
          </cell>
          <cell r="C362">
            <v>36</v>
          </cell>
          <cell r="D362">
            <v>40</v>
          </cell>
        </row>
        <row r="363">
          <cell r="A363" t="str">
            <v>NPCZ-L-600</v>
          </cell>
          <cell r="B363">
            <v>400</v>
          </cell>
          <cell r="C363">
            <v>36</v>
          </cell>
          <cell r="D363">
            <v>40</v>
          </cell>
        </row>
        <row r="364">
          <cell r="A364" t="str">
            <v>NPCZ-L-650</v>
          </cell>
          <cell r="B364">
            <v>430</v>
          </cell>
          <cell r="C364">
            <v>42</v>
          </cell>
          <cell r="D364">
            <v>47</v>
          </cell>
        </row>
        <row r="365">
          <cell r="A365" t="str">
            <v>NPCZ-L-700</v>
          </cell>
          <cell r="B365">
            <v>450</v>
          </cell>
          <cell r="C365">
            <v>42</v>
          </cell>
          <cell r="D365">
            <v>47</v>
          </cell>
        </row>
        <row r="366">
          <cell r="A366" t="str">
            <v>NPCZ-L-750</v>
          </cell>
          <cell r="B366">
            <v>480</v>
          </cell>
          <cell r="C366">
            <v>42</v>
          </cell>
          <cell r="D366">
            <v>47</v>
          </cell>
        </row>
        <row r="367">
          <cell r="A367" t="str">
            <v>NPCZ-L-800</v>
          </cell>
          <cell r="B367">
            <v>505</v>
          </cell>
          <cell r="C367">
            <v>42</v>
          </cell>
          <cell r="D367">
            <v>47</v>
          </cell>
        </row>
        <row r="368">
          <cell r="A368" t="str">
            <v>NPCZ-L-850</v>
          </cell>
          <cell r="B368">
            <v>545</v>
          </cell>
          <cell r="C368">
            <v>48</v>
          </cell>
          <cell r="D368">
            <v>54</v>
          </cell>
        </row>
        <row r="369">
          <cell r="A369" t="str">
            <v>NPCZ-L-900</v>
          </cell>
          <cell r="B369">
            <v>565</v>
          </cell>
          <cell r="C369">
            <v>48</v>
          </cell>
          <cell r="D369">
            <v>54</v>
          </cell>
        </row>
        <row r="370">
          <cell r="A370" t="str">
            <v>NPCZ-L-1000</v>
          </cell>
          <cell r="B370">
            <v>620</v>
          </cell>
          <cell r="C370">
            <v>48</v>
          </cell>
          <cell r="D370">
            <v>54</v>
          </cell>
        </row>
        <row r="371">
          <cell r="A371" t="str">
            <v>NPCZ-L-1100</v>
          </cell>
          <cell r="B371">
            <v>670</v>
          </cell>
          <cell r="C371">
            <v>48</v>
          </cell>
          <cell r="D371">
            <v>54</v>
          </cell>
        </row>
        <row r="372">
          <cell r="A372" t="str">
            <v>NPCZ-L-1200</v>
          </cell>
          <cell r="B372">
            <v>730</v>
          </cell>
          <cell r="C372">
            <v>48</v>
          </cell>
          <cell r="D372">
            <v>54</v>
          </cell>
        </row>
        <row r="373">
          <cell r="A373" t="str">
            <v>22NPCB-H-250</v>
          </cell>
          <cell r="B373">
            <v>340</v>
          </cell>
        </row>
        <row r="374">
          <cell r="A374" t="str">
            <v>NCLS-M10</v>
          </cell>
          <cell r="B374">
            <v>50</v>
          </cell>
          <cell r="C374">
            <v>12</v>
          </cell>
          <cell r="D374">
            <v>18</v>
          </cell>
        </row>
        <row r="375">
          <cell r="A375" t="str">
            <v>NCLS-M12</v>
          </cell>
          <cell r="B375">
            <v>50</v>
          </cell>
          <cell r="C375">
            <v>16</v>
          </cell>
          <cell r="D375">
            <v>22</v>
          </cell>
        </row>
        <row r="376">
          <cell r="A376" t="str">
            <v>NCLS-M16</v>
          </cell>
          <cell r="B376">
            <v>50</v>
          </cell>
          <cell r="C376">
            <v>20</v>
          </cell>
          <cell r="D376">
            <v>24</v>
          </cell>
        </row>
        <row r="377">
          <cell r="A377" t="str">
            <v>NCLS-M20</v>
          </cell>
          <cell r="B377">
            <v>50</v>
          </cell>
          <cell r="C377">
            <v>24</v>
          </cell>
          <cell r="D377">
            <v>28</v>
          </cell>
        </row>
        <row r="378">
          <cell r="A378" t="str">
            <v>NCLS-M24</v>
          </cell>
          <cell r="B378">
            <v>75</v>
          </cell>
          <cell r="C378">
            <v>30</v>
          </cell>
          <cell r="D378">
            <v>34</v>
          </cell>
        </row>
        <row r="379">
          <cell r="A379" t="str">
            <v>NCLS-M30</v>
          </cell>
          <cell r="B379">
            <v>75</v>
          </cell>
          <cell r="C379">
            <v>36</v>
          </cell>
          <cell r="D379">
            <v>40</v>
          </cell>
        </row>
        <row r="380">
          <cell r="A380" t="str">
            <v>NCLS-M36</v>
          </cell>
          <cell r="B380">
            <v>100</v>
          </cell>
          <cell r="C380">
            <v>42</v>
          </cell>
          <cell r="D380">
            <v>47</v>
          </cell>
        </row>
        <row r="381">
          <cell r="A381" t="str">
            <v>NCLS-M42</v>
          </cell>
          <cell r="B381">
            <v>125</v>
          </cell>
          <cell r="C381">
            <v>48</v>
          </cell>
          <cell r="D381">
            <v>54</v>
          </cell>
        </row>
        <row r="382">
          <cell r="A382" t="str">
            <v>NCLS-M48</v>
          </cell>
          <cell r="B382">
            <v>125</v>
          </cell>
          <cell r="C382">
            <v>56</v>
          </cell>
          <cell r="D382">
            <v>62</v>
          </cell>
        </row>
        <row r="383">
          <cell r="A383" t="str">
            <v>NCLS-M56</v>
          </cell>
          <cell r="B383">
            <v>155</v>
          </cell>
          <cell r="C383">
            <v>64</v>
          </cell>
          <cell r="D383">
            <v>70</v>
          </cell>
        </row>
        <row r="384">
          <cell r="A384" t="str">
            <v>NCLS-M64</v>
          </cell>
          <cell r="B384">
            <v>155</v>
          </cell>
          <cell r="C384">
            <v>75</v>
          </cell>
          <cell r="D384">
            <v>80</v>
          </cell>
        </row>
        <row r="385">
          <cell r="A385" t="str">
            <v>NCLS-M72</v>
          </cell>
          <cell r="B385">
            <v>150</v>
          </cell>
          <cell r="C385">
            <v>80</v>
          </cell>
          <cell r="D385">
            <v>86</v>
          </cell>
        </row>
        <row r="386">
          <cell r="A386" t="str">
            <v>NCLS-M80</v>
          </cell>
          <cell r="B386">
            <v>160</v>
          </cell>
          <cell r="C386">
            <v>85</v>
          </cell>
          <cell r="D386">
            <v>91</v>
          </cell>
        </row>
        <row r="387">
          <cell r="A387" t="str">
            <v>NCLS-M85</v>
          </cell>
          <cell r="B387">
            <v>180</v>
          </cell>
          <cell r="C387">
            <v>90</v>
          </cell>
          <cell r="D387">
            <v>96</v>
          </cell>
        </row>
        <row r="388">
          <cell r="A388" t="str">
            <v>NCLS-M90</v>
          </cell>
          <cell r="B388">
            <v>190</v>
          </cell>
          <cell r="C388">
            <v>95</v>
          </cell>
          <cell r="D388">
            <v>101</v>
          </cell>
        </row>
        <row r="389">
          <cell r="A389" t="str">
            <v>LPT-M12</v>
          </cell>
          <cell r="B389">
            <v>50</v>
          </cell>
        </row>
        <row r="390">
          <cell r="A390" t="str">
            <v>LPT-M16</v>
          </cell>
          <cell r="B390">
            <v>50</v>
          </cell>
        </row>
        <row r="391">
          <cell r="A391" t="str">
            <v>LPT-M20</v>
          </cell>
          <cell r="B391">
            <v>50</v>
          </cell>
        </row>
        <row r="392">
          <cell r="A392" t="str">
            <v>LPT-M24</v>
          </cell>
          <cell r="B392">
            <v>75</v>
          </cell>
        </row>
        <row r="393">
          <cell r="A393" t="str">
            <v>LPT-M30</v>
          </cell>
          <cell r="B393">
            <v>75</v>
          </cell>
        </row>
        <row r="394">
          <cell r="A394" t="str">
            <v>LPT-M36</v>
          </cell>
          <cell r="B394">
            <v>90</v>
          </cell>
        </row>
        <row r="395">
          <cell r="A395" t="str">
            <v>LPT-M42</v>
          </cell>
          <cell r="B395">
            <v>90</v>
          </cell>
        </row>
        <row r="396">
          <cell r="A396" t="str">
            <v>LPT-M48</v>
          </cell>
          <cell r="B396">
            <v>110</v>
          </cell>
        </row>
        <row r="397">
          <cell r="A397" t="str">
            <v>LPT-M56</v>
          </cell>
          <cell r="B397">
            <v>125</v>
          </cell>
        </row>
        <row r="398">
          <cell r="A398" t="str">
            <v>LPT-M64</v>
          </cell>
          <cell r="B398">
            <v>150</v>
          </cell>
        </row>
        <row r="399">
          <cell r="A399" t="str">
            <v>LPT-M72</v>
          </cell>
          <cell r="B399">
            <v>150</v>
          </cell>
        </row>
        <row r="400">
          <cell r="A400" t="str">
            <v>LPT-M80</v>
          </cell>
          <cell r="B400">
            <v>175</v>
          </cell>
        </row>
        <row r="401">
          <cell r="A401" t="str">
            <v>CLPT-16</v>
          </cell>
          <cell r="B401">
            <v>50</v>
          </cell>
        </row>
        <row r="402">
          <cell r="A402" t="str">
            <v>CLPT-24</v>
          </cell>
          <cell r="B402">
            <v>75</v>
          </cell>
        </row>
        <row r="403">
          <cell r="A403" t="str">
            <v>CLPT-30</v>
          </cell>
          <cell r="B403">
            <v>90</v>
          </cell>
        </row>
        <row r="404">
          <cell r="A404" t="str">
            <v>CLPT-42</v>
          </cell>
          <cell r="B404">
            <v>120</v>
          </cell>
        </row>
        <row r="405">
          <cell r="A405" t="str">
            <v>CLPT-64</v>
          </cell>
          <cell r="B405">
            <v>180</v>
          </cell>
        </row>
        <row r="406">
          <cell r="A406" t="str">
            <v>CLPT-70</v>
          </cell>
          <cell r="B406">
            <v>200</v>
          </cell>
        </row>
        <row r="407">
          <cell r="A407" t="str">
            <v>CLPT-80</v>
          </cell>
          <cell r="B407">
            <v>200</v>
          </cell>
        </row>
        <row r="408">
          <cell r="A408" t="str">
            <v>RA-L-080</v>
          </cell>
          <cell r="C408">
            <v>20</v>
          </cell>
          <cell r="D408">
            <v>28</v>
          </cell>
        </row>
        <row r="409">
          <cell r="A409" t="str">
            <v>RA-L-090</v>
          </cell>
          <cell r="C409">
            <v>20</v>
          </cell>
          <cell r="D409">
            <v>28</v>
          </cell>
        </row>
        <row r="410">
          <cell r="A410" t="str">
            <v>RA-L-100</v>
          </cell>
          <cell r="C410">
            <v>20</v>
          </cell>
          <cell r="D410">
            <v>28</v>
          </cell>
        </row>
        <row r="411">
          <cell r="A411" t="str">
            <v>RA-L-125</v>
          </cell>
          <cell r="C411">
            <v>24</v>
          </cell>
          <cell r="D411">
            <v>28</v>
          </cell>
        </row>
        <row r="412">
          <cell r="A412" t="str">
            <v>RA-L-150</v>
          </cell>
          <cell r="C412">
            <v>24</v>
          </cell>
          <cell r="D412">
            <v>28</v>
          </cell>
        </row>
        <row r="413">
          <cell r="A413" t="str">
            <v>RA-L-175</v>
          </cell>
          <cell r="C413">
            <v>24</v>
          </cell>
          <cell r="D413">
            <v>28</v>
          </cell>
        </row>
        <row r="414">
          <cell r="A414" t="str">
            <v>RA-L-200</v>
          </cell>
          <cell r="C414">
            <v>24</v>
          </cell>
          <cell r="D414">
            <v>28</v>
          </cell>
        </row>
        <row r="415">
          <cell r="A415" t="str">
            <v>RA-L-225</v>
          </cell>
          <cell r="C415">
            <v>24</v>
          </cell>
          <cell r="D415">
            <v>28</v>
          </cell>
        </row>
        <row r="416">
          <cell r="A416" t="str">
            <v>RA-L-250</v>
          </cell>
          <cell r="C416">
            <v>24</v>
          </cell>
          <cell r="D416">
            <v>28</v>
          </cell>
        </row>
        <row r="417">
          <cell r="A417" t="str">
            <v>RA-L-300</v>
          </cell>
          <cell r="C417">
            <v>30</v>
          </cell>
          <cell r="D417">
            <v>34</v>
          </cell>
        </row>
        <row r="418">
          <cell r="A418" t="str">
            <v>RA-L-350</v>
          </cell>
          <cell r="C418">
            <v>30</v>
          </cell>
          <cell r="D418">
            <v>34</v>
          </cell>
        </row>
        <row r="419">
          <cell r="A419" t="str">
            <v>RA-L-400</v>
          </cell>
          <cell r="C419">
            <v>30</v>
          </cell>
          <cell r="D419">
            <v>34</v>
          </cell>
        </row>
        <row r="420">
          <cell r="A420" t="str">
            <v>RA-L-450</v>
          </cell>
          <cell r="C420">
            <v>30</v>
          </cell>
          <cell r="D420">
            <v>34</v>
          </cell>
        </row>
        <row r="421">
          <cell r="A421" t="str">
            <v>RA-L-500</v>
          </cell>
          <cell r="C421">
            <v>36</v>
          </cell>
          <cell r="D421">
            <v>40</v>
          </cell>
        </row>
        <row r="422">
          <cell r="A422" t="str">
            <v>RA-L-550</v>
          </cell>
          <cell r="C422">
            <v>36</v>
          </cell>
          <cell r="D422">
            <v>40</v>
          </cell>
        </row>
        <row r="423">
          <cell r="A423" t="str">
            <v>RA-L-600</v>
          </cell>
          <cell r="C423">
            <v>42</v>
          </cell>
          <cell r="D423">
            <v>46</v>
          </cell>
        </row>
        <row r="424">
          <cell r="A424" t="str">
            <v>RA-L-650</v>
          </cell>
          <cell r="C424">
            <v>42</v>
          </cell>
          <cell r="D424">
            <v>46</v>
          </cell>
        </row>
        <row r="425">
          <cell r="A425" t="str">
            <v>RA-L-700</v>
          </cell>
          <cell r="C425">
            <v>48</v>
          </cell>
          <cell r="D425">
            <v>54</v>
          </cell>
        </row>
        <row r="426">
          <cell r="A426" t="str">
            <v>RA-L-750</v>
          </cell>
          <cell r="C426">
            <v>48</v>
          </cell>
          <cell r="D426">
            <v>54</v>
          </cell>
        </row>
        <row r="427">
          <cell r="A427" t="str">
            <v>RB-L-080</v>
          </cell>
          <cell r="C427">
            <v>20</v>
          </cell>
          <cell r="D427">
            <v>28</v>
          </cell>
        </row>
        <row r="428">
          <cell r="A428" t="str">
            <v>RB-L-090</v>
          </cell>
          <cell r="C428">
            <v>20</v>
          </cell>
          <cell r="D428">
            <v>28</v>
          </cell>
        </row>
        <row r="429">
          <cell r="A429" t="str">
            <v>RB-L-100</v>
          </cell>
          <cell r="C429">
            <v>20</v>
          </cell>
          <cell r="D429">
            <v>28</v>
          </cell>
        </row>
        <row r="430">
          <cell r="A430" t="str">
            <v>RB-L-125</v>
          </cell>
          <cell r="C430">
            <v>24</v>
          </cell>
          <cell r="D430">
            <v>28</v>
          </cell>
        </row>
        <row r="431">
          <cell r="A431" t="str">
            <v>RB-L-150</v>
          </cell>
          <cell r="C431">
            <v>24</v>
          </cell>
          <cell r="D431">
            <v>28</v>
          </cell>
        </row>
        <row r="432">
          <cell r="A432" t="str">
            <v>RB-L-175</v>
          </cell>
          <cell r="C432">
            <v>24</v>
          </cell>
          <cell r="D432">
            <v>28</v>
          </cell>
        </row>
        <row r="433">
          <cell r="A433" t="str">
            <v>RB-L-200</v>
          </cell>
          <cell r="C433">
            <v>24</v>
          </cell>
          <cell r="D433">
            <v>28</v>
          </cell>
        </row>
        <row r="434">
          <cell r="A434" t="str">
            <v>RB-L-225</v>
          </cell>
          <cell r="C434">
            <v>24</v>
          </cell>
          <cell r="D434">
            <v>28</v>
          </cell>
        </row>
        <row r="435">
          <cell r="A435" t="str">
            <v>RB-L-250</v>
          </cell>
          <cell r="C435">
            <v>24</v>
          </cell>
          <cell r="D435">
            <v>28</v>
          </cell>
        </row>
        <row r="436">
          <cell r="A436" t="str">
            <v>RB-L-300</v>
          </cell>
          <cell r="C436">
            <v>30</v>
          </cell>
          <cell r="D436">
            <v>34</v>
          </cell>
        </row>
        <row r="437">
          <cell r="A437" t="str">
            <v>RB-L-350</v>
          </cell>
          <cell r="C437">
            <v>30</v>
          </cell>
          <cell r="D437">
            <v>34</v>
          </cell>
        </row>
        <row r="438">
          <cell r="A438" t="str">
            <v>RB-L-400</v>
          </cell>
          <cell r="C438">
            <v>30</v>
          </cell>
          <cell r="D438">
            <v>34</v>
          </cell>
        </row>
        <row r="439">
          <cell r="A439" t="str">
            <v>RB-L-450</v>
          </cell>
          <cell r="C439">
            <v>30</v>
          </cell>
          <cell r="D439">
            <v>34</v>
          </cell>
        </row>
        <row r="440">
          <cell r="A440" t="str">
            <v>RB-L-500</v>
          </cell>
          <cell r="C440">
            <v>36</v>
          </cell>
          <cell r="D440">
            <v>40</v>
          </cell>
        </row>
        <row r="441">
          <cell r="A441" t="str">
            <v>RB-L-550</v>
          </cell>
          <cell r="C441">
            <v>36</v>
          </cell>
          <cell r="D441">
            <v>40</v>
          </cell>
        </row>
        <row r="442">
          <cell r="A442" t="str">
            <v>RB-L-600</v>
          </cell>
          <cell r="C442">
            <v>42</v>
          </cell>
          <cell r="D442">
            <v>46</v>
          </cell>
        </row>
        <row r="443">
          <cell r="A443" t="str">
            <v>RB-L-650</v>
          </cell>
          <cell r="C443">
            <v>42</v>
          </cell>
          <cell r="D443">
            <v>46</v>
          </cell>
        </row>
        <row r="444">
          <cell r="A444" t="str">
            <v>RB-L-700</v>
          </cell>
          <cell r="C444">
            <v>48</v>
          </cell>
          <cell r="D444">
            <v>54</v>
          </cell>
        </row>
        <row r="445">
          <cell r="A445" t="str">
            <v>RB-L-750</v>
          </cell>
          <cell r="C445">
            <v>48</v>
          </cell>
          <cell r="D445">
            <v>54</v>
          </cell>
        </row>
        <row r="446">
          <cell r="A446" t="str">
            <v>RC-L-080</v>
          </cell>
          <cell r="C446">
            <v>20</v>
          </cell>
          <cell r="D446">
            <v>28</v>
          </cell>
        </row>
        <row r="447">
          <cell r="A447" t="str">
            <v>RC-L-090</v>
          </cell>
          <cell r="C447">
            <v>20</v>
          </cell>
          <cell r="D447">
            <v>28</v>
          </cell>
        </row>
        <row r="448">
          <cell r="A448" t="str">
            <v>RC-L-100</v>
          </cell>
          <cell r="C448">
            <v>20</v>
          </cell>
          <cell r="D448">
            <v>28</v>
          </cell>
        </row>
        <row r="449">
          <cell r="A449" t="str">
            <v>RC-L-125</v>
          </cell>
          <cell r="C449">
            <v>24</v>
          </cell>
          <cell r="D449">
            <v>28</v>
          </cell>
        </row>
        <row r="450">
          <cell r="A450" t="str">
            <v>RC-L-150</v>
          </cell>
          <cell r="C450">
            <v>24</v>
          </cell>
          <cell r="D450">
            <v>28</v>
          </cell>
        </row>
        <row r="451">
          <cell r="A451" t="str">
            <v>RC-L-175</v>
          </cell>
          <cell r="C451">
            <v>24</v>
          </cell>
          <cell r="D451">
            <v>28</v>
          </cell>
        </row>
        <row r="452">
          <cell r="A452" t="str">
            <v>RC-L-200</v>
          </cell>
          <cell r="C452">
            <v>24</v>
          </cell>
          <cell r="D452">
            <v>28</v>
          </cell>
        </row>
        <row r="453">
          <cell r="A453" t="str">
            <v>RC-L-225</v>
          </cell>
          <cell r="C453">
            <v>24</v>
          </cell>
          <cell r="D453">
            <v>28</v>
          </cell>
        </row>
        <row r="454">
          <cell r="A454" t="str">
            <v>RC-L-250</v>
          </cell>
          <cell r="C454">
            <v>24</v>
          </cell>
          <cell r="D454">
            <v>28</v>
          </cell>
        </row>
        <row r="455">
          <cell r="A455" t="str">
            <v>RC-L-300</v>
          </cell>
          <cell r="C455">
            <v>30</v>
          </cell>
          <cell r="D455">
            <v>34</v>
          </cell>
        </row>
        <row r="456">
          <cell r="A456" t="str">
            <v>RC-L-350</v>
          </cell>
          <cell r="C456">
            <v>30</v>
          </cell>
          <cell r="D456">
            <v>34</v>
          </cell>
        </row>
        <row r="457">
          <cell r="A457" t="str">
            <v>RC-L-400</v>
          </cell>
          <cell r="C457">
            <v>30</v>
          </cell>
          <cell r="D457">
            <v>34</v>
          </cell>
        </row>
        <row r="458">
          <cell r="A458" t="str">
            <v>RC-L-450</v>
          </cell>
          <cell r="C458">
            <v>30</v>
          </cell>
          <cell r="D458">
            <v>34</v>
          </cell>
        </row>
        <row r="459">
          <cell r="A459" t="str">
            <v>RC-L-500</v>
          </cell>
          <cell r="C459">
            <v>36</v>
          </cell>
          <cell r="D459">
            <v>40</v>
          </cell>
        </row>
        <row r="460">
          <cell r="A460" t="str">
            <v>RC-L-550</v>
          </cell>
          <cell r="C460">
            <v>36</v>
          </cell>
          <cell r="D460">
            <v>40</v>
          </cell>
        </row>
        <row r="461">
          <cell r="A461" t="str">
            <v>RC-L-600</v>
          </cell>
          <cell r="C461">
            <v>42</v>
          </cell>
          <cell r="D461">
            <v>46</v>
          </cell>
        </row>
        <row r="462">
          <cell r="A462" t="str">
            <v>RC-L-650</v>
          </cell>
          <cell r="C462">
            <v>42</v>
          </cell>
          <cell r="D462">
            <v>46</v>
          </cell>
        </row>
        <row r="463">
          <cell r="A463" t="str">
            <v>RC-L-700</v>
          </cell>
          <cell r="C463">
            <v>48</v>
          </cell>
          <cell r="D463">
            <v>54</v>
          </cell>
        </row>
        <row r="464">
          <cell r="A464" t="str">
            <v>RC-L-750</v>
          </cell>
          <cell r="C464">
            <v>48</v>
          </cell>
          <cell r="D464">
            <v>54</v>
          </cell>
        </row>
        <row r="465">
          <cell r="A465" t="str">
            <v>RA-H-150</v>
          </cell>
          <cell r="C465">
            <v>24</v>
          </cell>
          <cell r="D465">
            <v>28</v>
          </cell>
        </row>
        <row r="466">
          <cell r="A466" t="str">
            <v>RA-H-175</v>
          </cell>
          <cell r="C466">
            <v>24</v>
          </cell>
          <cell r="D466">
            <v>28</v>
          </cell>
        </row>
        <row r="467">
          <cell r="A467" t="str">
            <v>RA-H-200</v>
          </cell>
          <cell r="C467">
            <v>30</v>
          </cell>
          <cell r="D467">
            <v>34</v>
          </cell>
        </row>
        <row r="468">
          <cell r="A468" t="str">
            <v>RA-H-225</v>
          </cell>
          <cell r="C468">
            <v>30</v>
          </cell>
          <cell r="D468">
            <v>34</v>
          </cell>
        </row>
        <row r="469">
          <cell r="A469" t="str">
            <v>RA-H-250</v>
          </cell>
          <cell r="C469">
            <v>30</v>
          </cell>
          <cell r="D469">
            <v>34</v>
          </cell>
        </row>
        <row r="470">
          <cell r="A470" t="str">
            <v>RA-H-300</v>
          </cell>
          <cell r="C470">
            <v>36</v>
          </cell>
          <cell r="D470">
            <v>40</v>
          </cell>
        </row>
        <row r="471">
          <cell r="A471" t="str">
            <v>RA-H-350</v>
          </cell>
          <cell r="C471">
            <v>36</v>
          </cell>
          <cell r="D471">
            <v>40</v>
          </cell>
        </row>
        <row r="472">
          <cell r="A472" t="str">
            <v>RA-H-400</v>
          </cell>
          <cell r="C472">
            <v>36</v>
          </cell>
          <cell r="D472">
            <v>40</v>
          </cell>
        </row>
        <row r="473">
          <cell r="A473" t="str">
            <v>RA-H-450</v>
          </cell>
          <cell r="C473">
            <v>36</v>
          </cell>
          <cell r="D473">
            <v>40</v>
          </cell>
        </row>
        <row r="474">
          <cell r="A474" t="str">
            <v>RA-H-500</v>
          </cell>
          <cell r="C474">
            <v>36</v>
          </cell>
          <cell r="D474">
            <v>40</v>
          </cell>
        </row>
        <row r="475">
          <cell r="A475" t="str">
            <v>RA-H-550</v>
          </cell>
          <cell r="C475">
            <v>36</v>
          </cell>
          <cell r="D475">
            <v>40</v>
          </cell>
        </row>
        <row r="476">
          <cell r="A476" t="str">
            <v>RA-H-600</v>
          </cell>
          <cell r="C476">
            <v>42</v>
          </cell>
          <cell r="D476">
            <v>46</v>
          </cell>
        </row>
        <row r="477">
          <cell r="A477" t="str">
            <v>RA-H-650</v>
          </cell>
          <cell r="C477">
            <v>42</v>
          </cell>
          <cell r="D477">
            <v>46</v>
          </cell>
        </row>
        <row r="478">
          <cell r="A478" t="str">
            <v>RA-H-700</v>
          </cell>
          <cell r="C478">
            <v>48</v>
          </cell>
          <cell r="D478">
            <v>54</v>
          </cell>
        </row>
        <row r="479">
          <cell r="A479" t="str">
            <v>RA-H-750</v>
          </cell>
          <cell r="C479">
            <v>48</v>
          </cell>
          <cell r="D479">
            <v>54</v>
          </cell>
        </row>
        <row r="480">
          <cell r="A480" t="str">
            <v>RB-H-150</v>
          </cell>
          <cell r="C480">
            <v>24</v>
          </cell>
          <cell r="D480">
            <v>28</v>
          </cell>
        </row>
        <row r="481">
          <cell r="A481" t="str">
            <v>RB-H-175</v>
          </cell>
          <cell r="C481">
            <v>24</v>
          </cell>
          <cell r="D481">
            <v>28</v>
          </cell>
        </row>
        <row r="482">
          <cell r="A482" t="str">
            <v>RB-H-200</v>
          </cell>
          <cell r="C482">
            <v>30</v>
          </cell>
          <cell r="D482">
            <v>34</v>
          </cell>
        </row>
        <row r="483">
          <cell r="A483" t="str">
            <v>RB-H-225</v>
          </cell>
          <cell r="C483">
            <v>30</v>
          </cell>
          <cell r="D483">
            <v>34</v>
          </cell>
        </row>
        <row r="484">
          <cell r="A484" t="str">
            <v>RB-H-250</v>
          </cell>
          <cell r="C484">
            <v>30</v>
          </cell>
          <cell r="D484">
            <v>34</v>
          </cell>
        </row>
        <row r="485">
          <cell r="A485" t="str">
            <v>RB-H-300</v>
          </cell>
          <cell r="C485">
            <v>36</v>
          </cell>
          <cell r="D485">
            <v>40</v>
          </cell>
        </row>
        <row r="486">
          <cell r="A486" t="str">
            <v>RB-H-350</v>
          </cell>
          <cell r="C486">
            <v>36</v>
          </cell>
          <cell r="D486">
            <v>40</v>
          </cell>
        </row>
        <row r="487">
          <cell r="A487" t="str">
            <v>RB-H-400</v>
          </cell>
          <cell r="C487">
            <v>36</v>
          </cell>
          <cell r="D487">
            <v>40</v>
          </cell>
        </row>
        <row r="488">
          <cell r="A488" t="str">
            <v>RB-H-450</v>
          </cell>
          <cell r="C488">
            <v>36</v>
          </cell>
          <cell r="D488">
            <v>40</v>
          </cell>
        </row>
        <row r="489">
          <cell r="A489" t="str">
            <v>RB-H-500</v>
          </cell>
          <cell r="C489">
            <v>36</v>
          </cell>
          <cell r="D489">
            <v>40</v>
          </cell>
        </row>
        <row r="490">
          <cell r="A490" t="str">
            <v>RB-H-550</v>
          </cell>
          <cell r="C490">
            <v>36</v>
          </cell>
          <cell r="D490">
            <v>40</v>
          </cell>
        </row>
        <row r="491">
          <cell r="A491" t="str">
            <v>RB-H-600</v>
          </cell>
          <cell r="C491">
            <v>42</v>
          </cell>
          <cell r="D491">
            <v>46</v>
          </cell>
        </row>
        <row r="492">
          <cell r="A492" t="str">
            <v>RB-H-650</v>
          </cell>
          <cell r="C492">
            <v>42</v>
          </cell>
          <cell r="D492">
            <v>46</v>
          </cell>
        </row>
        <row r="493">
          <cell r="A493" t="str">
            <v>RB-H-700</v>
          </cell>
          <cell r="C493">
            <v>48</v>
          </cell>
          <cell r="D493">
            <v>54</v>
          </cell>
        </row>
        <row r="494">
          <cell r="A494" t="str">
            <v>RB-H-750</v>
          </cell>
          <cell r="C494">
            <v>48</v>
          </cell>
          <cell r="D494">
            <v>54</v>
          </cell>
        </row>
        <row r="495">
          <cell r="A495" t="str">
            <v>RC-H-150</v>
          </cell>
          <cell r="C495">
            <v>24</v>
          </cell>
          <cell r="D495">
            <v>28</v>
          </cell>
        </row>
        <row r="496">
          <cell r="A496" t="str">
            <v>RC-H-175</v>
          </cell>
          <cell r="C496">
            <v>24</v>
          </cell>
          <cell r="D496">
            <v>28</v>
          </cell>
        </row>
        <row r="497">
          <cell r="A497" t="str">
            <v>RC-H-200</v>
          </cell>
          <cell r="C497">
            <v>30</v>
          </cell>
          <cell r="D497">
            <v>34</v>
          </cell>
        </row>
        <row r="498">
          <cell r="A498" t="str">
            <v>RC-H-225</v>
          </cell>
          <cell r="C498">
            <v>30</v>
          </cell>
          <cell r="D498">
            <v>34</v>
          </cell>
        </row>
        <row r="499">
          <cell r="A499" t="str">
            <v>RC-H-250</v>
          </cell>
          <cell r="C499">
            <v>30</v>
          </cell>
          <cell r="D499">
            <v>34</v>
          </cell>
        </row>
        <row r="500">
          <cell r="A500" t="str">
            <v>RC-H-300</v>
          </cell>
          <cell r="C500">
            <v>36</v>
          </cell>
          <cell r="D500">
            <v>40</v>
          </cell>
        </row>
        <row r="501">
          <cell r="A501" t="str">
            <v>RC-H-350</v>
          </cell>
          <cell r="C501">
            <v>36</v>
          </cell>
          <cell r="D501">
            <v>40</v>
          </cell>
        </row>
        <row r="502">
          <cell r="A502" t="str">
            <v>RC-H-400</v>
          </cell>
          <cell r="C502">
            <v>36</v>
          </cell>
          <cell r="D502">
            <v>40</v>
          </cell>
        </row>
        <row r="503">
          <cell r="A503" t="str">
            <v>RC-H-450</v>
          </cell>
          <cell r="C503">
            <v>36</v>
          </cell>
          <cell r="D503">
            <v>40</v>
          </cell>
        </row>
        <row r="504">
          <cell r="A504" t="str">
            <v>RC-H-500</v>
          </cell>
          <cell r="C504">
            <v>36</v>
          </cell>
          <cell r="D504">
            <v>40</v>
          </cell>
        </row>
        <row r="505">
          <cell r="A505" t="str">
            <v>RC-H-550</v>
          </cell>
          <cell r="C505">
            <v>36</v>
          </cell>
          <cell r="D505">
            <v>40</v>
          </cell>
        </row>
        <row r="506">
          <cell r="A506" t="str">
            <v>RC-H-600</v>
          </cell>
          <cell r="C506">
            <v>42</v>
          </cell>
          <cell r="D506">
            <v>46</v>
          </cell>
        </row>
        <row r="507">
          <cell r="A507" t="str">
            <v>RC-H-650</v>
          </cell>
          <cell r="C507">
            <v>42</v>
          </cell>
          <cell r="D507">
            <v>46</v>
          </cell>
        </row>
        <row r="508">
          <cell r="A508" t="str">
            <v>RC-H-700</v>
          </cell>
          <cell r="C508">
            <v>48</v>
          </cell>
          <cell r="D508">
            <v>54</v>
          </cell>
        </row>
        <row r="509">
          <cell r="A509" t="str">
            <v>RC-H-750</v>
          </cell>
          <cell r="C509">
            <v>48</v>
          </cell>
          <cell r="D509">
            <v>54</v>
          </cell>
        </row>
        <row r="510">
          <cell r="A510" t="str">
            <v>RHC-080</v>
          </cell>
        </row>
        <row r="511">
          <cell r="A511" t="str">
            <v>RHC-090</v>
          </cell>
        </row>
        <row r="512">
          <cell r="A512" t="str">
            <v>RHC-100</v>
          </cell>
        </row>
        <row r="513">
          <cell r="A513" t="str">
            <v>RHC-125</v>
          </cell>
        </row>
        <row r="514">
          <cell r="A514" t="str">
            <v>RHC-150</v>
          </cell>
        </row>
        <row r="515">
          <cell r="A515" t="str">
            <v>RHC-175</v>
          </cell>
        </row>
        <row r="516">
          <cell r="A516" t="str">
            <v>RHC-200</v>
          </cell>
        </row>
        <row r="517">
          <cell r="A517" t="str">
            <v>RHC-225</v>
          </cell>
        </row>
        <row r="518">
          <cell r="A518" t="str">
            <v>RHC-250</v>
          </cell>
        </row>
        <row r="519">
          <cell r="A519" t="str">
            <v>RHC-300</v>
          </cell>
        </row>
        <row r="520">
          <cell r="A520" t="str">
            <v>RHC-350</v>
          </cell>
        </row>
        <row r="521">
          <cell r="A521" t="str">
            <v>RHC-400</v>
          </cell>
        </row>
        <row r="522">
          <cell r="A522" t="str">
            <v>RHC-450</v>
          </cell>
        </row>
        <row r="523">
          <cell r="A523" t="str">
            <v>RHC-500</v>
          </cell>
        </row>
        <row r="524">
          <cell r="A524" t="str">
            <v>RHC-550</v>
          </cell>
        </row>
        <row r="525">
          <cell r="A525" t="str">
            <v>RHC-600</v>
          </cell>
        </row>
        <row r="526">
          <cell r="A526" t="str">
            <v>RHA-080</v>
          </cell>
        </row>
        <row r="527">
          <cell r="A527" t="str">
            <v>RHA-090</v>
          </cell>
        </row>
        <row r="528">
          <cell r="A528" t="str">
            <v>RHA-100</v>
          </cell>
        </row>
        <row r="529">
          <cell r="A529" t="str">
            <v>RHA-125</v>
          </cell>
        </row>
        <row r="530">
          <cell r="A530" t="str">
            <v>RHA-150</v>
          </cell>
        </row>
        <row r="531">
          <cell r="A531" t="str">
            <v>RHA-175</v>
          </cell>
        </row>
        <row r="532">
          <cell r="A532" t="str">
            <v>RHA-200</v>
          </cell>
        </row>
        <row r="533">
          <cell r="A533" t="str">
            <v>RHA-225</v>
          </cell>
        </row>
        <row r="534">
          <cell r="A534" t="str">
            <v>RHA-250</v>
          </cell>
        </row>
        <row r="535">
          <cell r="A535" t="str">
            <v>RHA-300</v>
          </cell>
        </row>
        <row r="536">
          <cell r="A536" t="str">
            <v>RHA-350</v>
          </cell>
        </row>
        <row r="537">
          <cell r="A537" t="str">
            <v>RHA-400</v>
          </cell>
        </row>
        <row r="538">
          <cell r="A538" t="str">
            <v>RHA-450</v>
          </cell>
        </row>
        <row r="539">
          <cell r="A539" t="str">
            <v>RHA-500</v>
          </cell>
        </row>
        <row r="540">
          <cell r="A540" t="str">
            <v>RHA-550</v>
          </cell>
        </row>
        <row r="541">
          <cell r="A541" t="str">
            <v>RHA-600</v>
          </cell>
        </row>
        <row r="542">
          <cell r="A542" t="str">
            <v>EHS-080</v>
          </cell>
          <cell r="B542">
            <v>175</v>
          </cell>
        </row>
        <row r="543">
          <cell r="A543" t="str">
            <v>EHS-090</v>
          </cell>
          <cell r="B543">
            <v>200</v>
          </cell>
        </row>
        <row r="544">
          <cell r="A544" t="str">
            <v>EHS-100</v>
          </cell>
          <cell r="B544">
            <v>200</v>
          </cell>
        </row>
        <row r="545">
          <cell r="A545" t="str">
            <v>EHS-125</v>
          </cell>
          <cell r="B545">
            <v>200</v>
          </cell>
        </row>
        <row r="546">
          <cell r="A546" t="str">
            <v>EHS-150</v>
          </cell>
          <cell r="B546">
            <v>250</v>
          </cell>
        </row>
        <row r="547">
          <cell r="A547" t="str">
            <v>EHS-175</v>
          </cell>
          <cell r="B547">
            <v>250</v>
          </cell>
        </row>
        <row r="548">
          <cell r="A548" t="str">
            <v>EHS-200</v>
          </cell>
          <cell r="B548">
            <v>250</v>
          </cell>
        </row>
        <row r="549">
          <cell r="A549" t="str">
            <v>EHS-225</v>
          </cell>
          <cell r="B549">
            <v>250</v>
          </cell>
        </row>
        <row r="550">
          <cell r="A550" t="str">
            <v>EHS-250</v>
          </cell>
          <cell r="B550">
            <v>300</v>
          </cell>
          <cell r="D550">
            <v>47</v>
          </cell>
        </row>
        <row r="551">
          <cell r="A551" t="str">
            <v>EHS-300</v>
          </cell>
          <cell r="B551">
            <v>300</v>
          </cell>
          <cell r="D551">
            <v>47</v>
          </cell>
        </row>
        <row r="552">
          <cell r="A552" t="str">
            <v>EHS-350</v>
          </cell>
          <cell r="B552">
            <v>300</v>
          </cell>
          <cell r="D552">
            <v>47</v>
          </cell>
        </row>
        <row r="553">
          <cell r="A553" t="str">
            <v>EHS-400</v>
          </cell>
          <cell r="B553">
            <v>300</v>
          </cell>
          <cell r="D553">
            <v>54</v>
          </cell>
        </row>
        <row r="554">
          <cell r="A554" t="str">
            <v>EHS-450</v>
          </cell>
          <cell r="B554">
            <v>300</v>
          </cell>
          <cell r="D554">
            <v>54</v>
          </cell>
        </row>
        <row r="555">
          <cell r="A555" t="str">
            <v>EHS-500</v>
          </cell>
          <cell r="B555">
            <v>300</v>
          </cell>
          <cell r="D555">
            <v>54</v>
          </cell>
        </row>
        <row r="556">
          <cell r="A556" t="str">
            <v>EHS-550</v>
          </cell>
          <cell r="B556">
            <v>300</v>
          </cell>
          <cell r="D556">
            <v>62</v>
          </cell>
        </row>
        <row r="557">
          <cell r="A557" t="str">
            <v>EHS-600</v>
          </cell>
          <cell r="B557">
            <v>300</v>
          </cell>
          <cell r="D557">
            <v>62</v>
          </cell>
        </row>
        <row r="558">
          <cell r="A558" t="str">
            <v>EHC-750</v>
          </cell>
          <cell r="B558">
            <v>650</v>
          </cell>
        </row>
        <row r="559">
          <cell r="A559" t="str">
            <v>RHC-1500</v>
          </cell>
        </row>
      </sheetData>
      <sheetData sheetId="8">
        <row r="3">
          <cell r="A3">
            <v>0.75</v>
          </cell>
        </row>
        <row r="4">
          <cell r="A4">
            <v>1</v>
          </cell>
        </row>
        <row r="5">
          <cell r="A5">
            <v>1.25</v>
          </cell>
        </row>
        <row r="6">
          <cell r="A6">
            <v>1.5</v>
          </cell>
        </row>
        <row r="7">
          <cell r="A7">
            <v>2</v>
          </cell>
        </row>
        <row r="8">
          <cell r="A8">
            <v>2.5</v>
          </cell>
        </row>
        <row r="9">
          <cell r="A9">
            <v>3</v>
          </cell>
        </row>
        <row r="10">
          <cell r="A10">
            <v>3.5</v>
          </cell>
        </row>
        <row r="11">
          <cell r="A11">
            <v>4</v>
          </cell>
        </row>
        <row r="12">
          <cell r="A12">
            <v>5</v>
          </cell>
        </row>
        <row r="13">
          <cell r="A13">
            <v>6</v>
          </cell>
        </row>
        <row r="14">
          <cell r="A14">
            <v>7</v>
          </cell>
        </row>
        <row r="15">
          <cell r="A15">
            <v>8</v>
          </cell>
        </row>
        <row r="16">
          <cell r="A16">
            <v>9</v>
          </cell>
        </row>
        <row r="17">
          <cell r="A17">
            <v>10</v>
          </cell>
        </row>
        <row r="18">
          <cell r="A18">
            <v>12</v>
          </cell>
        </row>
        <row r="19">
          <cell r="A19">
            <v>14</v>
          </cell>
        </row>
        <row r="20">
          <cell r="A20">
            <v>16</v>
          </cell>
        </row>
        <row r="21">
          <cell r="A21">
            <v>18</v>
          </cell>
        </row>
        <row r="22">
          <cell r="A22">
            <v>20</v>
          </cell>
        </row>
        <row r="23">
          <cell r="A23">
            <v>22</v>
          </cell>
        </row>
        <row r="24">
          <cell r="A24">
            <v>24</v>
          </cell>
        </row>
        <row r="25">
          <cell r="A25">
            <v>26</v>
          </cell>
        </row>
        <row r="26">
          <cell r="A26">
            <v>28</v>
          </cell>
        </row>
        <row r="27">
          <cell r="A27">
            <v>30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36</v>
          </cell>
        </row>
        <row r="31">
          <cell r="A31">
            <v>40</v>
          </cell>
        </row>
        <row r="32">
          <cell r="A32">
            <v>44</v>
          </cell>
        </row>
        <row r="33">
          <cell r="A33">
            <v>48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anel BOM (2)"/>
      <sheetName val="New Microsoft Excel Worksheet ("/>
      <sheetName val="Panel BOM"/>
    </sheetNames>
    <definedNames>
      <definedName name="Choices_Wrapper" refersTo="#REF!"/>
    </definedNames>
    <sheetDataSet>
      <sheetData sheetId="0"/>
      <sheetData sheetId="1"/>
      <sheetData sheetId="2" refreshError="1"/>
      <sheetData sheetId="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Brief"/>
    </sheetNames>
    <sheetDataSet>
      <sheetData sheetId="0">
        <row r="11">
          <cell r="E11" t="str">
            <v>Nova Park Cairo S.A.E.</v>
          </cell>
        </row>
        <row r="27">
          <cell r="E27" t="str">
            <v>International Bechtel Company Limited</v>
          </cell>
        </row>
        <row r="34">
          <cell r="E34">
            <v>140000</v>
          </cell>
        </row>
        <row r="35">
          <cell r="E35" t="str">
            <v>30 Storey with 4 Basement</v>
          </cell>
        </row>
        <row r="36">
          <cell r="E36" t="str">
            <v>R.C.</v>
          </cell>
        </row>
        <row r="38">
          <cell r="E38">
            <v>43</v>
          </cell>
        </row>
        <row r="64">
          <cell r="E64" t="str">
            <v>Diagharm wall</v>
          </cell>
        </row>
        <row r="100">
          <cell r="E100" t="str">
            <v>1 US$ = 3.40 L.E.</v>
          </cell>
        </row>
        <row r="110">
          <cell r="E110" t="str">
            <v>1998. 10. 26  12:00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"/>
      <sheetName val="MAT."/>
      <sheetName val="LABTOTAL"/>
    </sheetNames>
    <sheetDataSet>
      <sheetData sheetId="0" refreshError="1"/>
      <sheetData sheetId="1" refreshError="1"/>
      <sheetData sheetId="2" refreshError="1">
        <row r="7">
          <cell r="C7">
            <v>1000</v>
          </cell>
          <cell r="D7" t="str">
            <v>SURVEYING</v>
          </cell>
          <cell r="E7" t="str">
            <v>M2</v>
          </cell>
          <cell r="F7">
            <v>1</v>
          </cell>
          <cell r="G7">
            <v>250</v>
          </cell>
          <cell r="H7">
            <v>1.183875</v>
          </cell>
          <cell r="I7">
            <v>1</v>
          </cell>
          <cell r="J7">
            <v>295.96875</v>
          </cell>
          <cell r="K7">
            <v>3</v>
          </cell>
          <cell r="L7">
            <v>0.01</v>
          </cell>
          <cell r="M7">
            <v>0</v>
          </cell>
          <cell r="N7">
            <v>7.7877333333333338E-3</v>
          </cell>
          <cell r="O7">
            <v>0.01</v>
          </cell>
          <cell r="P7">
            <v>0.19</v>
          </cell>
          <cell r="Q7">
            <v>0.19</v>
          </cell>
          <cell r="R7">
            <v>0</v>
          </cell>
          <cell r="S7">
            <v>0</v>
          </cell>
          <cell r="T7">
            <v>0.19778773333333333</v>
          </cell>
          <cell r="U7">
            <v>0</v>
          </cell>
          <cell r="V7">
            <v>1</v>
          </cell>
          <cell r="W7">
            <v>2</v>
          </cell>
        </row>
        <row r="8">
          <cell r="C8">
            <v>1010</v>
          </cell>
          <cell r="D8" t="str">
            <v>SURVEYING OF DAY</v>
          </cell>
          <cell r="E8" t="str">
            <v>DAY</v>
          </cell>
          <cell r="F8">
            <v>0</v>
          </cell>
          <cell r="G8">
            <v>1.65</v>
          </cell>
          <cell r="H8">
            <v>1.183875</v>
          </cell>
          <cell r="I8">
            <v>1</v>
          </cell>
          <cell r="J8">
            <v>1.9533937499999998</v>
          </cell>
          <cell r="K8">
            <v>6</v>
          </cell>
          <cell r="L8">
            <v>3.0720000000000001</v>
          </cell>
          <cell r="M8">
            <v>0</v>
          </cell>
          <cell r="N8">
            <v>0</v>
          </cell>
          <cell r="O8">
            <v>0</v>
          </cell>
          <cell r="P8">
            <v>58.92</v>
          </cell>
          <cell r="Q8">
            <v>0</v>
          </cell>
          <cell r="R8">
            <v>0</v>
          </cell>
          <cell r="S8">
            <v>0</v>
          </cell>
          <cell r="T8">
            <v>58.92</v>
          </cell>
          <cell r="U8">
            <v>0</v>
          </cell>
          <cell r="V8">
            <v>2</v>
          </cell>
          <cell r="W8">
            <v>4</v>
          </cell>
        </row>
        <row r="9">
          <cell r="C9">
            <v>1020</v>
          </cell>
          <cell r="D9" t="str">
            <v xml:space="preserve">OPERATION  OF WELL POINT (100M-7M HEIGHT) </v>
          </cell>
          <cell r="E9" t="str">
            <v>M</v>
          </cell>
          <cell r="F9">
            <v>0</v>
          </cell>
          <cell r="G9">
            <v>850</v>
          </cell>
          <cell r="H9">
            <v>1.183875</v>
          </cell>
          <cell r="I9">
            <v>1</v>
          </cell>
          <cell r="J9">
            <v>1006.29375</v>
          </cell>
          <cell r="K9">
            <v>270</v>
          </cell>
          <cell r="L9">
            <v>0.26800000000000002</v>
          </cell>
          <cell r="M9">
            <v>0</v>
          </cell>
          <cell r="N9">
            <v>55.19770166666666</v>
          </cell>
          <cell r="O9">
            <v>0</v>
          </cell>
          <cell r="P9">
            <v>0</v>
          </cell>
          <cell r="Q9">
            <v>0</v>
          </cell>
          <cell r="R9">
            <v>0.28000000000000003</v>
          </cell>
          <cell r="S9">
            <v>0</v>
          </cell>
          <cell r="T9">
            <v>55.477701666666661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AS9">
            <v>0.5</v>
          </cell>
          <cell r="AY9">
            <v>2</v>
          </cell>
        </row>
        <row r="10">
          <cell r="C10">
            <v>1030</v>
          </cell>
          <cell r="D10" t="str">
            <v xml:space="preserve">SINGLE SCAFFOLDING (H&lt;5M) </v>
          </cell>
          <cell r="E10" t="str">
            <v>M2</v>
          </cell>
          <cell r="F10">
            <v>0</v>
          </cell>
          <cell r="G10">
            <v>130</v>
          </cell>
          <cell r="H10">
            <v>1.183875</v>
          </cell>
          <cell r="I10">
            <v>1</v>
          </cell>
          <cell r="J10">
            <v>153.90375</v>
          </cell>
          <cell r="K10">
            <v>7.6</v>
          </cell>
          <cell r="L10">
            <v>4.9000000000000002E-2</v>
          </cell>
          <cell r="M10">
            <v>0</v>
          </cell>
          <cell r="N10">
            <v>13.085840695593678</v>
          </cell>
          <cell r="O10">
            <v>0</v>
          </cell>
          <cell r="P10">
            <v>1.01</v>
          </cell>
          <cell r="Q10">
            <v>0</v>
          </cell>
          <cell r="R10">
            <v>0.25</v>
          </cell>
          <cell r="S10">
            <v>0</v>
          </cell>
          <cell r="T10">
            <v>14.345840695593678</v>
          </cell>
          <cell r="U10">
            <v>0</v>
          </cell>
          <cell r="V10">
            <v>1</v>
          </cell>
          <cell r="W10">
            <v>2</v>
          </cell>
          <cell r="Z10">
            <v>0.6</v>
          </cell>
          <cell r="AF10">
            <v>4</v>
          </cell>
          <cell r="BH10">
            <v>0.6</v>
          </cell>
        </row>
        <row r="11">
          <cell r="C11">
            <v>1040</v>
          </cell>
          <cell r="D11" t="str">
            <v>DOUBLE SCAFFOLDING (H&lt;=5M)</v>
          </cell>
          <cell r="E11" t="str">
            <v>M2</v>
          </cell>
          <cell r="F11">
            <v>0</v>
          </cell>
          <cell r="G11">
            <v>85</v>
          </cell>
          <cell r="H11">
            <v>1.183875</v>
          </cell>
          <cell r="I11">
            <v>1</v>
          </cell>
          <cell r="J11">
            <v>100.629375</v>
          </cell>
          <cell r="K11">
            <v>7.6</v>
          </cell>
          <cell r="L11">
            <v>7.5999999999999998E-2</v>
          </cell>
          <cell r="M11">
            <v>0</v>
          </cell>
          <cell r="N11">
            <v>19.662185871510264</v>
          </cell>
          <cell r="O11">
            <v>0</v>
          </cell>
          <cell r="P11">
            <v>1.54</v>
          </cell>
          <cell r="Q11">
            <v>0</v>
          </cell>
          <cell r="R11">
            <v>0.38</v>
          </cell>
          <cell r="S11">
            <v>0</v>
          </cell>
          <cell r="T11">
            <v>21.582185871510262</v>
          </cell>
          <cell r="U11">
            <v>0</v>
          </cell>
          <cell r="V11">
            <v>1</v>
          </cell>
          <cell r="W11">
            <v>2</v>
          </cell>
          <cell r="Z11">
            <v>0.6</v>
          </cell>
          <cell r="AF11">
            <v>4</v>
          </cell>
          <cell r="BH11">
            <v>0.6</v>
          </cell>
        </row>
        <row r="12">
          <cell r="C12">
            <v>1050</v>
          </cell>
          <cell r="D12" t="str">
            <v>DOUBLE SCAFFOLDING (H&lt;=10M)</v>
          </cell>
          <cell r="E12" t="str">
            <v>M2</v>
          </cell>
          <cell r="F12">
            <v>0</v>
          </cell>
          <cell r="G12">
            <v>65</v>
          </cell>
          <cell r="H12">
            <v>1.183875</v>
          </cell>
          <cell r="I12">
            <v>1</v>
          </cell>
          <cell r="J12">
            <v>76.951875000000001</v>
          </cell>
          <cell r="K12">
            <v>7.6</v>
          </cell>
          <cell r="L12">
            <v>9.9000000000000005E-2</v>
          </cell>
          <cell r="M12">
            <v>0</v>
          </cell>
          <cell r="N12">
            <v>20.571975871510265</v>
          </cell>
          <cell r="O12">
            <v>0</v>
          </cell>
          <cell r="P12">
            <v>2.0099999999999998</v>
          </cell>
          <cell r="Q12">
            <v>0</v>
          </cell>
          <cell r="R12">
            <v>0.5</v>
          </cell>
          <cell r="S12">
            <v>0</v>
          </cell>
          <cell r="T12">
            <v>23.081975871510267</v>
          </cell>
          <cell r="U12">
            <v>0</v>
          </cell>
          <cell r="V12">
            <v>1</v>
          </cell>
          <cell r="W12">
            <v>2</v>
          </cell>
          <cell r="Z12">
            <v>0.6</v>
          </cell>
          <cell r="AF12">
            <v>4</v>
          </cell>
          <cell r="BH12">
            <v>0.6</v>
          </cell>
        </row>
        <row r="13">
          <cell r="C13">
            <v>1060</v>
          </cell>
          <cell r="D13" t="str">
            <v xml:space="preserve">B.T. SCAFFOLDING (1 STORY) H=1.8M </v>
          </cell>
          <cell r="E13" t="str">
            <v>M2</v>
          </cell>
          <cell r="F13">
            <v>0</v>
          </cell>
          <cell r="G13">
            <v>210</v>
          </cell>
          <cell r="H13">
            <v>1.183875</v>
          </cell>
          <cell r="I13">
            <v>1</v>
          </cell>
          <cell r="J13">
            <v>248.61375000000001</v>
          </cell>
          <cell r="K13">
            <v>8.4</v>
          </cell>
          <cell r="L13">
            <v>3.4000000000000002E-2</v>
          </cell>
          <cell r="M13">
            <v>0</v>
          </cell>
          <cell r="N13">
            <v>6.9963261419441656</v>
          </cell>
          <cell r="O13">
            <v>0</v>
          </cell>
          <cell r="P13">
            <v>0.69</v>
          </cell>
          <cell r="Q13">
            <v>0</v>
          </cell>
          <cell r="R13">
            <v>0.23</v>
          </cell>
          <cell r="S13">
            <v>0</v>
          </cell>
          <cell r="T13">
            <v>7.9163261419441664</v>
          </cell>
          <cell r="U13">
            <v>0</v>
          </cell>
          <cell r="V13">
            <v>1</v>
          </cell>
          <cell r="W13">
            <v>2</v>
          </cell>
          <cell r="Z13">
            <v>0.4</v>
          </cell>
          <cell r="AE13">
            <v>5</v>
          </cell>
          <cell r="BG13">
            <v>0.4</v>
          </cell>
        </row>
        <row r="14">
          <cell r="C14">
            <v>1070</v>
          </cell>
          <cell r="D14" t="str">
            <v xml:space="preserve">B.T. SCAFFOLDING (2 STORY) H=3.6M  *VOL=77.76 M3 </v>
          </cell>
          <cell r="E14" t="str">
            <v>M2</v>
          </cell>
          <cell r="F14">
            <v>0</v>
          </cell>
          <cell r="G14">
            <v>190</v>
          </cell>
          <cell r="H14">
            <v>1.183875</v>
          </cell>
          <cell r="I14">
            <v>1</v>
          </cell>
          <cell r="J14">
            <v>224.93625</v>
          </cell>
          <cell r="K14">
            <v>8.4</v>
          </cell>
          <cell r="L14">
            <v>3.6999999999999998E-2</v>
          </cell>
          <cell r="M14">
            <v>0</v>
          </cell>
          <cell r="N14">
            <v>7.632909070972083</v>
          </cell>
          <cell r="O14">
            <v>0</v>
          </cell>
          <cell r="P14">
            <v>0.76</v>
          </cell>
          <cell r="Q14">
            <v>0</v>
          </cell>
          <cell r="R14">
            <v>0.25</v>
          </cell>
          <cell r="S14">
            <v>0</v>
          </cell>
          <cell r="T14">
            <v>8.6429090709720828</v>
          </cell>
          <cell r="U14">
            <v>0</v>
          </cell>
          <cell r="V14">
            <v>1</v>
          </cell>
          <cell r="W14">
            <v>2</v>
          </cell>
          <cell r="Z14">
            <v>0.4</v>
          </cell>
          <cell r="AE14">
            <v>5</v>
          </cell>
          <cell r="BG14">
            <v>0.4</v>
          </cell>
        </row>
        <row r="15">
          <cell r="C15">
            <v>1080</v>
          </cell>
          <cell r="D15" t="str">
            <v xml:space="preserve">B.T. SCAFFOLDING (3 STORY) H=5.4M  *VOL=116.64 M3 </v>
          </cell>
          <cell r="E15" t="str">
            <v>M2</v>
          </cell>
          <cell r="F15">
            <v>0</v>
          </cell>
          <cell r="G15">
            <v>175</v>
          </cell>
          <cell r="H15">
            <v>1.183875</v>
          </cell>
          <cell r="I15">
            <v>1</v>
          </cell>
          <cell r="J15">
            <v>207.17812499999999</v>
          </cell>
          <cell r="K15">
            <v>8.4</v>
          </cell>
          <cell r="L15">
            <v>4.1000000000000002E-2</v>
          </cell>
          <cell r="M15">
            <v>0</v>
          </cell>
          <cell r="N15">
            <v>7.8562066693575527</v>
          </cell>
          <cell r="O15">
            <v>0</v>
          </cell>
          <cell r="P15">
            <v>0.83</v>
          </cell>
          <cell r="Q15">
            <v>0</v>
          </cell>
          <cell r="R15">
            <v>0.27</v>
          </cell>
          <cell r="S15">
            <v>0</v>
          </cell>
          <cell r="T15">
            <v>8.9562066693575524</v>
          </cell>
          <cell r="U15">
            <v>0</v>
          </cell>
          <cell r="V15">
            <v>1</v>
          </cell>
          <cell r="W15">
            <v>2</v>
          </cell>
          <cell r="Z15">
            <v>0.4</v>
          </cell>
          <cell r="AE15">
            <v>5</v>
          </cell>
          <cell r="BG15">
            <v>0.4</v>
          </cell>
        </row>
        <row r="16">
          <cell r="C16">
            <v>1090</v>
          </cell>
          <cell r="D16" t="str">
            <v xml:space="preserve">STAGING (45 M3 ~67.5 M3) 1 STORY </v>
          </cell>
          <cell r="E16" t="str">
            <v>M3</v>
          </cell>
          <cell r="F16">
            <v>0</v>
          </cell>
          <cell r="G16">
            <v>125</v>
          </cell>
          <cell r="H16">
            <v>1.183875</v>
          </cell>
          <cell r="I16">
            <v>1</v>
          </cell>
          <cell r="J16">
            <v>147.984375</v>
          </cell>
          <cell r="K16">
            <v>6.4</v>
          </cell>
          <cell r="L16">
            <v>4.2999999999999997E-2</v>
          </cell>
          <cell r="M16">
            <v>0</v>
          </cell>
          <cell r="N16">
            <v>15.741936000000003</v>
          </cell>
          <cell r="O16">
            <v>0</v>
          </cell>
          <cell r="P16">
            <v>0.91</v>
          </cell>
          <cell r="Q16">
            <v>0</v>
          </cell>
          <cell r="R16">
            <v>0.17</v>
          </cell>
          <cell r="S16">
            <v>0</v>
          </cell>
          <cell r="T16">
            <v>16.821936000000004</v>
          </cell>
          <cell r="U16">
            <v>0</v>
          </cell>
          <cell r="V16">
            <v>1</v>
          </cell>
          <cell r="W16">
            <v>1</v>
          </cell>
          <cell r="Z16">
            <v>0.4</v>
          </cell>
          <cell r="AE16">
            <v>4</v>
          </cell>
          <cell r="BH16">
            <v>0.4</v>
          </cell>
        </row>
        <row r="17">
          <cell r="C17">
            <v>1100</v>
          </cell>
          <cell r="D17" t="str">
            <v xml:space="preserve">STAGING (90 M3 ~135 M3) 2 STORY </v>
          </cell>
          <cell r="E17" t="str">
            <v>M3</v>
          </cell>
          <cell r="F17">
            <v>0</v>
          </cell>
          <cell r="G17">
            <v>115</v>
          </cell>
          <cell r="H17">
            <v>1.183875</v>
          </cell>
          <cell r="I17">
            <v>1</v>
          </cell>
          <cell r="J17">
            <v>136.145625</v>
          </cell>
          <cell r="K17">
            <v>6.4</v>
          </cell>
          <cell r="L17">
            <v>4.7E-2</v>
          </cell>
          <cell r="M17">
            <v>0</v>
          </cell>
          <cell r="N17">
            <v>17.158782666666667</v>
          </cell>
          <cell r="O17">
            <v>0</v>
          </cell>
          <cell r="P17">
            <v>0.99</v>
          </cell>
          <cell r="Q17">
            <v>0</v>
          </cell>
          <cell r="R17">
            <v>0.19</v>
          </cell>
          <cell r="S17">
            <v>0</v>
          </cell>
          <cell r="T17">
            <v>18.338782666666667</v>
          </cell>
          <cell r="U17">
            <v>0</v>
          </cell>
          <cell r="V17">
            <v>1</v>
          </cell>
          <cell r="W17">
            <v>1</v>
          </cell>
          <cell r="Z17">
            <v>0.4</v>
          </cell>
          <cell r="AE17">
            <v>4</v>
          </cell>
          <cell r="BH17">
            <v>0.4</v>
          </cell>
        </row>
        <row r="18">
          <cell r="C18">
            <v>1110</v>
          </cell>
          <cell r="D18" t="str">
            <v xml:space="preserve">STAGING (BT+SUPPORT) 84 ~105 M3 </v>
          </cell>
          <cell r="E18" t="str">
            <v>M3</v>
          </cell>
          <cell r="F18">
            <v>0</v>
          </cell>
          <cell r="G18">
            <v>80</v>
          </cell>
          <cell r="H18">
            <v>1.183875</v>
          </cell>
          <cell r="I18">
            <v>1</v>
          </cell>
          <cell r="J18">
            <v>94.710000000000008</v>
          </cell>
          <cell r="K18">
            <v>6.4</v>
          </cell>
          <cell r="L18">
            <v>6.8000000000000005E-2</v>
          </cell>
          <cell r="M18">
            <v>0</v>
          </cell>
          <cell r="N18">
            <v>13.046641816347126</v>
          </cell>
          <cell r="O18">
            <v>0</v>
          </cell>
          <cell r="P18">
            <v>1.42</v>
          </cell>
          <cell r="Q18">
            <v>0</v>
          </cell>
          <cell r="R18">
            <v>0.27</v>
          </cell>
          <cell r="S18">
            <v>0</v>
          </cell>
          <cell r="T18">
            <v>14.736641816347126</v>
          </cell>
          <cell r="U18">
            <v>0</v>
          </cell>
          <cell r="V18">
            <v>1</v>
          </cell>
          <cell r="W18">
            <v>1</v>
          </cell>
          <cell r="Z18">
            <v>0.4</v>
          </cell>
          <cell r="AE18">
            <v>4</v>
          </cell>
          <cell r="BH18">
            <v>0.4</v>
          </cell>
        </row>
        <row r="19">
          <cell r="C19">
            <v>1120</v>
          </cell>
          <cell r="D19" t="str">
            <v>TEMPORARY SAFETY FENCE (1 YEAR)</v>
          </cell>
          <cell r="E19" t="str">
            <v>M</v>
          </cell>
          <cell r="F19">
            <v>0</v>
          </cell>
          <cell r="G19">
            <v>80</v>
          </cell>
          <cell r="H19">
            <v>1.183875</v>
          </cell>
          <cell r="I19">
            <v>1</v>
          </cell>
          <cell r="J19">
            <v>94.710000000000008</v>
          </cell>
          <cell r="K19">
            <v>5.5</v>
          </cell>
          <cell r="L19">
            <v>5.8000000000000003E-2</v>
          </cell>
          <cell r="M19">
            <v>0</v>
          </cell>
          <cell r="N19">
            <v>4.3691200000000006</v>
          </cell>
          <cell r="O19">
            <v>0</v>
          </cell>
          <cell r="P19">
            <v>0.96</v>
          </cell>
          <cell r="Q19">
            <v>0</v>
          </cell>
          <cell r="R19">
            <v>0.74</v>
          </cell>
          <cell r="S19">
            <v>0</v>
          </cell>
          <cell r="T19">
            <v>6.0691200000000007</v>
          </cell>
          <cell r="U19">
            <v>0</v>
          </cell>
          <cell r="W19">
            <v>5</v>
          </cell>
          <cell r="Z19">
            <v>0.5</v>
          </cell>
          <cell r="BG19">
            <v>0.5</v>
          </cell>
        </row>
        <row r="20">
          <cell r="C20">
            <v>1130</v>
          </cell>
          <cell r="D20" t="str">
            <v xml:space="preserve">ACCESS ROAD (YELLOW MAR'L T=200) </v>
          </cell>
          <cell r="E20" t="str">
            <v>M2</v>
          </cell>
          <cell r="F20">
            <v>0</v>
          </cell>
          <cell r="G20">
            <v>1150</v>
          </cell>
          <cell r="H20">
            <v>1.183875</v>
          </cell>
          <cell r="I20">
            <v>1</v>
          </cell>
          <cell r="J20">
            <v>1361.45625</v>
          </cell>
          <cell r="K20">
            <v>8.1999999999999993</v>
          </cell>
          <cell r="L20">
            <v>6.0000000000000001E-3</v>
          </cell>
          <cell r="M20">
            <v>0</v>
          </cell>
          <cell r="N20">
            <v>2.7440000000000007</v>
          </cell>
          <cell r="O20">
            <v>0</v>
          </cell>
          <cell r="P20">
            <v>0.12</v>
          </cell>
          <cell r="Q20">
            <v>0</v>
          </cell>
          <cell r="R20">
            <v>0.42</v>
          </cell>
          <cell r="S20">
            <v>0</v>
          </cell>
          <cell r="T20">
            <v>3.2840000000000007</v>
          </cell>
          <cell r="U20">
            <v>0</v>
          </cell>
          <cell r="V20">
            <v>1</v>
          </cell>
          <cell r="W20">
            <v>4</v>
          </cell>
          <cell r="X20">
            <v>3.2</v>
          </cell>
          <cell r="AS20">
            <v>1</v>
          </cell>
          <cell r="AV20">
            <v>0.2</v>
          </cell>
          <cell r="AW20">
            <v>1</v>
          </cell>
          <cell r="AY20">
            <v>1</v>
          </cell>
        </row>
        <row r="21">
          <cell r="C21">
            <v>1135</v>
          </cell>
          <cell r="D21" t="str">
            <v xml:space="preserve">ACCESS ROAD (YELLOW MAR'L T=200)SUBCON. </v>
          </cell>
          <cell r="E21" t="str">
            <v>M2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1.6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1.6</v>
          </cell>
          <cell r="U21">
            <v>0</v>
          </cell>
        </row>
        <row r="22">
          <cell r="C22">
            <v>1140</v>
          </cell>
          <cell r="D22" t="str">
            <v>TEMP WATER LINE (DIA=50MM)</v>
          </cell>
          <cell r="E22" t="str">
            <v>M</v>
          </cell>
          <cell r="F22">
            <v>0</v>
          </cell>
          <cell r="G22">
            <v>75</v>
          </cell>
          <cell r="H22">
            <v>1.183875</v>
          </cell>
          <cell r="I22">
            <v>1</v>
          </cell>
          <cell r="J22">
            <v>88.790625000000006</v>
          </cell>
          <cell r="K22">
            <v>5</v>
          </cell>
          <cell r="L22">
            <v>5.6000000000000001E-2</v>
          </cell>
          <cell r="M22">
            <v>0</v>
          </cell>
          <cell r="N22">
            <v>8.0752000000000006</v>
          </cell>
          <cell r="O22">
            <v>0</v>
          </cell>
          <cell r="P22">
            <v>1.1399999999999999</v>
          </cell>
          <cell r="Q22">
            <v>0</v>
          </cell>
          <cell r="R22">
            <v>1.19</v>
          </cell>
          <cell r="S22">
            <v>0</v>
          </cell>
          <cell r="T22">
            <v>10.405200000000001</v>
          </cell>
          <cell r="U22">
            <v>0</v>
          </cell>
          <cell r="V22">
            <v>0.5</v>
          </cell>
          <cell r="W22">
            <v>2</v>
          </cell>
          <cell r="X22">
            <v>0.5</v>
          </cell>
          <cell r="AH22">
            <v>1</v>
          </cell>
          <cell r="AJ22">
            <v>1</v>
          </cell>
          <cell r="AK22">
            <v>0.5</v>
          </cell>
          <cell r="BK22">
            <v>1</v>
          </cell>
        </row>
        <row r="23">
          <cell r="C23">
            <v>1150</v>
          </cell>
          <cell r="D23" t="str">
            <v>TEMP ELEC LINE (CORE 22MM SQ x 3 P)</v>
          </cell>
          <cell r="E23" t="str">
            <v>M</v>
          </cell>
          <cell r="F23">
            <v>0</v>
          </cell>
          <cell r="G23">
            <v>125</v>
          </cell>
          <cell r="H23">
            <v>1.183875</v>
          </cell>
          <cell r="I23">
            <v>1</v>
          </cell>
          <cell r="J23">
            <v>147.984375</v>
          </cell>
          <cell r="K23">
            <v>6</v>
          </cell>
          <cell r="L23">
            <v>4.1000000000000002E-2</v>
          </cell>
          <cell r="M23">
            <v>0</v>
          </cell>
          <cell r="N23">
            <v>3.9162224016145313</v>
          </cell>
          <cell r="O23">
            <v>0</v>
          </cell>
          <cell r="P23">
            <v>0.74</v>
          </cell>
          <cell r="Q23">
            <v>0</v>
          </cell>
          <cell r="R23">
            <v>0.51</v>
          </cell>
          <cell r="S23">
            <v>0</v>
          </cell>
          <cell r="T23">
            <v>5.1662224016145313</v>
          </cell>
          <cell r="U23">
            <v>0</v>
          </cell>
          <cell r="V23">
            <v>0.5</v>
          </cell>
          <cell r="W23">
            <v>4</v>
          </cell>
          <cell r="X23">
            <v>0.5</v>
          </cell>
          <cell r="Y23">
            <v>1</v>
          </cell>
          <cell r="AK23">
            <v>0.5</v>
          </cell>
        </row>
        <row r="24">
          <cell r="C24">
            <v>1160</v>
          </cell>
          <cell r="D24" t="str">
            <v>TEMP PVC PIPE DRAIN LINE (DIA=150)</v>
          </cell>
          <cell r="E24" t="str">
            <v>M</v>
          </cell>
          <cell r="F24">
            <v>0</v>
          </cell>
          <cell r="G24">
            <v>58</v>
          </cell>
          <cell r="H24">
            <v>1.183875</v>
          </cell>
          <cell r="I24">
            <v>1</v>
          </cell>
          <cell r="J24">
            <v>68.664749999999998</v>
          </cell>
          <cell r="K24">
            <v>5</v>
          </cell>
          <cell r="L24">
            <v>7.2999999999999995E-2</v>
          </cell>
          <cell r="M24">
            <v>0</v>
          </cell>
          <cell r="N24">
            <v>6.7620000000000005</v>
          </cell>
          <cell r="O24">
            <v>0</v>
          </cell>
          <cell r="P24">
            <v>1.47</v>
          </cell>
          <cell r="Q24">
            <v>0</v>
          </cell>
          <cell r="R24">
            <v>1.54</v>
          </cell>
          <cell r="S24">
            <v>0</v>
          </cell>
          <cell r="T24">
            <v>9.772000000000002</v>
          </cell>
          <cell r="U24">
            <v>0</v>
          </cell>
          <cell r="V24">
            <v>0.5</v>
          </cell>
          <cell r="W24">
            <v>2</v>
          </cell>
          <cell r="X24">
            <v>0.5</v>
          </cell>
          <cell r="AH24">
            <v>1</v>
          </cell>
          <cell r="AJ24">
            <v>1</v>
          </cell>
          <cell r="AK24">
            <v>0.5</v>
          </cell>
          <cell r="BK24">
            <v>1</v>
          </cell>
        </row>
        <row r="25">
          <cell r="C25">
            <v>1170</v>
          </cell>
          <cell r="D25" t="str">
            <v>CONC. BATCH PLANT</v>
          </cell>
          <cell r="E25" t="str">
            <v>M3</v>
          </cell>
          <cell r="F25">
            <v>0</v>
          </cell>
          <cell r="G25">
            <v>125</v>
          </cell>
          <cell r="H25">
            <v>1.183875</v>
          </cell>
          <cell r="I25">
            <v>1</v>
          </cell>
          <cell r="J25">
            <v>147.984375</v>
          </cell>
          <cell r="K25">
            <v>5.5</v>
          </cell>
          <cell r="L25">
            <v>3.6999999999999998E-2</v>
          </cell>
          <cell r="M25">
            <v>0</v>
          </cell>
          <cell r="N25">
            <v>0</v>
          </cell>
          <cell r="O25">
            <v>0</v>
          </cell>
          <cell r="P25">
            <v>0.7</v>
          </cell>
          <cell r="Q25">
            <v>0</v>
          </cell>
          <cell r="R25">
            <v>5.27</v>
          </cell>
          <cell r="S25">
            <v>0</v>
          </cell>
          <cell r="T25">
            <v>5.97</v>
          </cell>
          <cell r="U25">
            <v>0</v>
          </cell>
          <cell r="W25">
            <v>3</v>
          </cell>
          <cell r="X25">
            <v>1</v>
          </cell>
          <cell r="Y25">
            <v>1</v>
          </cell>
          <cell r="Z25">
            <v>0.5</v>
          </cell>
          <cell r="AS25">
            <v>1</v>
          </cell>
          <cell r="AY25">
            <v>0.5</v>
          </cell>
          <cell r="BI25">
            <v>1</v>
          </cell>
          <cell r="BL25">
            <v>1</v>
          </cell>
        </row>
        <row r="26">
          <cell r="C26">
            <v>1180</v>
          </cell>
          <cell r="D26" t="str">
            <v>AREA INSTALL</v>
          </cell>
          <cell r="E26" t="str">
            <v>M3</v>
          </cell>
          <cell r="F26">
            <v>0</v>
          </cell>
          <cell r="G26">
            <v>40000</v>
          </cell>
          <cell r="H26">
            <v>1.183875</v>
          </cell>
          <cell r="I26">
            <v>1</v>
          </cell>
          <cell r="J26">
            <v>47355</v>
          </cell>
          <cell r="K26">
            <v>93</v>
          </cell>
          <cell r="L26">
            <v>2E-3</v>
          </cell>
          <cell r="M26">
            <v>0</v>
          </cell>
          <cell r="N26">
            <v>11.90175</v>
          </cell>
          <cell r="O26">
            <v>0</v>
          </cell>
          <cell r="P26">
            <v>0.04</v>
          </cell>
          <cell r="Q26">
            <v>0</v>
          </cell>
          <cell r="R26">
            <v>0.03</v>
          </cell>
          <cell r="S26">
            <v>0</v>
          </cell>
          <cell r="T26">
            <v>11.971749999999998</v>
          </cell>
          <cell r="U26">
            <v>0</v>
          </cell>
          <cell r="V26">
            <v>4</v>
          </cell>
          <cell r="W26">
            <v>60</v>
          </cell>
          <cell r="X26">
            <v>5</v>
          </cell>
          <cell r="Z26">
            <v>4</v>
          </cell>
          <cell r="AE26">
            <v>20</v>
          </cell>
          <cell r="AK26">
            <v>2</v>
          </cell>
          <cell r="AV26">
            <v>3</v>
          </cell>
          <cell r="AW26">
            <v>2</v>
          </cell>
          <cell r="AY26">
            <v>2</v>
          </cell>
        </row>
        <row r="27">
          <cell r="C27">
            <v>1190</v>
          </cell>
          <cell r="D27" t="str">
            <v>CEMENT STOCK YARD</v>
          </cell>
          <cell r="E27" t="str">
            <v>M3</v>
          </cell>
          <cell r="F27">
            <v>0</v>
          </cell>
          <cell r="G27">
            <v>2080</v>
          </cell>
          <cell r="H27">
            <v>1.183875</v>
          </cell>
          <cell r="I27">
            <v>1</v>
          </cell>
          <cell r="J27">
            <v>2462.46</v>
          </cell>
          <cell r="K27">
            <v>49</v>
          </cell>
          <cell r="L27">
            <v>0.02</v>
          </cell>
          <cell r="M27">
            <v>0</v>
          </cell>
          <cell r="N27">
            <v>8.2656000000000007E-2</v>
          </cell>
          <cell r="O27">
            <v>0</v>
          </cell>
          <cell r="P27">
            <v>0.36</v>
          </cell>
          <cell r="Q27">
            <v>0</v>
          </cell>
          <cell r="R27">
            <v>0.06</v>
          </cell>
          <cell r="S27">
            <v>0</v>
          </cell>
          <cell r="T27">
            <v>0.50265599999999999</v>
          </cell>
          <cell r="U27">
            <v>0</v>
          </cell>
          <cell r="V27">
            <v>2</v>
          </cell>
          <cell r="W27">
            <v>30</v>
          </cell>
          <cell r="X27">
            <v>1</v>
          </cell>
          <cell r="AE27">
            <v>16</v>
          </cell>
          <cell r="AK27">
            <v>1</v>
          </cell>
        </row>
        <row r="28">
          <cell r="C28">
            <v>1200</v>
          </cell>
          <cell r="D28" t="str">
            <v>BATCH PLANT INST/REMOVAL</v>
          </cell>
          <cell r="E28" t="str">
            <v>M3</v>
          </cell>
          <cell r="F28">
            <v>0</v>
          </cell>
          <cell r="G28">
            <v>41500</v>
          </cell>
          <cell r="H28">
            <v>1.183875</v>
          </cell>
          <cell r="I28">
            <v>1</v>
          </cell>
          <cell r="J28">
            <v>49130.8125</v>
          </cell>
          <cell r="K28">
            <v>425</v>
          </cell>
          <cell r="L28">
            <v>8.9999999999999993E-3</v>
          </cell>
          <cell r="M28">
            <v>0</v>
          </cell>
          <cell r="N28">
            <v>0</v>
          </cell>
          <cell r="O28">
            <v>0</v>
          </cell>
          <cell r="P28">
            <v>0.18</v>
          </cell>
          <cell r="Q28">
            <v>0</v>
          </cell>
          <cell r="R28">
            <v>0.14000000000000001</v>
          </cell>
          <cell r="S28">
            <v>0</v>
          </cell>
          <cell r="T28">
            <v>0.32</v>
          </cell>
          <cell r="U28">
            <v>0</v>
          </cell>
          <cell r="V28">
            <v>20</v>
          </cell>
          <cell r="W28">
            <v>90</v>
          </cell>
          <cell r="X28">
            <v>25</v>
          </cell>
          <cell r="Y28">
            <v>90</v>
          </cell>
          <cell r="AF28">
            <v>130</v>
          </cell>
          <cell r="AG28">
            <v>70</v>
          </cell>
          <cell r="AK28">
            <v>2</v>
          </cell>
          <cell r="AM28">
            <v>3</v>
          </cell>
          <cell r="AN28">
            <v>20</v>
          </cell>
        </row>
        <row r="29">
          <cell r="C29">
            <v>1210</v>
          </cell>
          <cell r="D29" t="str">
            <v>WATER/OIL TANK</v>
          </cell>
          <cell r="E29" t="str">
            <v>M3</v>
          </cell>
          <cell r="F29">
            <v>0</v>
          </cell>
          <cell r="G29">
            <v>5000</v>
          </cell>
          <cell r="H29">
            <v>1.183875</v>
          </cell>
          <cell r="I29">
            <v>1</v>
          </cell>
          <cell r="J29">
            <v>5919.375</v>
          </cell>
          <cell r="K29">
            <v>0</v>
          </cell>
          <cell r="L29">
            <v>0</v>
          </cell>
          <cell r="M29">
            <v>0</v>
          </cell>
          <cell r="N29">
            <v>6.3E-2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6.3E-2</v>
          </cell>
          <cell r="U29">
            <v>0</v>
          </cell>
        </row>
        <row r="30">
          <cell r="C30">
            <v>1220</v>
          </cell>
          <cell r="D30" t="str">
            <v>CONC. PUMP CAR</v>
          </cell>
          <cell r="E30" t="str">
            <v>M3</v>
          </cell>
          <cell r="F30">
            <v>0</v>
          </cell>
          <cell r="G30">
            <v>150</v>
          </cell>
          <cell r="H30">
            <v>1.183875</v>
          </cell>
          <cell r="I30">
            <v>1</v>
          </cell>
          <cell r="J30">
            <v>177.58125000000001</v>
          </cell>
          <cell r="K30">
            <v>2</v>
          </cell>
          <cell r="L30">
            <v>1.0999999999999999E-2</v>
          </cell>
          <cell r="M30">
            <v>0</v>
          </cell>
          <cell r="N30">
            <v>0</v>
          </cell>
          <cell r="O30">
            <v>0</v>
          </cell>
          <cell r="P30">
            <v>0.26</v>
          </cell>
          <cell r="Q30">
            <v>0</v>
          </cell>
          <cell r="R30">
            <v>3.28</v>
          </cell>
          <cell r="S30">
            <v>0</v>
          </cell>
          <cell r="T30">
            <v>3.54</v>
          </cell>
          <cell r="U30">
            <v>0</v>
          </cell>
          <cell r="X30">
            <v>2</v>
          </cell>
          <cell r="AX30">
            <v>1</v>
          </cell>
        </row>
        <row r="31">
          <cell r="C31">
            <v>1230</v>
          </cell>
          <cell r="D31" t="str">
            <v>REMICON TRUCK</v>
          </cell>
          <cell r="E31" t="str">
            <v>M3</v>
          </cell>
          <cell r="F31">
            <v>0</v>
          </cell>
          <cell r="G31">
            <v>40</v>
          </cell>
          <cell r="H31">
            <v>1.183875</v>
          </cell>
          <cell r="I31">
            <v>1</v>
          </cell>
          <cell r="J31">
            <v>47.355000000000004</v>
          </cell>
          <cell r="K31">
            <v>1</v>
          </cell>
          <cell r="L31">
            <v>2.1000000000000001E-2</v>
          </cell>
          <cell r="M31">
            <v>0</v>
          </cell>
          <cell r="N31">
            <v>0</v>
          </cell>
          <cell r="O31">
            <v>0</v>
          </cell>
          <cell r="P31">
            <v>0.49</v>
          </cell>
          <cell r="Q31">
            <v>0</v>
          </cell>
          <cell r="R31">
            <v>4.18</v>
          </cell>
          <cell r="S31">
            <v>0</v>
          </cell>
          <cell r="T31">
            <v>4.67</v>
          </cell>
          <cell r="U31">
            <v>0</v>
          </cell>
          <cell r="X31">
            <v>1</v>
          </cell>
          <cell r="AZ31">
            <v>1</v>
          </cell>
        </row>
        <row r="32">
          <cell r="C32">
            <v>1240</v>
          </cell>
          <cell r="D32" t="str">
            <v>PRECASTING AREA INSTALL (T=100MM)</v>
          </cell>
          <cell r="E32" t="str">
            <v>M2</v>
          </cell>
          <cell r="F32">
            <v>0</v>
          </cell>
          <cell r="G32">
            <v>80</v>
          </cell>
          <cell r="H32">
            <v>1.183875</v>
          </cell>
          <cell r="I32">
            <v>1</v>
          </cell>
          <cell r="J32">
            <v>94.710000000000008</v>
          </cell>
          <cell r="K32">
            <v>7.45</v>
          </cell>
          <cell r="L32">
            <v>7.9000000000000001E-2</v>
          </cell>
          <cell r="M32">
            <v>0</v>
          </cell>
          <cell r="N32">
            <v>7.8526000000000007</v>
          </cell>
          <cell r="O32">
            <v>0</v>
          </cell>
          <cell r="P32">
            <v>1.47</v>
          </cell>
          <cell r="Q32">
            <v>0</v>
          </cell>
          <cell r="R32">
            <v>0.32</v>
          </cell>
          <cell r="S32">
            <v>0</v>
          </cell>
          <cell r="T32">
            <v>9.6426000000000016</v>
          </cell>
          <cell r="U32">
            <v>0</v>
          </cell>
          <cell r="V32">
            <v>0.25</v>
          </cell>
          <cell r="W32">
            <v>4</v>
          </cell>
          <cell r="X32">
            <v>0.2</v>
          </cell>
          <cell r="AB32">
            <v>1</v>
          </cell>
          <cell r="AC32">
            <v>2</v>
          </cell>
          <cell r="AK32">
            <v>0.2</v>
          </cell>
        </row>
        <row r="33">
          <cell r="C33">
            <v>2000</v>
          </cell>
          <cell r="D33" t="str">
            <v>REINF CONC DEMOLISH</v>
          </cell>
          <cell r="E33" t="str">
            <v>M3</v>
          </cell>
          <cell r="F33">
            <v>0</v>
          </cell>
          <cell r="G33">
            <v>8</v>
          </cell>
          <cell r="H33">
            <v>1.183875</v>
          </cell>
          <cell r="I33">
            <v>1</v>
          </cell>
          <cell r="J33">
            <v>9.4710000000000001</v>
          </cell>
          <cell r="K33">
            <v>4.5</v>
          </cell>
          <cell r="L33">
            <v>0.47499999999999998</v>
          </cell>
          <cell r="M33">
            <v>0</v>
          </cell>
          <cell r="N33">
            <v>0</v>
          </cell>
          <cell r="O33">
            <v>0</v>
          </cell>
          <cell r="P33">
            <v>9.8699999999999992</v>
          </cell>
          <cell r="Q33">
            <v>0</v>
          </cell>
          <cell r="R33">
            <v>20.87</v>
          </cell>
          <cell r="S33">
            <v>0</v>
          </cell>
          <cell r="T33">
            <v>30.740000000000002</v>
          </cell>
          <cell r="U33">
            <v>0</v>
          </cell>
          <cell r="V33">
            <v>0.5</v>
          </cell>
          <cell r="W33">
            <v>2</v>
          </cell>
          <cell r="X33">
            <v>1</v>
          </cell>
          <cell r="AH33">
            <v>1</v>
          </cell>
          <cell r="AK33">
            <v>1</v>
          </cell>
          <cell r="AL33">
            <v>0.35</v>
          </cell>
          <cell r="BK33">
            <v>1</v>
          </cell>
        </row>
        <row r="34">
          <cell r="C34">
            <v>2010</v>
          </cell>
          <cell r="D34" t="str">
            <v>PLAIN CONC. DEMOLISH</v>
          </cell>
          <cell r="E34" t="str">
            <v>M3</v>
          </cell>
          <cell r="F34">
            <v>0</v>
          </cell>
          <cell r="G34">
            <v>10</v>
          </cell>
          <cell r="H34">
            <v>1.183875</v>
          </cell>
          <cell r="I34">
            <v>1</v>
          </cell>
          <cell r="J34">
            <v>11.838750000000001</v>
          </cell>
          <cell r="K34">
            <v>3.5</v>
          </cell>
          <cell r="L34">
            <v>0.29599999999999999</v>
          </cell>
          <cell r="M34">
            <v>0</v>
          </cell>
          <cell r="N34">
            <v>0</v>
          </cell>
          <cell r="O34">
            <v>0</v>
          </cell>
          <cell r="P34">
            <v>5.75</v>
          </cell>
          <cell r="Q34">
            <v>0</v>
          </cell>
          <cell r="R34">
            <v>14.18</v>
          </cell>
          <cell r="S34">
            <v>0</v>
          </cell>
          <cell r="T34">
            <v>19.93</v>
          </cell>
          <cell r="U34">
            <v>0</v>
          </cell>
          <cell r="V34">
            <v>0.5</v>
          </cell>
          <cell r="W34">
            <v>2</v>
          </cell>
          <cell r="X34">
            <v>1</v>
          </cell>
          <cell r="AK34">
            <v>1</v>
          </cell>
          <cell r="AL34">
            <v>0.35</v>
          </cell>
        </row>
        <row r="35">
          <cell r="C35">
            <v>2015</v>
          </cell>
          <cell r="D35" t="str">
            <v>CONC. DEMOLISH SUBCON.</v>
          </cell>
          <cell r="E35" t="str">
            <v>M3</v>
          </cell>
          <cell r="F35">
            <v>0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0.04</v>
          </cell>
          <cell r="L35">
            <v>0.04</v>
          </cell>
          <cell r="M35">
            <v>0</v>
          </cell>
          <cell r="N35">
            <v>37.333333333333336</v>
          </cell>
          <cell r="O35">
            <v>0</v>
          </cell>
          <cell r="P35">
            <v>0.64</v>
          </cell>
          <cell r="Q35">
            <v>0</v>
          </cell>
          <cell r="R35">
            <v>0</v>
          </cell>
          <cell r="S35">
            <v>0</v>
          </cell>
          <cell r="T35">
            <v>37.973333333333336</v>
          </cell>
          <cell r="U35">
            <v>0</v>
          </cell>
          <cell r="W35">
            <v>0.04</v>
          </cell>
        </row>
        <row r="36">
          <cell r="C36">
            <v>2020</v>
          </cell>
          <cell r="D36" t="str">
            <v>CONC. PAVING DEMO.</v>
          </cell>
          <cell r="E36" t="str">
            <v>M3</v>
          </cell>
          <cell r="F36">
            <v>0</v>
          </cell>
          <cell r="G36">
            <v>10.5</v>
          </cell>
          <cell r="H36">
            <v>1.183875</v>
          </cell>
          <cell r="I36">
            <v>1</v>
          </cell>
          <cell r="J36">
            <v>12.430687499999999</v>
          </cell>
          <cell r="K36">
            <v>4.5</v>
          </cell>
          <cell r="L36">
            <v>0.36199999999999999</v>
          </cell>
          <cell r="M36">
            <v>0</v>
          </cell>
          <cell r="N36">
            <v>0</v>
          </cell>
          <cell r="O36">
            <v>0</v>
          </cell>
          <cell r="P36">
            <v>7.52</v>
          </cell>
          <cell r="Q36">
            <v>0</v>
          </cell>
          <cell r="R36">
            <v>15.9</v>
          </cell>
          <cell r="S36">
            <v>0</v>
          </cell>
          <cell r="T36">
            <v>23.42</v>
          </cell>
          <cell r="U36">
            <v>0</v>
          </cell>
          <cell r="V36">
            <v>0.5</v>
          </cell>
          <cell r="W36">
            <v>2</v>
          </cell>
          <cell r="X36">
            <v>1</v>
          </cell>
          <cell r="AH36">
            <v>1</v>
          </cell>
          <cell r="AK36">
            <v>1</v>
          </cell>
          <cell r="AL36">
            <v>0.35</v>
          </cell>
          <cell r="BK36">
            <v>1</v>
          </cell>
        </row>
        <row r="37">
          <cell r="C37">
            <v>2030</v>
          </cell>
          <cell r="D37" t="str">
            <v>CONC. CUTTER (T=150 PAV.)</v>
          </cell>
          <cell r="E37" t="str">
            <v>M</v>
          </cell>
          <cell r="F37">
            <v>0</v>
          </cell>
          <cell r="G37">
            <v>6.5</v>
          </cell>
          <cell r="H37">
            <v>1.183875</v>
          </cell>
          <cell r="I37">
            <v>1</v>
          </cell>
          <cell r="J37">
            <v>7.6951875000000003</v>
          </cell>
          <cell r="K37">
            <v>3</v>
          </cell>
          <cell r="L37">
            <v>0.39</v>
          </cell>
          <cell r="M37">
            <v>0</v>
          </cell>
          <cell r="N37">
            <v>0</v>
          </cell>
          <cell r="O37">
            <v>0</v>
          </cell>
          <cell r="P37">
            <v>6.93</v>
          </cell>
          <cell r="Q37">
            <v>0</v>
          </cell>
          <cell r="R37">
            <v>0</v>
          </cell>
          <cell r="S37">
            <v>0</v>
          </cell>
          <cell r="T37">
            <v>6.93</v>
          </cell>
          <cell r="U37">
            <v>0</v>
          </cell>
          <cell r="W37">
            <v>2</v>
          </cell>
          <cell r="Y37">
            <v>1</v>
          </cell>
        </row>
        <row r="38">
          <cell r="C38">
            <v>2040</v>
          </cell>
          <cell r="D38" t="str">
            <v>CONC. DEMO. BY HAND BRAKER</v>
          </cell>
          <cell r="E38" t="str">
            <v>M3</v>
          </cell>
          <cell r="F38">
            <v>0</v>
          </cell>
          <cell r="G38">
            <v>2</v>
          </cell>
          <cell r="H38">
            <v>1.183875</v>
          </cell>
          <cell r="I38">
            <v>1</v>
          </cell>
          <cell r="J38">
            <v>2.36775</v>
          </cell>
          <cell r="K38">
            <v>2.5</v>
          </cell>
          <cell r="L38">
            <v>1.056</v>
          </cell>
          <cell r="M38">
            <v>0</v>
          </cell>
          <cell r="N38">
            <v>0</v>
          </cell>
          <cell r="O38">
            <v>0</v>
          </cell>
          <cell r="P38">
            <v>18.05</v>
          </cell>
          <cell r="Q38">
            <v>0</v>
          </cell>
          <cell r="R38">
            <v>10.31</v>
          </cell>
          <cell r="S38">
            <v>0</v>
          </cell>
          <cell r="T38">
            <v>28.36</v>
          </cell>
          <cell r="U38">
            <v>0</v>
          </cell>
          <cell r="W38">
            <v>2</v>
          </cell>
          <cell r="Y38">
            <v>0.5</v>
          </cell>
          <cell r="BF38">
            <v>0.5</v>
          </cell>
        </row>
        <row r="39">
          <cell r="C39">
            <v>2050</v>
          </cell>
          <cell r="D39" t="str">
            <v>CONC. CORE DRILLING(D=200)</v>
          </cell>
          <cell r="E39" t="str">
            <v>M3</v>
          </cell>
          <cell r="F39">
            <v>0</v>
          </cell>
          <cell r="G39">
            <v>0.2</v>
          </cell>
          <cell r="H39">
            <v>1.183875</v>
          </cell>
          <cell r="I39">
            <v>1</v>
          </cell>
          <cell r="J39">
            <v>0.23677500000000001</v>
          </cell>
          <cell r="K39">
            <v>2.4</v>
          </cell>
          <cell r="L39">
            <v>10.135999999999999</v>
          </cell>
          <cell r="M39">
            <v>0</v>
          </cell>
          <cell r="N39">
            <v>0</v>
          </cell>
          <cell r="O39">
            <v>0</v>
          </cell>
          <cell r="P39">
            <v>171.56</v>
          </cell>
          <cell r="Q39">
            <v>0</v>
          </cell>
          <cell r="R39">
            <v>745.37</v>
          </cell>
          <cell r="S39">
            <v>0</v>
          </cell>
          <cell r="T39">
            <v>916.93000000000006</v>
          </cell>
          <cell r="U39">
            <v>0</v>
          </cell>
          <cell r="W39">
            <v>2</v>
          </cell>
          <cell r="Y39">
            <v>0.4</v>
          </cell>
          <cell r="AN39">
            <v>0.4</v>
          </cell>
          <cell r="BL39">
            <v>0.4</v>
          </cell>
        </row>
        <row r="40">
          <cell r="C40">
            <v>2060</v>
          </cell>
          <cell r="D40" t="str">
            <v>ASPH. CUTTTING</v>
          </cell>
          <cell r="E40" t="str">
            <v>M</v>
          </cell>
          <cell r="F40">
            <v>0</v>
          </cell>
          <cell r="G40">
            <v>22</v>
          </cell>
          <cell r="H40">
            <v>1.183875</v>
          </cell>
          <cell r="I40">
            <v>1</v>
          </cell>
          <cell r="J40">
            <v>26.045249999999999</v>
          </cell>
          <cell r="K40">
            <v>2</v>
          </cell>
          <cell r="L40">
            <v>7.6999999999999999E-2</v>
          </cell>
          <cell r="M40">
            <v>0</v>
          </cell>
          <cell r="N40">
            <v>0</v>
          </cell>
          <cell r="O40">
            <v>0</v>
          </cell>
          <cell r="P40">
            <v>1.43</v>
          </cell>
          <cell r="Q40">
            <v>0</v>
          </cell>
          <cell r="R40">
            <v>0</v>
          </cell>
          <cell r="S40">
            <v>0</v>
          </cell>
          <cell r="T40">
            <v>1.43</v>
          </cell>
          <cell r="U40">
            <v>0</v>
          </cell>
          <cell r="W40">
            <v>1</v>
          </cell>
          <cell r="Y40">
            <v>1</v>
          </cell>
        </row>
        <row r="41">
          <cell r="C41">
            <v>2070</v>
          </cell>
          <cell r="D41" t="str">
            <v>ASPH. DEMO.</v>
          </cell>
          <cell r="E41" t="str">
            <v>M3</v>
          </cell>
          <cell r="F41">
            <v>0</v>
          </cell>
          <cell r="G41">
            <v>12</v>
          </cell>
          <cell r="H41">
            <v>1.183875</v>
          </cell>
          <cell r="I41">
            <v>1</v>
          </cell>
          <cell r="J41">
            <v>14.2065</v>
          </cell>
          <cell r="K41">
            <v>3</v>
          </cell>
          <cell r="L41">
            <v>0.21099999999999999</v>
          </cell>
          <cell r="M41">
            <v>0</v>
          </cell>
          <cell r="N41">
            <v>0</v>
          </cell>
          <cell r="O41">
            <v>0</v>
          </cell>
          <cell r="P41">
            <v>4.5599999999999996</v>
          </cell>
          <cell r="Q41">
            <v>0</v>
          </cell>
          <cell r="R41">
            <v>11.82</v>
          </cell>
          <cell r="S41">
            <v>0</v>
          </cell>
          <cell r="T41">
            <v>16.38</v>
          </cell>
          <cell r="U41">
            <v>0</v>
          </cell>
          <cell r="V41">
            <v>1</v>
          </cell>
          <cell r="W41">
            <v>1</v>
          </cell>
          <cell r="X41">
            <v>1</v>
          </cell>
          <cell r="AK41">
            <v>1</v>
          </cell>
          <cell r="AL41">
            <v>0.35</v>
          </cell>
        </row>
        <row r="42">
          <cell r="C42">
            <v>2080</v>
          </cell>
          <cell r="D42" t="str">
            <v>BRICK WALL DEMO.(1.5 B)</v>
          </cell>
          <cell r="E42" t="str">
            <v>M2</v>
          </cell>
          <cell r="F42">
            <v>0</v>
          </cell>
          <cell r="G42">
            <v>65</v>
          </cell>
          <cell r="H42">
            <v>1.183875</v>
          </cell>
          <cell r="I42">
            <v>1</v>
          </cell>
          <cell r="J42">
            <v>76.951875000000001</v>
          </cell>
          <cell r="K42">
            <v>3</v>
          </cell>
          <cell r="L42">
            <v>3.9E-2</v>
          </cell>
          <cell r="M42">
            <v>0</v>
          </cell>
          <cell r="N42">
            <v>0</v>
          </cell>
          <cell r="O42">
            <v>0</v>
          </cell>
          <cell r="P42">
            <v>0.84</v>
          </cell>
          <cell r="Q42">
            <v>0</v>
          </cell>
          <cell r="R42">
            <v>2.1800000000000002</v>
          </cell>
          <cell r="S42">
            <v>0</v>
          </cell>
          <cell r="T42">
            <v>3.02</v>
          </cell>
          <cell r="U42">
            <v>0</v>
          </cell>
          <cell r="V42">
            <v>1</v>
          </cell>
          <cell r="W42">
            <v>1</v>
          </cell>
          <cell r="X42">
            <v>1</v>
          </cell>
          <cell r="AK42">
            <v>1</v>
          </cell>
          <cell r="AL42">
            <v>0.35</v>
          </cell>
        </row>
        <row r="43">
          <cell r="C43">
            <v>2090</v>
          </cell>
          <cell r="D43" t="str">
            <v>STEEL DEMO.(HEAVY)</v>
          </cell>
          <cell r="E43" t="str">
            <v>TON</v>
          </cell>
          <cell r="F43">
            <v>0</v>
          </cell>
          <cell r="G43">
            <v>1.6</v>
          </cell>
          <cell r="H43">
            <v>1.183875</v>
          </cell>
          <cell r="I43">
            <v>1</v>
          </cell>
          <cell r="J43">
            <v>1.8942000000000001</v>
          </cell>
          <cell r="K43">
            <v>4.75</v>
          </cell>
          <cell r="L43">
            <v>2.508</v>
          </cell>
          <cell r="M43">
            <v>0</v>
          </cell>
          <cell r="N43">
            <v>0</v>
          </cell>
          <cell r="O43">
            <v>0</v>
          </cell>
          <cell r="P43">
            <v>56.24</v>
          </cell>
          <cell r="Q43">
            <v>0</v>
          </cell>
          <cell r="R43">
            <v>71.13</v>
          </cell>
          <cell r="S43">
            <v>0</v>
          </cell>
          <cell r="T43">
            <v>127.37</v>
          </cell>
          <cell r="U43">
            <v>0</v>
          </cell>
          <cell r="V43">
            <v>0.5</v>
          </cell>
          <cell r="W43">
            <v>1</v>
          </cell>
          <cell r="X43">
            <v>0.25</v>
          </cell>
          <cell r="AF43">
            <v>1</v>
          </cell>
          <cell r="AH43">
            <v>2</v>
          </cell>
          <cell r="AN43">
            <v>0.25</v>
          </cell>
          <cell r="BK43">
            <v>2</v>
          </cell>
        </row>
        <row r="44">
          <cell r="C44">
            <v>2100</v>
          </cell>
          <cell r="D44" t="str">
            <v>STEEL DEMO.(LIGHT)</v>
          </cell>
          <cell r="E44" t="str">
            <v>TON</v>
          </cell>
          <cell r="F44">
            <v>0</v>
          </cell>
          <cell r="G44">
            <v>1.5</v>
          </cell>
          <cell r="H44">
            <v>1.183875</v>
          </cell>
          <cell r="I44">
            <v>1</v>
          </cell>
          <cell r="J44">
            <v>1.7758125</v>
          </cell>
          <cell r="K44">
            <v>4.75</v>
          </cell>
          <cell r="L44">
            <v>2.6749999999999998</v>
          </cell>
          <cell r="M44">
            <v>0</v>
          </cell>
          <cell r="N44">
            <v>0</v>
          </cell>
          <cell r="O44">
            <v>0</v>
          </cell>
          <cell r="P44">
            <v>59.99</v>
          </cell>
          <cell r="Q44">
            <v>0</v>
          </cell>
          <cell r="R44">
            <v>75.87</v>
          </cell>
          <cell r="S44">
            <v>0</v>
          </cell>
          <cell r="T44">
            <v>135.86000000000001</v>
          </cell>
          <cell r="U44">
            <v>0</v>
          </cell>
          <cell r="V44">
            <v>0.5</v>
          </cell>
          <cell r="W44">
            <v>1</v>
          </cell>
          <cell r="X44">
            <v>0.25</v>
          </cell>
          <cell r="AF44">
            <v>1</v>
          </cell>
          <cell r="AH44">
            <v>2</v>
          </cell>
          <cell r="AN44">
            <v>0.25</v>
          </cell>
          <cell r="BK44">
            <v>2</v>
          </cell>
        </row>
        <row r="45">
          <cell r="C45">
            <v>2110</v>
          </cell>
          <cell r="D45" t="str">
            <v>FENCE DEMO.(SSD-1)</v>
          </cell>
          <cell r="E45" t="str">
            <v>M</v>
          </cell>
          <cell r="F45">
            <v>0</v>
          </cell>
          <cell r="G45">
            <v>10</v>
          </cell>
          <cell r="H45">
            <v>1.183875</v>
          </cell>
          <cell r="I45">
            <v>1</v>
          </cell>
          <cell r="J45">
            <v>11.838750000000001</v>
          </cell>
          <cell r="K45">
            <v>3.5</v>
          </cell>
          <cell r="L45">
            <v>0.29599999999999999</v>
          </cell>
          <cell r="M45">
            <v>0</v>
          </cell>
          <cell r="N45">
            <v>0</v>
          </cell>
          <cell r="O45">
            <v>0</v>
          </cell>
          <cell r="P45">
            <v>5.84</v>
          </cell>
          <cell r="Q45">
            <v>0</v>
          </cell>
          <cell r="R45">
            <v>10.55</v>
          </cell>
          <cell r="S45">
            <v>0</v>
          </cell>
          <cell r="T45">
            <v>16.39</v>
          </cell>
          <cell r="U45">
            <v>0</v>
          </cell>
          <cell r="V45">
            <v>1</v>
          </cell>
          <cell r="W45">
            <v>2</v>
          </cell>
          <cell r="X45">
            <v>0.5</v>
          </cell>
          <cell r="AK45">
            <v>0.5</v>
          </cell>
          <cell r="BF45">
            <v>1</v>
          </cell>
        </row>
        <row r="46">
          <cell r="C46">
            <v>2120</v>
          </cell>
          <cell r="D46" t="str">
            <v>FENCE DEMO.(SSD-2)</v>
          </cell>
          <cell r="E46" t="str">
            <v>M</v>
          </cell>
          <cell r="F46">
            <v>0</v>
          </cell>
          <cell r="G46">
            <v>12</v>
          </cell>
          <cell r="H46">
            <v>1.183875</v>
          </cell>
          <cell r="I46">
            <v>1</v>
          </cell>
          <cell r="J46">
            <v>14.2065</v>
          </cell>
          <cell r="K46">
            <v>3.5</v>
          </cell>
          <cell r="L46">
            <v>0.246</v>
          </cell>
          <cell r="M46">
            <v>0</v>
          </cell>
          <cell r="N46">
            <v>0</v>
          </cell>
          <cell r="O46">
            <v>0</v>
          </cell>
          <cell r="P46">
            <v>4.87</v>
          </cell>
          <cell r="Q46">
            <v>0</v>
          </cell>
          <cell r="R46">
            <v>8.7899999999999991</v>
          </cell>
          <cell r="S46">
            <v>0</v>
          </cell>
          <cell r="T46">
            <v>13.66</v>
          </cell>
          <cell r="U46">
            <v>0</v>
          </cell>
          <cell r="V46">
            <v>1</v>
          </cell>
          <cell r="W46">
            <v>2</v>
          </cell>
          <cell r="X46">
            <v>0.5</v>
          </cell>
          <cell r="AK46">
            <v>0.5</v>
          </cell>
          <cell r="BF46">
            <v>1</v>
          </cell>
        </row>
        <row r="47">
          <cell r="G47" t="str">
            <v>BASE</v>
          </cell>
          <cell r="H47" t="str">
            <v>SITE</v>
          </cell>
          <cell r="I47" t="str">
            <v>UNIT</v>
          </cell>
          <cell r="J47" t="str">
            <v>BASE</v>
          </cell>
          <cell r="K47" t="str">
            <v>BASE</v>
          </cell>
          <cell r="L47" t="str">
            <v>UNIT M/D</v>
          </cell>
          <cell r="M47" t="str">
            <v>SUB-TOT.</v>
          </cell>
          <cell r="N47" t="str">
            <v>MAT</v>
          </cell>
          <cell r="O47" t="str">
            <v>MAT</v>
          </cell>
          <cell r="P47" t="str">
            <v>LABOUR</v>
          </cell>
          <cell r="Q47" t="str">
            <v>LABOUR</v>
          </cell>
          <cell r="R47" t="str">
            <v>EQUIP.</v>
          </cell>
          <cell r="S47" t="str">
            <v>EQUIP.</v>
          </cell>
          <cell r="T47" t="str">
            <v>UNIT</v>
          </cell>
          <cell r="V47" t="str">
            <v>FOREMAN</v>
          </cell>
          <cell r="W47" t="str">
            <v>LABOUR</v>
          </cell>
          <cell r="X47" t="str">
            <v>EQUIP.</v>
          </cell>
          <cell r="Y47" t="str">
            <v>M/C</v>
          </cell>
          <cell r="Z47" t="str">
            <v>DRIVER</v>
          </cell>
          <cell r="AA47" t="str">
            <v>PAVIOR</v>
          </cell>
          <cell r="AB47" t="str">
            <v>CONC.</v>
          </cell>
          <cell r="AC47" t="str">
            <v>PLASTER/</v>
          </cell>
          <cell r="AD47" t="str">
            <v>REBAR</v>
          </cell>
          <cell r="AE47" t="str">
            <v>CARPENTER</v>
          </cell>
          <cell r="AF47" t="str">
            <v>RIGGER/</v>
          </cell>
          <cell r="AG47" t="str">
            <v>STEEL</v>
          </cell>
          <cell r="AH47" t="str">
            <v>A/C</v>
          </cell>
          <cell r="AI47" t="str">
            <v>PAINTER</v>
          </cell>
          <cell r="AJ47" t="str">
            <v>PLUMBER/</v>
          </cell>
          <cell r="AK47" t="str">
            <v>BACKHOE</v>
          </cell>
          <cell r="AL47" t="str">
            <v>HYDRO</v>
          </cell>
          <cell r="AM47" t="str">
            <v>DUMP</v>
          </cell>
          <cell r="AN47" t="str">
            <v>CRANE</v>
          </cell>
          <cell r="AO47" t="str">
            <v>CRANE</v>
          </cell>
          <cell r="AP47" t="str">
            <v>DIESEL</v>
          </cell>
          <cell r="AQ47" t="str">
            <v>VIB.</v>
          </cell>
          <cell r="AR47" t="str">
            <v>AUGER</v>
          </cell>
          <cell r="AS47" t="str">
            <v>PAY</v>
          </cell>
          <cell r="AT47" t="str">
            <v>DOZER</v>
          </cell>
          <cell r="AU47" t="str">
            <v>DOZER</v>
          </cell>
          <cell r="AV47" t="str">
            <v>GRADER</v>
          </cell>
          <cell r="AW47" t="str">
            <v>VIB.</v>
          </cell>
          <cell r="AX47" t="str">
            <v>CONC.</v>
          </cell>
          <cell r="AY47" t="str">
            <v>WATER</v>
          </cell>
          <cell r="AZ47" t="str">
            <v>CONC</v>
          </cell>
          <cell r="BA47" t="str">
            <v>CONC.</v>
          </cell>
          <cell r="BB47" t="str">
            <v>BAR BENDER/</v>
          </cell>
          <cell r="BC47" t="str">
            <v>ASPHALT</v>
          </cell>
          <cell r="BD47" t="str">
            <v>ASPHALT</v>
          </cell>
          <cell r="BE47" t="str">
            <v>TIRE</v>
          </cell>
          <cell r="BF47" t="str">
            <v>AIR</v>
          </cell>
          <cell r="BG47" t="str">
            <v>CARGO</v>
          </cell>
          <cell r="BH47" t="str">
            <v>FORK</v>
          </cell>
          <cell r="BI47" t="str">
            <v>CONC</v>
          </cell>
          <cell r="BJ47" t="str">
            <v>WELDING</v>
          </cell>
          <cell r="BK47" t="str">
            <v>WELDING</v>
          </cell>
          <cell r="BL47" t="str">
            <v>GENERATOR</v>
          </cell>
          <cell r="BM47" t="str">
            <v>AIR</v>
          </cell>
          <cell r="BN47" t="str">
            <v>GUNNITE</v>
          </cell>
        </row>
        <row r="48">
          <cell r="C48" t="str">
            <v>CODE NO.</v>
          </cell>
          <cell r="D48" t="str">
            <v>WORK ITEM</v>
          </cell>
          <cell r="E48" t="str">
            <v>UNIT</v>
          </cell>
          <cell r="F48" t="str">
            <v>Q'TY</v>
          </cell>
          <cell r="G48" t="str">
            <v>VOL.</v>
          </cell>
          <cell r="H48" t="str">
            <v>CONDITION</v>
          </cell>
          <cell r="I48" t="str">
            <v>CHANGE</v>
          </cell>
          <cell r="J48" t="str">
            <v>VOL.</v>
          </cell>
          <cell r="K48" t="str">
            <v>M/D</v>
          </cell>
          <cell r="L48" t="str">
            <v>BASE</v>
          </cell>
          <cell r="M48" t="str">
            <v>M/D</v>
          </cell>
          <cell r="N48" t="str">
            <v>U/P</v>
          </cell>
          <cell r="O48" t="str">
            <v>COST</v>
          </cell>
          <cell r="P48" t="str">
            <v>U/P</v>
          </cell>
          <cell r="Q48" t="str">
            <v>COST</v>
          </cell>
          <cell r="R48" t="str">
            <v>U/P</v>
          </cell>
          <cell r="S48" t="str">
            <v>COST</v>
          </cell>
          <cell r="T48" t="str">
            <v>TOTAL</v>
          </cell>
          <cell r="U48" t="str">
            <v>TOTAL</v>
          </cell>
          <cell r="X48" t="str">
            <v>OPERATOR</v>
          </cell>
          <cell r="Y48" t="str">
            <v>OPERATOR</v>
          </cell>
          <cell r="AB48" t="str">
            <v>WORKER</v>
          </cell>
          <cell r="AC48" t="str">
            <v>BRICK/</v>
          </cell>
          <cell r="AD48" t="str">
            <v>WORKER</v>
          </cell>
          <cell r="AF48" t="str">
            <v>SCAFFOLDER</v>
          </cell>
          <cell r="AG48" t="str">
            <v>WORKER</v>
          </cell>
          <cell r="AH48" t="str">
            <v>WELDER</v>
          </cell>
          <cell r="AJ48" t="str">
            <v>P. FITTER</v>
          </cell>
          <cell r="AL48" t="str">
            <v>BREAKER</v>
          </cell>
          <cell r="AM48" t="str">
            <v>TRUCK</v>
          </cell>
          <cell r="AN48" t="str">
            <v>WHEEL</v>
          </cell>
          <cell r="AO48" t="str">
            <v>CRAWLER</v>
          </cell>
          <cell r="AP48" t="str">
            <v>PILE HAMMER</v>
          </cell>
          <cell r="AQ48" t="str">
            <v>HAMMER</v>
          </cell>
          <cell r="AR48" t="str">
            <v>BORING M/C</v>
          </cell>
          <cell r="AS48" t="str">
            <v>LOADER</v>
          </cell>
          <cell r="AW48" t="str">
            <v>ROLLER</v>
          </cell>
          <cell r="AX48" t="str">
            <v>PUMP CAR</v>
          </cell>
          <cell r="AY48" t="str">
            <v>TRUCK</v>
          </cell>
          <cell r="AZ48" t="str">
            <v>MIXER TRUCK</v>
          </cell>
          <cell r="BA48" t="str">
            <v>MIXER</v>
          </cell>
          <cell r="BB48" t="str">
            <v>CUTTER</v>
          </cell>
          <cell r="BC48" t="str">
            <v>DISTRIBUTOR</v>
          </cell>
          <cell r="BD48" t="str">
            <v>FINISHER</v>
          </cell>
          <cell r="BE48" t="str">
            <v>ROLLER</v>
          </cell>
          <cell r="BF48" t="str">
            <v>COMPRESSOR</v>
          </cell>
          <cell r="BG48" t="str">
            <v>TRUCK</v>
          </cell>
          <cell r="BH48" t="str">
            <v>LIFT</v>
          </cell>
          <cell r="BI48" t="str">
            <v>BATCH PLANT</v>
          </cell>
          <cell r="BJ48" t="str">
            <v xml:space="preserve">M/C </v>
          </cell>
          <cell r="BK48" t="str">
            <v xml:space="preserve">M/C </v>
          </cell>
          <cell r="BM48" t="str">
            <v>COMPRESSOR</v>
          </cell>
        </row>
        <row r="49">
          <cell r="H49" t="str">
            <v>CHANGE</v>
          </cell>
          <cell r="AC49" t="str">
            <v>W.PROOFER</v>
          </cell>
          <cell r="AK49" t="str">
            <v>0.7 M3</v>
          </cell>
          <cell r="AL49" t="str">
            <v>0.7 M3</v>
          </cell>
          <cell r="AM49" t="str">
            <v>15 TON</v>
          </cell>
          <cell r="AN49" t="str">
            <v>25 TON</v>
          </cell>
          <cell r="AO49" t="str">
            <v>50 TON</v>
          </cell>
          <cell r="AP49" t="str">
            <v>3.2 TON</v>
          </cell>
          <cell r="AQ49" t="str">
            <v>3.2 TON</v>
          </cell>
          <cell r="AR49" t="str">
            <v>50 TON</v>
          </cell>
          <cell r="AS49" t="str">
            <v>2.4 M3</v>
          </cell>
          <cell r="AT49" t="str">
            <v>19 TON</v>
          </cell>
          <cell r="AU49" t="str">
            <v>32 TON</v>
          </cell>
          <cell r="AV49" t="str">
            <v>3.6 M</v>
          </cell>
          <cell r="AW49" t="str">
            <v>10 TON</v>
          </cell>
          <cell r="AX49" t="str">
            <v>80 M3/HR</v>
          </cell>
          <cell r="AY49" t="str">
            <v>10 M3</v>
          </cell>
          <cell r="AZ49" t="str">
            <v>6 M3</v>
          </cell>
          <cell r="BA49" t="str">
            <v>0.3 M3</v>
          </cell>
          <cell r="BB49" t="str">
            <v>D32 MM</v>
          </cell>
          <cell r="BC49" t="str">
            <v>3800 L</v>
          </cell>
          <cell r="BD49" t="str">
            <v>3 M</v>
          </cell>
          <cell r="BE49" t="str">
            <v>15 TON</v>
          </cell>
          <cell r="BF49" t="str">
            <v>250 CFM</v>
          </cell>
          <cell r="BG49" t="str">
            <v>11 TON</v>
          </cell>
          <cell r="BH49" t="str">
            <v>2.5 TON</v>
          </cell>
          <cell r="BI49" t="str">
            <v>60 M3/HR</v>
          </cell>
          <cell r="BJ49" t="str">
            <v>200 A.</v>
          </cell>
          <cell r="BL49" t="str">
            <v>115 KW</v>
          </cell>
          <cell r="BM49" t="str">
            <v>125 CFM</v>
          </cell>
          <cell r="BN49" t="str">
            <v>SET</v>
          </cell>
        </row>
        <row r="50">
          <cell r="I50">
            <v>0</v>
          </cell>
          <cell r="T50">
            <v>0</v>
          </cell>
          <cell r="U50">
            <v>0</v>
          </cell>
        </row>
        <row r="51">
          <cell r="C51">
            <v>3000</v>
          </cell>
          <cell r="D51" t="str">
            <v>STEEL PILE SUPPLY (DIAM.=508,406) L=10M</v>
          </cell>
          <cell r="E51" t="str">
            <v>NOS</v>
          </cell>
          <cell r="F51">
            <v>0</v>
          </cell>
          <cell r="G51">
            <v>90</v>
          </cell>
          <cell r="H51">
            <v>1.183875</v>
          </cell>
          <cell r="I51">
            <v>1</v>
          </cell>
          <cell r="J51">
            <v>106.54875</v>
          </cell>
          <cell r="K51">
            <v>3.5</v>
          </cell>
          <cell r="L51">
            <v>3.3000000000000002E-2</v>
          </cell>
          <cell r="M51">
            <v>0</v>
          </cell>
          <cell r="N51">
            <v>913.00000000000011</v>
          </cell>
          <cell r="O51">
            <v>0</v>
          </cell>
          <cell r="P51">
            <v>0.67</v>
          </cell>
          <cell r="Q51">
            <v>0</v>
          </cell>
          <cell r="R51">
            <v>0.6</v>
          </cell>
          <cell r="S51">
            <v>0</v>
          </cell>
          <cell r="T51">
            <v>914.2700000000001</v>
          </cell>
          <cell r="U51">
            <v>0</v>
          </cell>
          <cell r="V51">
            <v>0.5</v>
          </cell>
          <cell r="W51">
            <v>1</v>
          </cell>
          <cell r="Z51">
            <v>1</v>
          </cell>
          <cell r="AF51">
            <v>1</v>
          </cell>
          <cell r="BH51">
            <v>1</v>
          </cell>
        </row>
        <row r="52">
          <cell r="C52">
            <v>3010</v>
          </cell>
          <cell r="D52" t="str">
            <v>STEEL PILE SPLICING (DIAM.=508,406) L=10M</v>
          </cell>
          <cell r="E52" t="str">
            <v>NOS</v>
          </cell>
          <cell r="F52">
            <v>0</v>
          </cell>
          <cell r="G52">
            <v>11.5</v>
          </cell>
          <cell r="H52">
            <v>1.183875</v>
          </cell>
          <cell r="I52">
            <v>1</v>
          </cell>
          <cell r="J52">
            <v>13.6145625</v>
          </cell>
          <cell r="K52">
            <v>2.25</v>
          </cell>
          <cell r="L52">
            <v>0.16500000000000001</v>
          </cell>
          <cell r="M52">
            <v>0</v>
          </cell>
          <cell r="N52">
            <v>1108.8000000000002</v>
          </cell>
          <cell r="O52">
            <v>0</v>
          </cell>
          <cell r="P52">
            <v>3.51</v>
          </cell>
          <cell r="Q52">
            <v>0</v>
          </cell>
          <cell r="R52">
            <v>4.66</v>
          </cell>
          <cell r="S52">
            <v>0</v>
          </cell>
          <cell r="T52">
            <v>1116.9700000000003</v>
          </cell>
          <cell r="U52">
            <v>0</v>
          </cell>
          <cell r="V52">
            <v>0.25</v>
          </cell>
          <cell r="W52">
            <v>1</v>
          </cell>
          <cell r="AH52">
            <v>1</v>
          </cell>
          <cell r="BJ52">
            <v>1</v>
          </cell>
          <cell r="BK52">
            <v>1</v>
          </cell>
          <cell r="BL52">
            <v>0.2</v>
          </cell>
        </row>
        <row r="53">
          <cell r="C53">
            <v>3020</v>
          </cell>
          <cell r="D53" t="str">
            <v>STEEL PILE DRIVING (DIAM.=406)</v>
          </cell>
          <cell r="E53" t="str">
            <v>M</v>
          </cell>
          <cell r="F53">
            <v>0</v>
          </cell>
          <cell r="G53">
            <v>100</v>
          </cell>
          <cell r="H53">
            <v>1.183875</v>
          </cell>
          <cell r="I53">
            <v>1</v>
          </cell>
          <cell r="J53">
            <v>118.3875</v>
          </cell>
          <cell r="K53">
            <v>5.5</v>
          </cell>
          <cell r="L53">
            <v>4.5999999999999999E-2</v>
          </cell>
          <cell r="M53">
            <v>0</v>
          </cell>
          <cell r="N53">
            <v>0</v>
          </cell>
          <cell r="O53">
            <v>0</v>
          </cell>
          <cell r="P53">
            <v>0.98</v>
          </cell>
          <cell r="Q53">
            <v>0</v>
          </cell>
          <cell r="R53">
            <v>4.79</v>
          </cell>
          <cell r="S53">
            <v>0</v>
          </cell>
          <cell r="T53">
            <v>5.77</v>
          </cell>
          <cell r="U53">
            <v>0</v>
          </cell>
          <cell r="V53">
            <v>0.5</v>
          </cell>
          <cell r="W53">
            <v>1</v>
          </cell>
          <cell r="X53">
            <v>1</v>
          </cell>
          <cell r="AF53">
            <v>3</v>
          </cell>
          <cell r="AO53">
            <v>1</v>
          </cell>
          <cell r="AP53">
            <v>1</v>
          </cell>
        </row>
        <row r="54">
          <cell r="C54">
            <v>3030</v>
          </cell>
          <cell r="D54" t="str">
            <v>STEEL PILE DRIVING (DIAM.=508)</v>
          </cell>
          <cell r="E54" t="str">
            <v>M</v>
          </cell>
          <cell r="F54">
            <v>0</v>
          </cell>
          <cell r="G54">
            <v>78</v>
          </cell>
          <cell r="H54">
            <v>1.183875</v>
          </cell>
          <cell r="I54">
            <v>1</v>
          </cell>
          <cell r="J54">
            <v>92.342250000000007</v>
          </cell>
          <cell r="K54">
            <v>5.5</v>
          </cell>
          <cell r="L54">
            <v>0.06</v>
          </cell>
          <cell r="M54">
            <v>0</v>
          </cell>
          <cell r="N54">
            <v>0</v>
          </cell>
          <cell r="O54">
            <v>0</v>
          </cell>
          <cell r="P54">
            <v>1.25</v>
          </cell>
          <cell r="Q54">
            <v>0</v>
          </cell>
          <cell r="R54">
            <v>6.14</v>
          </cell>
          <cell r="S54">
            <v>0</v>
          </cell>
          <cell r="T54">
            <v>7.39</v>
          </cell>
          <cell r="U54">
            <v>0</v>
          </cell>
          <cell r="V54">
            <v>0.5</v>
          </cell>
          <cell r="W54">
            <v>1</v>
          </cell>
          <cell r="X54">
            <v>1</v>
          </cell>
          <cell r="AF54">
            <v>3</v>
          </cell>
          <cell r="AO54">
            <v>1</v>
          </cell>
          <cell r="AP54">
            <v>1</v>
          </cell>
        </row>
        <row r="55">
          <cell r="C55">
            <v>3040</v>
          </cell>
          <cell r="D55" t="str">
            <v>PILE CAP PROTECTION (DIAM.=406,508)</v>
          </cell>
          <cell r="E55" t="str">
            <v>NOS</v>
          </cell>
          <cell r="F55">
            <v>0</v>
          </cell>
          <cell r="G55">
            <v>8</v>
          </cell>
          <cell r="H55">
            <v>1.183875</v>
          </cell>
          <cell r="I55">
            <v>1</v>
          </cell>
          <cell r="J55">
            <v>9.4710000000000001</v>
          </cell>
          <cell r="K55">
            <v>3.4000000000000004</v>
          </cell>
          <cell r="L55">
            <v>0.35899999999999999</v>
          </cell>
          <cell r="M55">
            <v>0</v>
          </cell>
          <cell r="N55">
            <v>11.6648</v>
          </cell>
          <cell r="O55">
            <v>0</v>
          </cell>
          <cell r="P55">
            <v>8.09</v>
          </cell>
          <cell r="Q55">
            <v>0</v>
          </cell>
          <cell r="R55">
            <v>8.01</v>
          </cell>
          <cell r="S55">
            <v>0</v>
          </cell>
          <cell r="T55">
            <v>27.764800000000001</v>
          </cell>
          <cell r="U55">
            <v>0</v>
          </cell>
          <cell r="V55">
            <v>0.25</v>
          </cell>
          <cell r="W55">
            <v>1</v>
          </cell>
          <cell r="X55">
            <v>0.1</v>
          </cell>
          <cell r="AD55">
            <v>0.05</v>
          </cell>
          <cell r="AH55">
            <v>2</v>
          </cell>
          <cell r="AK55">
            <v>0.1</v>
          </cell>
          <cell r="BJ55">
            <v>0.5</v>
          </cell>
          <cell r="BK55">
            <v>1</v>
          </cell>
          <cell r="BL55">
            <v>0.2</v>
          </cell>
        </row>
        <row r="56">
          <cell r="C56">
            <v>3050</v>
          </cell>
          <cell r="D56" t="str">
            <v>R/C PILE SUPPLY (DIAM.=300) L=12M</v>
          </cell>
          <cell r="E56" t="str">
            <v>NOS</v>
          </cell>
          <cell r="F56">
            <v>0</v>
          </cell>
          <cell r="G56">
            <v>108</v>
          </cell>
          <cell r="H56">
            <v>1.183875</v>
          </cell>
          <cell r="I56">
            <v>1</v>
          </cell>
          <cell r="J56">
            <v>127.85850000000001</v>
          </cell>
          <cell r="K56">
            <v>3.25</v>
          </cell>
          <cell r="L56">
            <v>2.5000000000000001E-2</v>
          </cell>
          <cell r="M56">
            <v>0</v>
          </cell>
          <cell r="N56">
            <v>294.84000000000003</v>
          </cell>
          <cell r="O56">
            <v>0</v>
          </cell>
          <cell r="P56">
            <v>0.51</v>
          </cell>
          <cell r="Q56">
            <v>0</v>
          </cell>
          <cell r="R56">
            <v>0.5</v>
          </cell>
          <cell r="S56">
            <v>0</v>
          </cell>
          <cell r="T56">
            <v>295.85000000000002</v>
          </cell>
          <cell r="U56">
            <v>0</v>
          </cell>
          <cell r="V56">
            <v>0.25</v>
          </cell>
          <cell r="W56">
            <v>1</v>
          </cell>
          <cell r="Z56">
            <v>1</v>
          </cell>
          <cell r="AF56">
            <v>1</v>
          </cell>
          <cell r="BH56">
            <v>1</v>
          </cell>
        </row>
        <row r="57">
          <cell r="C57">
            <v>3060</v>
          </cell>
          <cell r="D57" t="str">
            <v>R/C PILE SUPPLY (DIAM.=400) L=12M</v>
          </cell>
          <cell r="E57" t="str">
            <v>NOS</v>
          </cell>
          <cell r="F57">
            <v>0</v>
          </cell>
          <cell r="G57">
            <v>100</v>
          </cell>
          <cell r="H57">
            <v>1.183875</v>
          </cell>
          <cell r="I57">
            <v>1</v>
          </cell>
          <cell r="J57">
            <v>118.3875</v>
          </cell>
          <cell r="K57">
            <v>3.25</v>
          </cell>
          <cell r="L57">
            <v>2.7E-2</v>
          </cell>
          <cell r="M57">
            <v>0</v>
          </cell>
          <cell r="N57">
            <v>544.32000000000005</v>
          </cell>
          <cell r="O57">
            <v>0</v>
          </cell>
          <cell r="P57">
            <v>0.55000000000000004</v>
          </cell>
          <cell r="Q57">
            <v>0</v>
          </cell>
          <cell r="R57">
            <v>0.54</v>
          </cell>
          <cell r="S57">
            <v>0</v>
          </cell>
          <cell r="T57">
            <v>545.41</v>
          </cell>
          <cell r="U57">
            <v>0</v>
          </cell>
          <cell r="V57">
            <v>0.25</v>
          </cell>
          <cell r="W57">
            <v>1</v>
          </cell>
          <cell r="Z57">
            <v>1</v>
          </cell>
          <cell r="AF57">
            <v>1</v>
          </cell>
          <cell r="BH57">
            <v>1</v>
          </cell>
        </row>
        <row r="58">
          <cell r="C58">
            <v>3070</v>
          </cell>
          <cell r="D58" t="str">
            <v>R/C PILE SUPPLY (DIAM.=500)  L=12M</v>
          </cell>
          <cell r="E58" t="str">
            <v>NOS</v>
          </cell>
          <cell r="F58">
            <v>0</v>
          </cell>
          <cell r="G58">
            <v>90</v>
          </cell>
          <cell r="H58">
            <v>1.183875</v>
          </cell>
          <cell r="I58">
            <v>1</v>
          </cell>
          <cell r="J58">
            <v>106.54875</v>
          </cell>
          <cell r="K58">
            <v>3.25</v>
          </cell>
          <cell r="L58">
            <v>3.1E-2</v>
          </cell>
          <cell r="M58">
            <v>0</v>
          </cell>
          <cell r="N58">
            <v>816.48</v>
          </cell>
          <cell r="O58">
            <v>0</v>
          </cell>
          <cell r="P58">
            <v>0.61</v>
          </cell>
          <cell r="Q58">
            <v>0</v>
          </cell>
          <cell r="R58">
            <v>0.6</v>
          </cell>
          <cell r="S58">
            <v>0</v>
          </cell>
          <cell r="T58">
            <v>817.69</v>
          </cell>
          <cell r="U58">
            <v>0</v>
          </cell>
          <cell r="V58">
            <v>0.25</v>
          </cell>
          <cell r="W58">
            <v>1</v>
          </cell>
          <cell r="Z58">
            <v>1</v>
          </cell>
          <cell r="AF58">
            <v>1</v>
          </cell>
          <cell r="BH58">
            <v>1</v>
          </cell>
        </row>
        <row r="59">
          <cell r="C59">
            <v>3080</v>
          </cell>
          <cell r="D59" t="str">
            <v>R/C PILE DRIVING (DIAM.=300)</v>
          </cell>
          <cell r="E59" t="str">
            <v>M</v>
          </cell>
          <cell r="F59">
            <v>0</v>
          </cell>
          <cell r="G59">
            <v>105</v>
          </cell>
          <cell r="H59">
            <v>1.183875</v>
          </cell>
          <cell r="I59">
            <v>1</v>
          </cell>
          <cell r="J59">
            <v>124.30687500000001</v>
          </cell>
          <cell r="K59">
            <v>5.5</v>
          </cell>
          <cell r="L59">
            <v>4.3999999999999997E-2</v>
          </cell>
          <cell r="M59">
            <v>0</v>
          </cell>
          <cell r="N59">
            <v>0</v>
          </cell>
          <cell r="O59">
            <v>0</v>
          </cell>
          <cell r="P59">
            <v>0.93</v>
          </cell>
          <cell r="Q59">
            <v>0</v>
          </cell>
          <cell r="R59">
            <v>4.5599999999999996</v>
          </cell>
          <cell r="S59">
            <v>0</v>
          </cell>
          <cell r="T59">
            <v>5.4899999999999993</v>
          </cell>
          <cell r="U59">
            <v>0</v>
          </cell>
          <cell r="V59">
            <v>0.5</v>
          </cell>
          <cell r="W59">
            <v>1</v>
          </cell>
          <cell r="X59">
            <v>1</v>
          </cell>
          <cell r="AF59">
            <v>3</v>
          </cell>
          <cell r="AO59">
            <v>1</v>
          </cell>
          <cell r="AP59">
            <v>1</v>
          </cell>
        </row>
        <row r="60">
          <cell r="C60">
            <v>3090</v>
          </cell>
          <cell r="D60" t="str">
            <v>R/C PILE DRIVING (DIAM.=400)</v>
          </cell>
          <cell r="E60" t="str">
            <v>M</v>
          </cell>
          <cell r="F60">
            <v>0</v>
          </cell>
          <cell r="G60">
            <v>80</v>
          </cell>
          <cell r="H60">
            <v>1.183875</v>
          </cell>
          <cell r="I60">
            <v>1</v>
          </cell>
          <cell r="J60">
            <v>94.710000000000008</v>
          </cell>
          <cell r="K60">
            <v>5.5</v>
          </cell>
          <cell r="L60">
            <v>5.8000000000000003E-2</v>
          </cell>
          <cell r="M60">
            <v>0</v>
          </cell>
          <cell r="N60">
            <v>0</v>
          </cell>
          <cell r="O60">
            <v>0</v>
          </cell>
          <cell r="P60">
            <v>1.22</v>
          </cell>
          <cell r="Q60">
            <v>0</v>
          </cell>
          <cell r="R60">
            <v>5.99</v>
          </cell>
          <cell r="S60">
            <v>0</v>
          </cell>
          <cell r="T60">
            <v>7.21</v>
          </cell>
          <cell r="U60">
            <v>0</v>
          </cell>
          <cell r="V60">
            <v>0.5</v>
          </cell>
          <cell r="W60">
            <v>1</v>
          </cell>
          <cell r="X60">
            <v>1</v>
          </cell>
          <cell r="AF60">
            <v>3</v>
          </cell>
          <cell r="AO60">
            <v>1</v>
          </cell>
          <cell r="AP60">
            <v>1</v>
          </cell>
        </row>
        <row r="61">
          <cell r="C61">
            <v>3100</v>
          </cell>
          <cell r="D61" t="str">
            <v>R/C PILE DRIVING (DIAM.=500)</v>
          </cell>
          <cell r="E61" t="str">
            <v>M</v>
          </cell>
          <cell r="F61">
            <v>0</v>
          </cell>
          <cell r="G61">
            <v>54</v>
          </cell>
          <cell r="H61">
            <v>1.183875</v>
          </cell>
          <cell r="I61">
            <v>1</v>
          </cell>
          <cell r="J61">
            <v>63.929250000000003</v>
          </cell>
          <cell r="K61">
            <v>5.5</v>
          </cell>
          <cell r="L61">
            <v>8.5999999999999993E-2</v>
          </cell>
          <cell r="M61">
            <v>0</v>
          </cell>
          <cell r="N61">
            <v>0</v>
          </cell>
          <cell r="O61">
            <v>0</v>
          </cell>
          <cell r="P61">
            <v>1.81</v>
          </cell>
          <cell r="Q61">
            <v>0</v>
          </cell>
          <cell r="R61">
            <v>8.8699999999999992</v>
          </cell>
          <cell r="S61">
            <v>0</v>
          </cell>
          <cell r="T61">
            <v>10.68</v>
          </cell>
          <cell r="U61">
            <v>0</v>
          </cell>
          <cell r="V61">
            <v>0.5</v>
          </cell>
          <cell r="W61">
            <v>1</v>
          </cell>
          <cell r="X61">
            <v>1</v>
          </cell>
          <cell r="AF61">
            <v>3</v>
          </cell>
          <cell r="AO61">
            <v>1</v>
          </cell>
          <cell r="AP61">
            <v>1</v>
          </cell>
        </row>
        <row r="62">
          <cell r="C62">
            <v>3110</v>
          </cell>
          <cell r="D62" t="str">
            <v>LEADER INSTALL &amp; DISMANTAL</v>
          </cell>
          <cell r="E62" t="str">
            <v>TIMES</v>
          </cell>
          <cell r="F62">
            <v>0</v>
          </cell>
          <cell r="G62">
            <v>0.8</v>
          </cell>
          <cell r="H62">
            <v>1.183875</v>
          </cell>
          <cell r="I62">
            <v>1</v>
          </cell>
          <cell r="J62">
            <v>0.94710000000000005</v>
          </cell>
          <cell r="K62">
            <v>6</v>
          </cell>
          <cell r="L62">
            <v>6.335</v>
          </cell>
          <cell r="M62">
            <v>0</v>
          </cell>
          <cell r="N62">
            <v>0</v>
          </cell>
          <cell r="O62">
            <v>0</v>
          </cell>
          <cell r="P62">
            <v>130</v>
          </cell>
          <cell r="Q62">
            <v>0</v>
          </cell>
          <cell r="R62">
            <v>317.74</v>
          </cell>
          <cell r="S62">
            <v>0</v>
          </cell>
          <cell r="T62">
            <v>447.74</v>
          </cell>
          <cell r="U62">
            <v>0</v>
          </cell>
          <cell r="V62">
            <v>1</v>
          </cell>
          <cell r="W62">
            <v>2</v>
          </cell>
          <cell r="X62">
            <v>1</v>
          </cell>
          <cell r="AF62">
            <v>2</v>
          </cell>
          <cell r="AN62">
            <v>1</v>
          </cell>
        </row>
        <row r="63">
          <cell r="C63">
            <v>3120</v>
          </cell>
          <cell r="D63" t="str">
            <v>R/C PILE HEAD PROTECTION</v>
          </cell>
          <cell r="E63" t="str">
            <v>NOS</v>
          </cell>
          <cell r="F63">
            <v>0</v>
          </cell>
          <cell r="G63">
            <v>4</v>
          </cell>
          <cell r="H63">
            <v>1.183875</v>
          </cell>
          <cell r="I63">
            <v>1</v>
          </cell>
          <cell r="J63">
            <v>4.7355</v>
          </cell>
          <cell r="K63">
            <v>1.3</v>
          </cell>
          <cell r="L63">
            <v>0.27500000000000002</v>
          </cell>
          <cell r="M63">
            <v>0</v>
          </cell>
          <cell r="N63">
            <v>32.704000000000001</v>
          </cell>
          <cell r="O63">
            <v>0</v>
          </cell>
          <cell r="P63">
            <v>4.83</v>
          </cell>
          <cell r="Q63">
            <v>0</v>
          </cell>
          <cell r="R63">
            <v>0</v>
          </cell>
          <cell r="S63">
            <v>0</v>
          </cell>
          <cell r="T63">
            <v>37.533999999999999</v>
          </cell>
          <cell r="U63">
            <v>0</v>
          </cell>
          <cell r="V63">
            <v>0.1</v>
          </cell>
          <cell r="W63">
            <v>1</v>
          </cell>
          <cell r="AD63">
            <v>0.2</v>
          </cell>
        </row>
        <row r="64">
          <cell r="C64">
            <v>3130</v>
          </cell>
          <cell r="D64" t="str">
            <v>BORED PILE (DIA=350)SUBCON.</v>
          </cell>
          <cell r="E64" t="str">
            <v>M</v>
          </cell>
          <cell r="F64">
            <v>0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524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524</v>
          </cell>
          <cell r="U64">
            <v>0</v>
          </cell>
        </row>
        <row r="65">
          <cell r="C65">
            <v>3140</v>
          </cell>
          <cell r="D65" t="str">
            <v>BORED PILE (DIA=350)</v>
          </cell>
          <cell r="E65" t="str">
            <v>M</v>
          </cell>
          <cell r="F65">
            <v>0</v>
          </cell>
          <cell r="G65">
            <v>55</v>
          </cell>
          <cell r="H65">
            <v>1.183875</v>
          </cell>
          <cell r="I65">
            <v>1</v>
          </cell>
          <cell r="J65">
            <v>65.113124999999997</v>
          </cell>
          <cell r="K65">
            <v>7.9</v>
          </cell>
          <cell r="L65">
            <v>0.121</v>
          </cell>
          <cell r="M65">
            <v>0</v>
          </cell>
          <cell r="N65">
            <v>0</v>
          </cell>
          <cell r="O65">
            <v>0</v>
          </cell>
          <cell r="P65">
            <v>2.44</v>
          </cell>
          <cell r="Q65">
            <v>0</v>
          </cell>
          <cell r="R65">
            <v>9.0500000000000007</v>
          </cell>
          <cell r="S65">
            <v>0</v>
          </cell>
          <cell r="T65">
            <v>11.49</v>
          </cell>
          <cell r="U65">
            <v>0</v>
          </cell>
          <cell r="V65">
            <v>0.5</v>
          </cell>
          <cell r="W65">
            <v>3</v>
          </cell>
          <cell r="X65">
            <v>2.2000000000000002</v>
          </cell>
          <cell r="Z65">
            <v>0.2</v>
          </cell>
          <cell r="AF65">
            <v>2</v>
          </cell>
          <cell r="AK65">
            <v>0.2</v>
          </cell>
          <cell r="AM65">
            <v>0.2</v>
          </cell>
          <cell r="AR65">
            <v>1</v>
          </cell>
        </row>
        <row r="66">
          <cell r="C66">
            <v>3150</v>
          </cell>
          <cell r="D66" t="str">
            <v>BORED PILE (DIA=600)</v>
          </cell>
          <cell r="E66" t="str">
            <v>M</v>
          </cell>
          <cell r="F66">
            <v>0</v>
          </cell>
          <cell r="G66">
            <v>40</v>
          </cell>
          <cell r="H66">
            <v>1.183875</v>
          </cell>
          <cell r="I66">
            <v>1</v>
          </cell>
          <cell r="J66">
            <v>47.355000000000004</v>
          </cell>
          <cell r="K66">
            <v>7.9</v>
          </cell>
          <cell r="L66">
            <v>0.16700000000000001</v>
          </cell>
          <cell r="M66">
            <v>0</v>
          </cell>
          <cell r="N66">
            <v>0</v>
          </cell>
          <cell r="O66">
            <v>0</v>
          </cell>
          <cell r="P66">
            <v>3.35</v>
          </cell>
          <cell r="Q66">
            <v>0</v>
          </cell>
          <cell r="R66">
            <v>12.45</v>
          </cell>
          <cell r="S66">
            <v>0</v>
          </cell>
          <cell r="T66">
            <v>15.799999999999999</v>
          </cell>
          <cell r="U66">
            <v>0</v>
          </cell>
          <cell r="V66">
            <v>0.5</v>
          </cell>
          <cell r="W66">
            <v>3</v>
          </cell>
          <cell r="X66">
            <v>2.2000000000000002</v>
          </cell>
          <cell r="Z66">
            <v>0.2</v>
          </cell>
          <cell r="AF66">
            <v>2</v>
          </cell>
          <cell r="AK66">
            <v>0.2</v>
          </cell>
          <cell r="AM66">
            <v>0.2</v>
          </cell>
          <cell r="AR66">
            <v>1</v>
          </cell>
        </row>
        <row r="67">
          <cell r="C67">
            <v>3160</v>
          </cell>
          <cell r="D67" t="str">
            <v>BORED PILE (DIA=800)</v>
          </cell>
          <cell r="E67" t="str">
            <v>M</v>
          </cell>
          <cell r="F67">
            <v>0</v>
          </cell>
          <cell r="G67">
            <v>37</v>
          </cell>
          <cell r="H67">
            <v>1.183875</v>
          </cell>
          <cell r="I67">
            <v>1</v>
          </cell>
          <cell r="J67">
            <v>43.803375000000003</v>
          </cell>
          <cell r="K67">
            <v>7.9</v>
          </cell>
          <cell r="L67">
            <v>0.18</v>
          </cell>
          <cell r="M67">
            <v>0</v>
          </cell>
          <cell r="N67">
            <v>0</v>
          </cell>
          <cell r="O67">
            <v>0</v>
          </cell>
          <cell r="P67">
            <v>3.62</v>
          </cell>
          <cell r="Q67">
            <v>0</v>
          </cell>
          <cell r="R67">
            <v>13.46</v>
          </cell>
          <cell r="S67">
            <v>0</v>
          </cell>
          <cell r="T67">
            <v>17.080000000000002</v>
          </cell>
          <cell r="U67">
            <v>0</v>
          </cell>
          <cell r="V67">
            <v>0.5</v>
          </cell>
          <cell r="W67">
            <v>3</v>
          </cell>
          <cell r="X67">
            <v>2.2000000000000002</v>
          </cell>
          <cell r="Z67">
            <v>0.2</v>
          </cell>
          <cell r="AF67">
            <v>2</v>
          </cell>
          <cell r="AK67">
            <v>0.2</v>
          </cell>
          <cell r="AM67">
            <v>0.2</v>
          </cell>
          <cell r="AR67">
            <v>1</v>
          </cell>
        </row>
        <row r="68">
          <cell r="C68">
            <v>3170</v>
          </cell>
          <cell r="D68" t="str">
            <v>BORED PILE (DIA=1000)</v>
          </cell>
          <cell r="E68" t="str">
            <v>M</v>
          </cell>
          <cell r="F68">
            <v>0</v>
          </cell>
          <cell r="G68">
            <v>32</v>
          </cell>
          <cell r="H68">
            <v>1.183875</v>
          </cell>
          <cell r="I68">
            <v>1</v>
          </cell>
          <cell r="J68">
            <v>37.884</v>
          </cell>
          <cell r="K68">
            <v>7.9</v>
          </cell>
          <cell r="L68">
            <v>0.20899999999999999</v>
          </cell>
          <cell r="M68">
            <v>0</v>
          </cell>
          <cell r="N68">
            <v>0</v>
          </cell>
          <cell r="O68">
            <v>0</v>
          </cell>
          <cell r="P68">
            <v>4.1900000000000004</v>
          </cell>
          <cell r="Q68">
            <v>0</v>
          </cell>
          <cell r="R68">
            <v>15.56</v>
          </cell>
          <cell r="S68">
            <v>0</v>
          </cell>
          <cell r="T68">
            <v>19.75</v>
          </cell>
          <cell r="U68">
            <v>0</v>
          </cell>
          <cell r="V68">
            <v>0.5</v>
          </cell>
          <cell r="W68">
            <v>3</v>
          </cell>
          <cell r="X68">
            <v>2.2000000000000002</v>
          </cell>
          <cell r="Z68">
            <v>0.2</v>
          </cell>
          <cell r="AF68">
            <v>2</v>
          </cell>
          <cell r="AK68">
            <v>0.2</v>
          </cell>
          <cell r="AM68">
            <v>0.2</v>
          </cell>
          <cell r="AR68">
            <v>1</v>
          </cell>
        </row>
        <row r="69">
          <cell r="C69">
            <v>3180</v>
          </cell>
          <cell r="D69" t="str">
            <v xml:space="preserve">CONCRETE POURING FOR BORED PILE </v>
          </cell>
          <cell r="E69" t="str">
            <v>M3</v>
          </cell>
          <cell r="F69">
            <v>0</v>
          </cell>
          <cell r="G69">
            <v>16</v>
          </cell>
          <cell r="H69">
            <v>1.183875</v>
          </cell>
          <cell r="I69">
            <v>1</v>
          </cell>
          <cell r="J69">
            <v>18.942</v>
          </cell>
          <cell r="K69">
            <v>3.6</v>
          </cell>
          <cell r="L69">
            <v>0.19</v>
          </cell>
          <cell r="M69">
            <v>0</v>
          </cell>
          <cell r="N69">
            <v>62.650000000000006</v>
          </cell>
          <cell r="O69">
            <v>0</v>
          </cell>
          <cell r="P69">
            <v>3.88</v>
          </cell>
          <cell r="Q69">
            <v>0</v>
          </cell>
          <cell r="R69">
            <v>3.07</v>
          </cell>
          <cell r="S69">
            <v>0</v>
          </cell>
          <cell r="T69">
            <v>69.599999999999994</v>
          </cell>
          <cell r="U69">
            <v>0</v>
          </cell>
          <cell r="V69">
            <v>0.5</v>
          </cell>
          <cell r="W69">
            <v>1</v>
          </cell>
          <cell r="X69">
            <v>0.1</v>
          </cell>
          <cell r="AB69">
            <v>1</v>
          </cell>
          <cell r="AF69">
            <v>1</v>
          </cell>
          <cell r="AX69">
            <v>0.1</v>
          </cell>
        </row>
        <row r="70">
          <cell r="C70">
            <v>3190</v>
          </cell>
          <cell r="D70" t="str">
            <v xml:space="preserve">REBAR WORK FOR BORED PILE </v>
          </cell>
          <cell r="E70" t="str">
            <v>TON</v>
          </cell>
          <cell r="F70">
            <v>0</v>
          </cell>
          <cell r="G70">
            <v>0.5</v>
          </cell>
          <cell r="H70">
            <v>1.183875</v>
          </cell>
          <cell r="I70">
            <v>1</v>
          </cell>
          <cell r="J70">
            <v>0.59193750000000001</v>
          </cell>
          <cell r="K70">
            <v>5.15</v>
          </cell>
          <cell r="L70">
            <v>8.6999999999999993</v>
          </cell>
          <cell r="M70">
            <v>0</v>
          </cell>
          <cell r="N70">
            <v>459.42400000000004</v>
          </cell>
          <cell r="O70">
            <v>0</v>
          </cell>
          <cell r="P70">
            <v>182.97</v>
          </cell>
          <cell r="Q70">
            <v>0</v>
          </cell>
          <cell r="R70">
            <v>62.68</v>
          </cell>
          <cell r="S70">
            <v>0</v>
          </cell>
          <cell r="T70">
            <v>705.07399999999996</v>
          </cell>
          <cell r="U70">
            <v>0</v>
          </cell>
          <cell r="V70">
            <v>1</v>
          </cell>
          <cell r="W70">
            <v>1</v>
          </cell>
          <cell r="X70">
            <v>0.1</v>
          </cell>
          <cell r="Z70">
            <v>0.05</v>
          </cell>
          <cell r="AD70">
            <v>3</v>
          </cell>
          <cell r="AN70">
            <v>0.1</v>
          </cell>
          <cell r="BG70">
            <v>0.05</v>
          </cell>
        </row>
        <row r="71">
          <cell r="C71">
            <v>3200</v>
          </cell>
          <cell r="D71" t="str">
            <v xml:space="preserve">BORED PILE HEAD PREPARATION </v>
          </cell>
          <cell r="E71" t="str">
            <v>NOS</v>
          </cell>
          <cell r="F71">
            <v>0</v>
          </cell>
          <cell r="G71">
            <v>4</v>
          </cell>
          <cell r="H71">
            <v>1.183875</v>
          </cell>
          <cell r="I71">
            <v>1</v>
          </cell>
          <cell r="J71">
            <v>4.7355</v>
          </cell>
          <cell r="K71">
            <v>2.4500000000000002</v>
          </cell>
          <cell r="L71">
            <v>0.51700000000000002</v>
          </cell>
          <cell r="M71">
            <v>0</v>
          </cell>
          <cell r="N71">
            <v>40.880000000000003</v>
          </cell>
          <cell r="O71">
            <v>0</v>
          </cell>
          <cell r="P71">
            <v>10.54</v>
          </cell>
          <cell r="Q71">
            <v>0</v>
          </cell>
          <cell r="R71">
            <v>34.200000000000003</v>
          </cell>
          <cell r="S71">
            <v>0</v>
          </cell>
          <cell r="T71">
            <v>85.62</v>
          </cell>
          <cell r="U71">
            <v>0</v>
          </cell>
          <cell r="V71">
            <v>0.25</v>
          </cell>
          <cell r="W71">
            <v>1</v>
          </cell>
          <cell r="X71">
            <v>1</v>
          </cell>
          <cell r="Y71">
            <v>0.2</v>
          </cell>
          <cell r="AK71">
            <v>1</v>
          </cell>
          <cell r="BF71">
            <v>0.2</v>
          </cell>
        </row>
        <row r="72">
          <cell r="C72">
            <v>3210</v>
          </cell>
          <cell r="D72" t="str">
            <v>VIBRO FLOATATION PILE (D=600MM)</v>
          </cell>
          <cell r="E72" t="str">
            <v>M</v>
          </cell>
          <cell r="F72">
            <v>0</v>
          </cell>
          <cell r="G72">
            <v>54</v>
          </cell>
          <cell r="H72">
            <v>1.183875</v>
          </cell>
          <cell r="I72">
            <v>1</v>
          </cell>
          <cell r="J72">
            <v>63.929250000000003</v>
          </cell>
          <cell r="K72">
            <v>8.9</v>
          </cell>
          <cell r="L72">
            <v>0.13900000000000001</v>
          </cell>
          <cell r="M72">
            <v>0</v>
          </cell>
          <cell r="N72">
            <v>3.5481600000000006</v>
          </cell>
          <cell r="O72">
            <v>0</v>
          </cell>
          <cell r="P72">
            <v>2.85</v>
          </cell>
          <cell r="Q72">
            <v>0</v>
          </cell>
          <cell r="R72">
            <v>14.1</v>
          </cell>
          <cell r="S72">
            <v>0</v>
          </cell>
          <cell r="T72">
            <v>20.498159999999999</v>
          </cell>
          <cell r="U72">
            <v>0</v>
          </cell>
          <cell r="V72">
            <v>0.5</v>
          </cell>
          <cell r="W72">
            <v>3</v>
          </cell>
          <cell r="X72">
            <v>3.2</v>
          </cell>
          <cell r="Z72">
            <v>0.2</v>
          </cell>
          <cell r="AF72">
            <v>2</v>
          </cell>
          <cell r="AK72">
            <v>0.2</v>
          </cell>
          <cell r="AM72">
            <v>0.2</v>
          </cell>
          <cell r="AR72">
            <v>1</v>
          </cell>
          <cell r="AS72">
            <v>1</v>
          </cell>
          <cell r="AY72">
            <v>1</v>
          </cell>
        </row>
        <row r="73">
          <cell r="C73">
            <v>3220</v>
          </cell>
          <cell r="D73" t="str">
            <v>VIBRO FLOAT.(D=600MM)SUBCON</v>
          </cell>
          <cell r="E73" t="str">
            <v>M</v>
          </cell>
          <cell r="F73">
            <v>0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0</v>
          </cell>
          <cell r="L73">
            <v>0</v>
          </cell>
          <cell r="M73">
            <v>0</v>
          </cell>
          <cell r="N73">
            <v>33.917333333333332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33.917333333333332</v>
          </cell>
          <cell r="U73">
            <v>0</v>
          </cell>
        </row>
        <row r="74">
          <cell r="C74">
            <v>3230</v>
          </cell>
          <cell r="D74" t="str">
            <v>TEST SET OF FABRICATION</v>
          </cell>
          <cell r="E74" t="str">
            <v>LOT</v>
          </cell>
          <cell r="F74">
            <v>0</v>
          </cell>
          <cell r="G74">
            <v>0.8</v>
          </cell>
          <cell r="H74">
            <v>1.183875</v>
          </cell>
          <cell r="I74">
            <v>1</v>
          </cell>
          <cell r="J74">
            <v>0.94710000000000005</v>
          </cell>
          <cell r="K74">
            <v>83.3</v>
          </cell>
          <cell r="L74">
            <v>87.953000000000003</v>
          </cell>
          <cell r="M74">
            <v>0</v>
          </cell>
          <cell r="N74">
            <v>2489.4944096871845</v>
          </cell>
          <cell r="O74">
            <v>0</v>
          </cell>
          <cell r="P74">
            <v>2012.3</v>
          </cell>
          <cell r="Q74">
            <v>0</v>
          </cell>
          <cell r="R74">
            <v>113.37</v>
          </cell>
          <cell r="S74">
            <v>0</v>
          </cell>
          <cell r="T74">
            <v>4615.1644096871842</v>
          </cell>
          <cell r="U74">
            <v>0</v>
          </cell>
          <cell r="V74">
            <v>6</v>
          </cell>
          <cell r="W74">
            <v>6</v>
          </cell>
          <cell r="X74">
            <v>0.3</v>
          </cell>
          <cell r="AB74">
            <v>6</v>
          </cell>
          <cell r="AC74">
            <v>2</v>
          </cell>
          <cell r="AD74">
            <v>8</v>
          </cell>
          <cell r="AE74">
            <v>20</v>
          </cell>
          <cell r="AH74">
            <v>35</v>
          </cell>
          <cell r="AN74">
            <v>0.3</v>
          </cell>
          <cell r="BJ74">
            <v>3</v>
          </cell>
        </row>
        <row r="75">
          <cell r="C75">
            <v>3240</v>
          </cell>
          <cell r="D75" t="str">
            <v>PILE LOAD TEST (VERT 200 TON)</v>
          </cell>
          <cell r="E75" t="str">
            <v>LOT</v>
          </cell>
          <cell r="F75">
            <v>0</v>
          </cell>
          <cell r="G75">
            <v>0.8</v>
          </cell>
          <cell r="H75">
            <v>1.183875</v>
          </cell>
          <cell r="I75">
            <v>1</v>
          </cell>
          <cell r="J75">
            <v>0.94710000000000005</v>
          </cell>
          <cell r="K75">
            <v>9.5</v>
          </cell>
          <cell r="L75">
            <v>10.031000000000001</v>
          </cell>
          <cell r="M75">
            <v>0</v>
          </cell>
          <cell r="N75">
            <v>47.232374032963342</v>
          </cell>
          <cell r="O75">
            <v>0</v>
          </cell>
          <cell r="P75">
            <v>202.36</v>
          </cell>
          <cell r="Q75">
            <v>0</v>
          </cell>
          <cell r="R75">
            <v>342.09</v>
          </cell>
          <cell r="S75">
            <v>0</v>
          </cell>
          <cell r="T75">
            <v>591.68237403296337</v>
          </cell>
          <cell r="U75">
            <v>0</v>
          </cell>
          <cell r="V75">
            <v>1</v>
          </cell>
          <cell r="W75">
            <v>3</v>
          </cell>
          <cell r="X75">
            <v>0.8</v>
          </cell>
          <cell r="Z75">
            <v>1.2</v>
          </cell>
          <cell r="AB75">
            <v>0.5</v>
          </cell>
          <cell r="AE75">
            <v>1</v>
          </cell>
          <cell r="AF75">
            <v>2</v>
          </cell>
          <cell r="AK75">
            <v>0.5</v>
          </cell>
          <cell r="AN75">
            <v>0.3</v>
          </cell>
          <cell r="AY75">
            <v>0.2</v>
          </cell>
          <cell r="BG75">
            <v>1</v>
          </cell>
        </row>
        <row r="76">
          <cell r="C76">
            <v>3250</v>
          </cell>
          <cell r="D76" t="str">
            <v>PILE LOAD TEST (VERT)SUBCON.</v>
          </cell>
          <cell r="E76" t="str">
            <v>LOT</v>
          </cell>
          <cell r="F76">
            <v>0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16000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16000</v>
          </cell>
          <cell r="U76">
            <v>0</v>
          </cell>
        </row>
        <row r="77">
          <cell r="C77">
            <v>3260</v>
          </cell>
          <cell r="D77" t="str">
            <v>PILE LOAD TEST (HORI 20 TON)</v>
          </cell>
          <cell r="E77" t="str">
            <v>NOS</v>
          </cell>
          <cell r="F77">
            <v>0</v>
          </cell>
          <cell r="G77">
            <v>0.8</v>
          </cell>
          <cell r="H77">
            <v>1.183875</v>
          </cell>
          <cell r="I77">
            <v>1</v>
          </cell>
          <cell r="J77">
            <v>0.94710000000000005</v>
          </cell>
          <cell r="K77">
            <v>4.3000000000000007</v>
          </cell>
          <cell r="L77">
            <v>4.54</v>
          </cell>
          <cell r="M77">
            <v>0</v>
          </cell>
          <cell r="N77">
            <v>0</v>
          </cell>
          <cell r="O77">
            <v>0</v>
          </cell>
          <cell r="P77">
            <v>95.6</v>
          </cell>
          <cell r="Q77">
            <v>0</v>
          </cell>
          <cell r="R77">
            <v>62.65</v>
          </cell>
          <cell r="S77">
            <v>0</v>
          </cell>
          <cell r="T77">
            <v>158.25</v>
          </cell>
          <cell r="U77">
            <v>0</v>
          </cell>
          <cell r="V77">
            <v>1</v>
          </cell>
          <cell r="W77">
            <v>1</v>
          </cell>
          <cell r="X77">
            <v>0.2</v>
          </cell>
          <cell r="Z77">
            <v>0.1</v>
          </cell>
          <cell r="AF77">
            <v>2</v>
          </cell>
          <cell r="AK77">
            <v>0.1</v>
          </cell>
          <cell r="AN77">
            <v>0.1</v>
          </cell>
          <cell r="BG77">
            <v>0.1</v>
          </cell>
        </row>
        <row r="78">
          <cell r="C78">
            <v>3270</v>
          </cell>
          <cell r="D78" t="str">
            <v>PILE LOAD TEST (HORI)SUBCON.</v>
          </cell>
          <cell r="E78" t="str">
            <v>NOS</v>
          </cell>
          <cell r="F78">
            <v>0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253.33333333333334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253.33333333333334</v>
          </cell>
          <cell r="U78">
            <v>0</v>
          </cell>
        </row>
        <row r="79">
          <cell r="C79">
            <v>3280</v>
          </cell>
          <cell r="D79" t="str">
            <v>SHEET PILE SUPPLY</v>
          </cell>
          <cell r="E79" t="str">
            <v>M2</v>
          </cell>
          <cell r="F79">
            <v>0</v>
          </cell>
          <cell r="G79">
            <v>500</v>
          </cell>
          <cell r="H79">
            <v>1.183875</v>
          </cell>
          <cell r="I79">
            <v>1</v>
          </cell>
          <cell r="J79">
            <v>591.9375</v>
          </cell>
          <cell r="K79">
            <v>4.5</v>
          </cell>
          <cell r="L79">
            <v>8.0000000000000002E-3</v>
          </cell>
          <cell r="M79">
            <v>0</v>
          </cell>
          <cell r="N79">
            <v>0</v>
          </cell>
          <cell r="O79">
            <v>0</v>
          </cell>
          <cell r="P79">
            <v>0.16</v>
          </cell>
          <cell r="Q79">
            <v>0</v>
          </cell>
          <cell r="R79">
            <v>0.11</v>
          </cell>
          <cell r="S79">
            <v>0</v>
          </cell>
          <cell r="T79">
            <v>0.27</v>
          </cell>
          <cell r="U79">
            <v>0</v>
          </cell>
          <cell r="V79">
            <v>0.5</v>
          </cell>
          <cell r="W79">
            <v>1</v>
          </cell>
          <cell r="Z79">
            <v>1</v>
          </cell>
          <cell r="AF79">
            <v>2</v>
          </cell>
          <cell r="BH79">
            <v>1</v>
          </cell>
        </row>
        <row r="80">
          <cell r="C80">
            <v>3290</v>
          </cell>
          <cell r="D80" t="str">
            <v>SHEET PILE DRIVING (AND DISMANTLING)</v>
          </cell>
          <cell r="E80" t="str">
            <v>M2</v>
          </cell>
          <cell r="F80">
            <v>0</v>
          </cell>
          <cell r="G80">
            <v>58</v>
          </cell>
          <cell r="H80">
            <v>1.183875</v>
          </cell>
          <cell r="I80">
            <v>1</v>
          </cell>
          <cell r="J80">
            <v>68.664749999999998</v>
          </cell>
          <cell r="K80">
            <v>7</v>
          </cell>
          <cell r="L80">
            <v>0.10199999999999999</v>
          </cell>
          <cell r="M80">
            <v>0</v>
          </cell>
          <cell r="N80">
            <v>0</v>
          </cell>
          <cell r="O80">
            <v>0</v>
          </cell>
          <cell r="P80">
            <v>2.16</v>
          </cell>
          <cell r="Q80">
            <v>0</v>
          </cell>
          <cell r="R80">
            <v>11.81</v>
          </cell>
          <cell r="S80">
            <v>0</v>
          </cell>
          <cell r="T80">
            <v>13.97</v>
          </cell>
          <cell r="U80">
            <v>0</v>
          </cell>
          <cell r="V80">
            <v>1</v>
          </cell>
          <cell r="W80">
            <v>2</v>
          </cell>
          <cell r="X80">
            <v>1</v>
          </cell>
          <cell r="AF80">
            <v>2</v>
          </cell>
          <cell r="AH80">
            <v>1</v>
          </cell>
          <cell r="AO80">
            <v>1</v>
          </cell>
          <cell r="AQ80">
            <v>1</v>
          </cell>
          <cell r="BJ80">
            <v>1</v>
          </cell>
          <cell r="BK80">
            <v>1</v>
          </cell>
          <cell r="BL80">
            <v>1</v>
          </cell>
        </row>
        <row r="81">
          <cell r="C81">
            <v>3300</v>
          </cell>
          <cell r="D81" t="str">
            <v>SHEET PILE DRIVING SUBCON.</v>
          </cell>
          <cell r="E81" t="str">
            <v>M2</v>
          </cell>
          <cell r="F81">
            <v>0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22.666666666666668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22.666666666666668</v>
          </cell>
          <cell r="U81">
            <v>0</v>
          </cell>
        </row>
        <row r="82">
          <cell r="C82">
            <v>4000</v>
          </cell>
          <cell r="D82" t="str">
            <v>TOP SOIL REMOVAL (BY DOZER)</v>
          </cell>
          <cell r="E82" t="str">
            <v>M3</v>
          </cell>
          <cell r="F82">
            <v>0</v>
          </cell>
          <cell r="G82">
            <v>400</v>
          </cell>
          <cell r="H82">
            <v>1.183875</v>
          </cell>
          <cell r="I82">
            <v>1</v>
          </cell>
          <cell r="J82">
            <v>473.55</v>
          </cell>
          <cell r="K82">
            <v>4</v>
          </cell>
          <cell r="L82">
            <v>8.0000000000000002E-3</v>
          </cell>
          <cell r="M82">
            <v>0</v>
          </cell>
          <cell r="N82">
            <v>0</v>
          </cell>
          <cell r="O82">
            <v>0</v>
          </cell>
          <cell r="P82">
            <v>0.17</v>
          </cell>
          <cell r="Q82">
            <v>0</v>
          </cell>
          <cell r="R82">
            <v>0.65</v>
          </cell>
          <cell r="S82">
            <v>0</v>
          </cell>
          <cell r="T82">
            <v>0.82000000000000006</v>
          </cell>
          <cell r="U82">
            <v>0</v>
          </cell>
          <cell r="V82">
            <v>0.5</v>
          </cell>
          <cell r="W82">
            <v>2</v>
          </cell>
          <cell r="X82">
            <v>1</v>
          </cell>
          <cell r="Z82">
            <v>0.5</v>
          </cell>
          <cell r="AT82">
            <v>1</v>
          </cell>
          <cell r="AY82">
            <v>0.5</v>
          </cell>
        </row>
        <row r="83">
          <cell r="C83">
            <v>4010</v>
          </cell>
          <cell r="D83" t="str">
            <v>SITE CLEARING BY GRADER</v>
          </cell>
          <cell r="E83" t="str">
            <v>M2</v>
          </cell>
          <cell r="F83">
            <v>0</v>
          </cell>
          <cell r="G83">
            <v>1600</v>
          </cell>
          <cell r="H83">
            <v>1.183875</v>
          </cell>
          <cell r="I83">
            <v>1</v>
          </cell>
          <cell r="J83">
            <v>1894.2</v>
          </cell>
          <cell r="K83">
            <v>4</v>
          </cell>
          <cell r="L83">
            <v>2E-3</v>
          </cell>
          <cell r="M83">
            <v>0</v>
          </cell>
          <cell r="N83">
            <v>0</v>
          </cell>
          <cell r="O83">
            <v>0</v>
          </cell>
          <cell r="P83">
            <v>0.04</v>
          </cell>
          <cell r="Q83">
            <v>0</v>
          </cell>
          <cell r="R83">
            <v>0.12</v>
          </cell>
          <cell r="S83">
            <v>0</v>
          </cell>
          <cell r="T83">
            <v>0.16</v>
          </cell>
          <cell r="U83">
            <v>0</v>
          </cell>
          <cell r="V83">
            <v>0.5</v>
          </cell>
          <cell r="W83">
            <v>2</v>
          </cell>
          <cell r="X83">
            <v>1</v>
          </cell>
          <cell r="Z83">
            <v>0.5</v>
          </cell>
          <cell r="AV83">
            <v>1</v>
          </cell>
          <cell r="AY83">
            <v>0.5</v>
          </cell>
        </row>
        <row r="84">
          <cell r="C84">
            <v>4020</v>
          </cell>
          <cell r="D84" t="str">
            <v>SITE CLEARING BY DOZER</v>
          </cell>
          <cell r="E84" t="str">
            <v>M2</v>
          </cell>
          <cell r="F84">
            <v>0</v>
          </cell>
          <cell r="G84">
            <v>2500</v>
          </cell>
          <cell r="H84">
            <v>1.183875</v>
          </cell>
          <cell r="I84">
            <v>1</v>
          </cell>
          <cell r="J84">
            <v>2959.6875</v>
          </cell>
          <cell r="K84">
            <v>4</v>
          </cell>
          <cell r="L84">
            <v>1E-3</v>
          </cell>
          <cell r="M84">
            <v>0</v>
          </cell>
          <cell r="N84">
            <v>0</v>
          </cell>
          <cell r="O84">
            <v>0</v>
          </cell>
          <cell r="P84">
            <v>0.03</v>
          </cell>
          <cell r="Q84">
            <v>0</v>
          </cell>
          <cell r="R84">
            <v>0.1</v>
          </cell>
          <cell r="S84">
            <v>0</v>
          </cell>
          <cell r="T84">
            <v>0.13</v>
          </cell>
          <cell r="U84">
            <v>0</v>
          </cell>
          <cell r="V84">
            <v>0.5</v>
          </cell>
          <cell r="W84">
            <v>2</v>
          </cell>
          <cell r="X84">
            <v>1</v>
          </cell>
          <cell r="Z84">
            <v>0.5</v>
          </cell>
          <cell r="AT84">
            <v>1</v>
          </cell>
          <cell r="AY84">
            <v>0.5</v>
          </cell>
        </row>
        <row r="85">
          <cell r="C85">
            <v>4030</v>
          </cell>
          <cell r="D85" t="str">
            <v>SUB GRADE COMPACTION OF LARGE AREA</v>
          </cell>
          <cell r="E85" t="str">
            <v>M2</v>
          </cell>
          <cell r="F85">
            <v>0</v>
          </cell>
          <cell r="G85">
            <v>3000</v>
          </cell>
          <cell r="H85">
            <v>1.183875</v>
          </cell>
          <cell r="I85">
            <v>1</v>
          </cell>
          <cell r="J85">
            <v>3551.625</v>
          </cell>
          <cell r="K85">
            <v>6</v>
          </cell>
          <cell r="L85">
            <v>2E-3</v>
          </cell>
          <cell r="M85">
            <v>0</v>
          </cell>
          <cell r="N85">
            <v>0</v>
          </cell>
          <cell r="O85">
            <v>0</v>
          </cell>
          <cell r="P85">
            <v>0.03</v>
          </cell>
          <cell r="Q85">
            <v>0</v>
          </cell>
          <cell r="R85">
            <v>0.11</v>
          </cell>
          <cell r="S85">
            <v>0</v>
          </cell>
          <cell r="T85">
            <v>0.14000000000000001</v>
          </cell>
          <cell r="U85">
            <v>0</v>
          </cell>
          <cell r="V85">
            <v>0.5</v>
          </cell>
          <cell r="W85">
            <v>3</v>
          </cell>
          <cell r="X85">
            <v>0.5</v>
          </cell>
          <cell r="Z85">
            <v>2</v>
          </cell>
          <cell r="AV85">
            <v>0.5</v>
          </cell>
          <cell r="AW85">
            <v>1</v>
          </cell>
          <cell r="AY85">
            <v>1</v>
          </cell>
        </row>
        <row r="86">
          <cell r="C86">
            <v>4040</v>
          </cell>
          <cell r="D86" t="str">
            <v>SUB GRADE COMPACTION OF SMALL AREA(LABOR)</v>
          </cell>
          <cell r="E86" t="str">
            <v>M2</v>
          </cell>
          <cell r="F86">
            <v>0</v>
          </cell>
          <cell r="G86">
            <v>750</v>
          </cell>
          <cell r="H86">
            <v>1.183875</v>
          </cell>
          <cell r="I86">
            <v>1</v>
          </cell>
          <cell r="J86">
            <v>887.90625</v>
          </cell>
          <cell r="K86">
            <v>8</v>
          </cell>
          <cell r="L86">
            <v>8.9999999999999993E-3</v>
          </cell>
          <cell r="M86">
            <v>0</v>
          </cell>
          <cell r="N86">
            <v>0</v>
          </cell>
          <cell r="O86">
            <v>0</v>
          </cell>
          <cell r="P86">
            <v>0.15</v>
          </cell>
          <cell r="Q86">
            <v>0</v>
          </cell>
          <cell r="R86">
            <v>0.05</v>
          </cell>
          <cell r="S86">
            <v>0</v>
          </cell>
          <cell r="T86">
            <v>0.2</v>
          </cell>
          <cell r="U86">
            <v>0</v>
          </cell>
          <cell r="V86">
            <v>0.5</v>
          </cell>
          <cell r="W86">
            <v>7</v>
          </cell>
          <cell r="Z86">
            <v>0.5</v>
          </cell>
          <cell r="AY86">
            <v>0.5</v>
          </cell>
        </row>
        <row r="87">
          <cell r="C87">
            <v>4050</v>
          </cell>
          <cell r="D87" t="str">
            <v>TOP SOIL REPLACEMENT (T=150 MM)</v>
          </cell>
          <cell r="E87" t="str">
            <v>M3</v>
          </cell>
          <cell r="F87">
            <v>0</v>
          </cell>
          <cell r="G87">
            <v>250</v>
          </cell>
          <cell r="H87">
            <v>1.183875</v>
          </cell>
          <cell r="I87">
            <v>1</v>
          </cell>
          <cell r="J87">
            <v>295.96875</v>
          </cell>
          <cell r="K87">
            <v>7</v>
          </cell>
          <cell r="L87">
            <v>2.4E-2</v>
          </cell>
          <cell r="M87">
            <v>0</v>
          </cell>
          <cell r="N87">
            <v>0</v>
          </cell>
          <cell r="O87">
            <v>0</v>
          </cell>
          <cell r="P87">
            <v>0.44</v>
          </cell>
          <cell r="Q87">
            <v>0</v>
          </cell>
          <cell r="R87">
            <v>1.73</v>
          </cell>
          <cell r="S87">
            <v>0</v>
          </cell>
          <cell r="T87">
            <v>2.17</v>
          </cell>
          <cell r="U87">
            <v>0</v>
          </cell>
          <cell r="V87">
            <v>0.5</v>
          </cell>
          <cell r="W87">
            <v>4</v>
          </cell>
          <cell r="X87">
            <v>0.5</v>
          </cell>
          <cell r="Z87">
            <v>2</v>
          </cell>
          <cell r="AS87">
            <v>0.5</v>
          </cell>
          <cell r="AV87">
            <v>0.5</v>
          </cell>
          <cell r="AW87">
            <v>1</v>
          </cell>
          <cell r="AY87">
            <v>1</v>
          </cell>
        </row>
        <row r="88">
          <cell r="C88">
            <v>4060</v>
          </cell>
          <cell r="D88" t="str">
            <v>FILLING OF EXCAVATED SOIL</v>
          </cell>
          <cell r="E88" t="str">
            <v>M3</v>
          </cell>
          <cell r="F88">
            <v>0</v>
          </cell>
          <cell r="G88">
            <v>310</v>
          </cell>
          <cell r="H88">
            <v>1.183875</v>
          </cell>
          <cell r="I88">
            <v>1</v>
          </cell>
          <cell r="J88">
            <v>367.00125000000003</v>
          </cell>
          <cell r="K88">
            <v>9</v>
          </cell>
          <cell r="L88">
            <v>2.5000000000000001E-2</v>
          </cell>
          <cell r="M88">
            <v>0</v>
          </cell>
          <cell r="N88">
            <v>0</v>
          </cell>
          <cell r="O88">
            <v>0</v>
          </cell>
          <cell r="P88">
            <v>0.47</v>
          </cell>
          <cell r="Q88">
            <v>0</v>
          </cell>
          <cell r="R88">
            <v>1.39</v>
          </cell>
          <cell r="S88">
            <v>0</v>
          </cell>
          <cell r="T88">
            <v>1.8599999999999999</v>
          </cell>
          <cell r="U88">
            <v>0</v>
          </cell>
          <cell r="V88">
            <v>0.5</v>
          </cell>
          <cell r="W88">
            <v>4</v>
          </cell>
          <cell r="X88">
            <v>0.5</v>
          </cell>
          <cell r="Z88">
            <v>4</v>
          </cell>
          <cell r="AS88">
            <v>0.5</v>
          </cell>
          <cell r="AV88">
            <v>0.5</v>
          </cell>
          <cell r="AW88">
            <v>1</v>
          </cell>
          <cell r="AY88">
            <v>1</v>
          </cell>
        </row>
        <row r="89">
          <cell r="C89">
            <v>4070</v>
          </cell>
          <cell r="D89" t="str">
            <v>SOIL FILLING OF IMPORT SOIL</v>
          </cell>
          <cell r="E89" t="str">
            <v>M3</v>
          </cell>
          <cell r="F89">
            <v>0</v>
          </cell>
          <cell r="G89">
            <v>350</v>
          </cell>
          <cell r="H89">
            <v>1.183875</v>
          </cell>
          <cell r="I89">
            <v>1</v>
          </cell>
          <cell r="J89">
            <v>414.35624999999999</v>
          </cell>
          <cell r="K89">
            <v>7</v>
          </cell>
          <cell r="L89">
            <v>1.7000000000000001E-2</v>
          </cell>
          <cell r="M89">
            <v>0</v>
          </cell>
          <cell r="N89">
            <v>3.0240000000000005</v>
          </cell>
          <cell r="O89">
            <v>0</v>
          </cell>
          <cell r="P89">
            <v>0.32</v>
          </cell>
          <cell r="Q89">
            <v>0</v>
          </cell>
          <cell r="R89">
            <v>1.23</v>
          </cell>
          <cell r="S89">
            <v>0</v>
          </cell>
          <cell r="T89">
            <v>4.5739999999999998</v>
          </cell>
          <cell r="U89">
            <v>0</v>
          </cell>
          <cell r="V89">
            <v>0.5</v>
          </cell>
          <cell r="W89">
            <v>4</v>
          </cell>
          <cell r="X89">
            <v>0.5</v>
          </cell>
          <cell r="Z89">
            <v>2</v>
          </cell>
          <cell r="AS89">
            <v>0.5</v>
          </cell>
          <cell r="AV89">
            <v>0.5</v>
          </cell>
          <cell r="AW89">
            <v>1</v>
          </cell>
          <cell r="AY89">
            <v>1</v>
          </cell>
        </row>
        <row r="90">
          <cell r="C90">
            <v>4075</v>
          </cell>
          <cell r="D90" t="str">
            <v>SOIL FILLING OF IMPORT SOIL SUBCON.</v>
          </cell>
          <cell r="E90" t="str">
            <v>M3</v>
          </cell>
          <cell r="F90">
            <v>0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0</v>
          </cell>
          <cell r="L90">
            <v>0</v>
          </cell>
          <cell r="M90">
            <v>0</v>
          </cell>
          <cell r="N90">
            <v>5.333333333333333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5.333333333333333</v>
          </cell>
          <cell r="U90">
            <v>0</v>
          </cell>
        </row>
        <row r="91">
          <cell r="C91">
            <v>4080</v>
          </cell>
          <cell r="D91" t="str">
            <v>GEOTEX TILE</v>
          </cell>
          <cell r="E91" t="str">
            <v>M2</v>
          </cell>
          <cell r="F91">
            <v>0</v>
          </cell>
          <cell r="G91">
            <v>650</v>
          </cell>
          <cell r="H91">
            <v>1.183875</v>
          </cell>
          <cell r="I91">
            <v>1</v>
          </cell>
          <cell r="J91">
            <v>769.51874999999995</v>
          </cell>
          <cell r="K91">
            <v>5.2</v>
          </cell>
          <cell r="L91">
            <v>7.0000000000000001E-3</v>
          </cell>
          <cell r="M91">
            <v>0</v>
          </cell>
          <cell r="N91">
            <v>5.9295600000000004</v>
          </cell>
          <cell r="O91">
            <v>0</v>
          </cell>
          <cell r="P91">
            <v>0.12</v>
          </cell>
          <cell r="Q91">
            <v>0</v>
          </cell>
          <cell r="R91">
            <v>0.06</v>
          </cell>
          <cell r="S91">
            <v>0</v>
          </cell>
          <cell r="T91">
            <v>6.1095600000000001</v>
          </cell>
          <cell r="U91">
            <v>0</v>
          </cell>
          <cell r="V91">
            <v>1</v>
          </cell>
          <cell r="W91">
            <v>4</v>
          </cell>
          <cell r="X91">
            <v>0.2</v>
          </cell>
          <cell r="AS91">
            <v>0.2</v>
          </cell>
        </row>
        <row r="92">
          <cell r="C92">
            <v>4090</v>
          </cell>
          <cell r="D92" t="str">
            <v>EXCAVATION BY HAND</v>
          </cell>
          <cell r="E92" t="str">
            <v>M3</v>
          </cell>
          <cell r="F92">
            <v>0</v>
          </cell>
          <cell r="G92">
            <v>10</v>
          </cell>
          <cell r="H92">
            <v>1.183875</v>
          </cell>
          <cell r="I92">
            <v>1</v>
          </cell>
          <cell r="J92">
            <v>11.838750000000001</v>
          </cell>
          <cell r="K92">
            <v>2.2000000000000002</v>
          </cell>
          <cell r="L92">
            <v>0.186</v>
          </cell>
          <cell r="M92">
            <v>0</v>
          </cell>
          <cell r="N92">
            <v>0</v>
          </cell>
          <cell r="O92">
            <v>0</v>
          </cell>
          <cell r="P92">
            <v>3.15</v>
          </cell>
          <cell r="Q92">
            <v>0</v>
          </cell>
          <cell r="R92">
            <v>0</v>
          </cell>
          <cell r="S92">
            <v>0</v>
          </cell>
          <cell r="T92">
            <v>3.15</v>
          </cell>
          <cell r="U92">
            <v>0</v>
          </cell>
          <cell r="V92">
            <v>0.2</v>
          </cell>
          <cell r="W92">
            <v>2</v>
          </cell>
        </row>
        <row r="93">
          <cell r="C93">
            <v>4100</v>
          </cell>
          <cell r="D93" t="str">
            <v>EXCAVATION BY DOZER</v>
          </cell>
          <cell r="E93" t="str">
            <v>M3</v>
          </cell>
          <cell r="F93">
            <v>0</v>
          </cell>
          <cell r="G93">
            <v>360</v>
          </cell>
          <cell r="H93">
            <v>1.183875</v>
          </cell>
          <cell r="I93">
            <v>1</v>
          </cell>
          <cell r="J93">
            <v>426.19499999999999</v>
          </cell>
          <cell r="K93">
            <v>2.25</v>
          </cell>
          <cell r="L93">
            <v>5.0000000000000001E-3</v>
          </cell>
          <cell r="M93">
            <v>0</v>
          </cell>
          <cell r="N93">
            <v>0</v>
          </cell>
          <cell r="O93">
            <v>0</v>
          </cell>
          <cell r="P93">
            <v>0.11</v>
          </cell>
          <cell r="Q93">
            <v>0</v>
          </cell>
          <cell r="R93">
            <v>0.62</v>
          </cell>
          <cell r="S93">
            <v>0</v>
          </cell>
          <cell r="T93">
            <v>0.73</v>
          </cell>
          <cell r="U93">
            <v>0</v>
          </cell>
          <cell r="V93">
            <v>0.25</v>
          </cell>
          <cell r="W93">
            <v>1</v>
          </cell>
          <cell r="X93">
            <v>1</v>
          </cell>
          <cell r="AT93">
            <v>1</v>
          </cell>
        </row>
        <row r="94">
          <cell r="C94">
            <v>4110</v>
          </cell>
          <cell r="D94" t="str">
            <v>EXCAVATION BY BACKHOE (D&lt;2M)</v>
          </cell>
          <cell r="E94" t="str">
            <v>M3</v>
          </cell>
          <cell r="F94">
            <v>0</v>
          </cell>
          <cell r="G94">
            <v>160</v>
          </cell>
          <cell r="H94">
            <v>1.183875</v>
          </cell>
          <cell r="I94">
            <v>1</v>
          </cell>
          <cell r="J94">
            <v>189.42000000000002</v>
          </cell>
          <cell r="K94">
            <v>2.25</v>
          </cell>
          <cell r="L94">
            <v>1.2E-2</v>
          </cell>
          <cell r="M94">
            <v>0</v>
          </cell>
          <cell r="N94">
            <v>0</v>
          </cell>
          <cell r="O94">
            <v>0</v>
          </cell>
          <cell r="P94">
            <v>0.24</v>
          </cell>
          <cell r="Q94">
            <v>0</v>
          </cell>
          <cell r="R94">
            <v>0.8</v>
          </cell>
          <cell r="S94">
            <v>0</v>
          </cell>
          <cell r="T94">
            <v>1.04</v>
          </cell>
          <cell r="U94">
            <v>0</v>
          </cell>
          <cell r="V94">
            <v>0.25</v>
          </cell>
          <cell r="W94">
            <v>1</v>
          </cell>
          <cell r="X94">
            <v>1</v>
          </cell>
          <cell r="AK94">
            <v>1</v>
          </cell>
        </row>
        <row r="95">
          <cell r="C95">
            <v>4120</v>
          </cell>
          <cell r="D95" t="str">
            <v>EXCAVATION BY BACKHOE (D&gt;2M)</v>
          </cell>
          <cell r="E95" t="str">
            <v>M3</v>
          </cell>
          <cell r="F95">
            <v>0</v>
          </cell>
          <cell r="G95">
            <v>150</v>
          </cell>
          <cell r="H95">
            <v>1.183875</v>
          </cell>
          <cell r="I95">
            <v>1</v>
          </cell>
          <cell r="J95">
            <v>177.58125000000001</v>
          </cell>
          <cell r="K95">
            <v>2.25</v>
          </cell>
          <cell r="L95">
            <v>1.2999999999999999E-2</v>
          </cell>
          <cell r="M95">
            <v>0</v>
          </cell>
          <cell r="N95">
            <v>0</v>
          </cell>
          <cell r="O95">
            <v>0</v>
          </cell>
          <cell r="P95">
            <v>0.26</v>
          </cell>
          <cell r="Q95">
            <v>0</v>
          </cell>
          <cell r="R95">
            <v>0.86</v>
          </cell>
          <cell r="S95">
            <v>0</v>
          </cell>
          <cell r="T95">
            <v>1.1200000000000001</v>
          </cell>
          <cell r="U95">
            <v>0</v>
          </cell>
          <cell r="V95">
            <v>0.25</v>
          </cell>
          <cell r="W95">
            <v>1</v>
          </cell>
          <cell r="X95">
            <v>1</v>
          </cell>
          <cell r="AK95">
            <v>1</v>
          </cell>
        </row>
        <row r="96">
          <cell r="C96">
            <v>4125</v>
          </cell>
          <cell r="D96" t="str">
            <v>EXCAVATION BY BACKHOE SUBCON.</v>
          </cell>
          <cell r="E96" t="str">
            <v>M3</v>
          </cell>
          <cell r="F96">
            <v>0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2.5000000000000001E-3</v>
          </cell>
          <cell r="L96">
            <v>3.0000000000000001E-3</v>
          </cell>
          <cell r="M96">
            <v>0</v>
          </cell>
          <cell r="N96">
            <v>1.6</v>
          </cell>
          <cell r="O96">
            <v>0</v>
          </cell>
          <cell r="P96">
            <v>0.04</v>
          </cell>
          <cell r="Q96">
            <v>0</v>
          </cell>
          <cell r="R96">
            <v>0</v>
          </cell>
          <cell r="S96">
            <v>0</v>
          </cell>
          <cell r="T96">
            <v>1.6400000000000001</v>
          </cell>
          <cell r="U96">
            <v>0</v>
          </cell>
          <cell r="W96">
            <v>2.5000000000000001E-3</v>
          </cell>
        </row>
        <row r="97">
          <cell r="C97">
            <v>4130</v>
          </cell>
          <cell r="D97" t="str">
            <v>EXCAVATION BY BACKHOE (LABOR 5%+EQUIP)</v>
          </cell>
          <cell r="E97" t="str">
            <v>M3</v>
          </cell>
          <cell r="F97">
            <v>0</v>
          </cell>
          <cell r="G97">
            <v>130</v>
          </cell>
          <cell r="H97">
            <v>1.183875</v>
          </cell>
          <cell r="I97">
            <v>1</v>
          </cell>
          <cell r="J97">
            <v>153.90375</v>
          </cell>
          <cell r="K97">
            <v>3.25</v>
          </cell>
          <cell r="L97">
            <v>2.1000000000000001E-2</v>
          </cell>
          <cell r="M97">
            <v>0</v>
          </cell>
          <cell r="N97">
            <v>0</v>
          </cell>
          <cell r="O97">
            <v>0</v>
          </cell>
          <cell r="P97">
            <v>0.4</v>
          </cell>
          <cell r="Q97">
            <v>0</v>
          </cell>
          <cell r="R97">
            <v>0.99</v>
          </cell>
          <cell r="S97">
            <v>0</v>
          </cell>
          <cell r="T97">
            <v>1.3900000000000001</v>
          </cell>
          <cell r="U97">
            <v>0</v>
          </cell>
          <cell r="V97">
            <v>0.25</v>
          </cell>
          <cell r="W97">
            <v>2</v>
          </cell>
          <cell r="X97">
            <v>1</v>
          </cell>
          <cell r="AK97">
            <v>1</v>
          </cell>
        </row>
        <row r="98">
          <cell r="C98">
            <v>4140</v>
          </cell>
          <cell r="D98" t="str">
            <v>TRENCH EXCA. BY BACKHOE</v>
          </cell>
          <cell r="E98" t="str">
            <v>M3</v>
          </cell>
          <cell r="F98">
            <v>0</v>
          </cell>
          <cell r="G98">
            <v>150</v>
          </cell>
          <cell r="H98">
            <v>1.183875</v>
          </cell>
          <cell r="I98">
            <v>1</v>
          </cell>
          <cell r="J98">
            <v>177.58125000000001</v>
          </cell>
          <cell r="K98">
            <v>2.25</v>
          </cell>
          <cell r="L98">
            <v>1.2999999999999999E-2</v>
          </cell>
          <cell r="M98">
            <v>0</v>
          </cell>
          <cell r="N98">
            <v>0</v>
          </cell>
          <cell r="O98">
            <v>0</v>
          </cell>
          <cell r="P98">
            <v>0.26</v>
          </cell>
          <cell r="Q98">
            <v>0</v>
          </cell>
          <cell r="R98">
            <v>0.86</v>
          </cell>
          <cell r="S98">
            <v>0</v>
          </cell>
          <cell r="T98">
            <v>1.1200000000000001</v>
          </cell>
          <cell r="U98">
            <v>0</v>
          </cell>
          <cell r="V98">
            <v>0.25</v>
          </cell>
          <cell r="W98">
            <v>1</v>
          </cell>
          <cell r="X98">
            <v>1</v>
          </cell>
          <cell r="AK98">
            <v>1</v>
          </cell>
        </row>
        <row r="99">
          <cell r="C99">
            <v>4150</v>
          </cell>
          <cell r="D99" t="str">
            <v>SMALL FDN EXCA BY BACKHOE</v>
          </cell>
          <cell r="E99" t="str">
            <v>M3</v>
          </cell>
          <cell r="F99">
            <v>0</v>
          </cell>
          <cell r="G99">
            <v>80</v>
          </cell>
          <cell r="H99">
            <v>1.183875</v>
          </cell>
          <cell r="I99">
            <v>1</v>
          </cell>
          <cell r="J99">
            <v>94.710000000000008</v>
          </cell>
          <cell r="K99">
            <v>2.25</v>
          </cell>
          <cell r="L99">
            <v>2.4E-2</v>
          </cell>
          <cell r="M99">
            <v>0</v>
          </cell>
          <cell r="N99">
            <v>0</v>
          </cell>
          <cell r="O99">
            <v>0</v>
          </cell>
          <cell r="P99">
            <v>0.48</v>
          </cell>
          <cell r="Q99">
            <v>0</v>
          </cell>
          <cell r="R99">
            <v>1.61</v>
          </cell>
          <cell r="S99">
            <v>0</v>
          </cell>
          <cell r="T99">
            <v>2.09</v>
          </cell>
          <cell r="U99">
            <v>0</v>
          </cell>
          <cell r="V99">
            <v>0.25</v>
          </cell>
          <cell r="W99">
            <v>1</v>
          </cell>
          <cell r="X99">
            <v>1</v>
          </cell>
          <cell r="AK99">
            <v>1</v>
          </cell>
        </row>
        <row r="100">
          <cell r="C100">
            <v>4160</v>
          </cell>
          <cell r="D100" t="str">
            <v>ROCK EXCA. BY DOZER</v>
          </cell>
          <cell r="E100" t="str">
            <v>M3</v>
          </cell>
          <cell r="F100">
            <v>0</v>
          </cell>
          <cell r="G100">
            <v>50</v>
          </cell>
          <cell r="H100">
            <v>1.183875</v>
          </cell>
          <cell r="I100">
            <v>1</v>
          </cell>
          <cell r="J100">
            <v>59.193750000000001</v>
          </cell>
          <cell r="K100">
            <v>2.4500000000000002</v>
          </cell>
          <cell r="L100">
            <v>4.1000000000000002E-2</v>
          </cell>
          <cell r="M100">
            <v>0</v>
          </cell>
          <cell r="N100">
            <v>0</v>
          </cell>
          <cell r="O100">
            <v>0</v>
          </cell>
          <cell r="P100">
            <v>0.85</v>
          </cell>
          <cell r="Q100">
            <v>0</v>
          </cell>
          <cell r="R100">
            <v>8.59</v>
          </cell>
          <cell r="S100">
            <v>0</v>
          </cell>
          <cell r="T100">
            <v>9.44</v>
          </cell>
          <cell r="U100">
            <v>0</v>
          </cell>
          <cell r="V100">
            <v>0.25</v>
          </cell>
          <cell r="W100">
            <v>1</v>
          </cell>
          <cell r="X100">
            <v>1.2</v>
          </cell>
          <cell r="AK100">
            <v>0.2</v>
          </cell>
          <cell r="AL100">
            <v>0.2</v>
          </cell>
          <cell r="AU100">
            <v>1</v>
          </cell>
          <cell r="BF100">
            <v>0.2</v>
          </cell>
        </row>
        <row r="101">
          <cell r="C101">
            <v>4170</v>
          </cell>
          <cell r="D101" t="str">
            <v>ROCK EXCA. BY BACKHOE</v>
          </cell>
          <cell r="E101" t="str">
            <v>M3</v>
          </cell>
          <cell r="F101">
            <v>0</v>
          </cell>
          <cell r="G101">
            <v>15</v>
          </cell>
          <cell r="H101">
            <v>1.183875</v>
          </cell>
          <cell r="I101">
            <v>1</v>
          </cell>
          <cell r="J101">
            <v>17.758125</v>
          </cell>
          <cell r="K101">
            <v>2.4500000000000002</v>
          </cell>
          <cell r="L101">
            <v>0.13800000000000001</v>
          </cell>
          <cell r="M101">
            <v>0</v>
          </cell>
          <cell r="N101">
            <v>0</v>
          </cell>
          <cell r="O101">
            <v>0</v>
          </cell>
          <cell r="P101">
            <v>2.84</v>
          </cell>
          <cell r="Q101">
            <v>0</v>
          </cell>
          <cell r="R101">
            <v>10</v>
          </cell>
          <cell r="S101">
            <v>0</v>
          </cell>
          <cell r="T101">
            <v>12.84</v>
          </cell>
          <cell r="U101">
            <v>0</v>
          </cell>
          <cell r="V101">
            <v>0.25</v>
          </cell>
          <cell r="W101">
            <v>1</v>
          </cell>
          <cell r="X101">
            <v>1.2</v>
          </cell>
          <cell r="AK101">
            <v>1</v>
          </cell>
          <cell r="AL101">
            <v>0.35</v>
          </cell>
          <cell r="BF101">
            <v>0.2</v>
          </cell>
        </row>
        <row r="102">
          <cell r="C102">
            <v>4175</v>
          </cell>
          <cell r="D102" t="str">
            <v>DREDGING  L=1000M EXCEPT DISPOSAL COST</v>
          </cell>
          <cell r="E102" t="str">
            <v>M3</v>
          </cell>
          <cell r="F102">
            <v>0</v>
          </cell>
          <cell r="G102">
            <v>2600</v>
          </cell>
          <cell r="H102">
            <v>1.183875</v>
          </cell>
          <cell r="I102">
            <v>1</v>
          </cell>
          <cell r="J102">
            <v>3078.0749999999998</v>
          </cell>
          <cell r="K102">
            <v>7</v>
          </cell>
          <cell r="L102">
            <v>2E-3</v>
          </cell>
          <cell r="M102">
            <v>0</v>
          </cell>
          <cell r="N102">
            <v>0</v>
          </cell>
          <cell r="O102">
            <v>0</v>
          </cell>
          <cell r="P102">
            <v>0.05</v>
          </cell>
          <cell r="Q102">
            <v>0</v>
          </cell>
          <cell r="R102">
            <v>5.7793263646922188</v>
          </cell>
          <cell r="S102">
            <v>0</v>
          </cell>
          <cell r="T102">
            <v>5.8293263646922187</v>
          </cell>
          <cell r="U102">
            <v>0</v>
          </cell>
          <cell r="V102">
            <v>1</v>
          </cell>
          <cell r="X102">
            <v>6</v>
          </cell>
        </row>
        <row r="103">
          <cell r="C103">
            <v>4180</v>
          </cell>
          <cell r="D103" t="str">
            <v>BACK FILL BY EQUIP</v>
          </cell>
          <cell r="E103" t="str">
            <v>M3</v>
          </cell>
          <cell r="F103">
            <v>0</v>
          </cell>
          <cell r="G103">
            <v>160</v>
          </cell>
          <cell r="H103">
            <v>1.183875</v>
          </cell>
          <cell r="I103">
            <v>1</v>
          </cell>
          <cell r="J103">
            <v>189.42000000000002</v>
          </cell>
          <cell r="K103">
            <v>5.75</v>
          </cell>
          <cell r="L103">
            <v>0.03</v>
          </cell>
          <cell r="M103">
            <v>0</v>
          </cell>
          <cell r="N103">
            <v>0</v>
          </cell>
          <cell r="O103">
            <v>0</v>
          </cell>
          <cell r="P103">
            <v>0.6</v>
          </cell>
          <cell r="Q103">
            <v>0</v>
          </cell>
          <cell r="R103">
            <v>1.7</v>
          </cell>
          <cell r="S103">
            <v>0</v>
          </cell>
          <cell r="T103">
            <v>2.2999999999999998</v>
          </cell>
          <cell r="U103">
            <v>0</v>
          </cell>
          <cell r="V103">
            <v>1</v>
          </cell>
          <cell r="W103">
            <v>3</v>
          </cell>
          <cell r="X103">
            <v>1</v>
          </cell>
          <cell r="Z103">
            <v>0.75</v>
          </cell>
          <cell r="AK103">
            <v>0.5</v>
          </cell>
          <cell r="AS103">
            <v>0.5</v>
          </cell>
          <cell r="AW103">
            <v>0.5</v>
          </cell>
          <cell r="AY103">
            <v>0.25</v>
          </cell>
        </row>
        <row r="104">
          <cell r="C104">
            <v>4185</v>
          </cell>
          <cell r="D104" t="str">
            <v>BACK FILL BY EQUIP  SUBCON.</v>
          </cell>
          <cell r="E104" t="str">
            <v>M3</v>
          </cell>
          <cell r="F104">
            <v>0</v>
          </cell>
          <cell r="G104">
            <v>1</v>
          </cell>
          <cell r="H104">
            <v>1</v>
          </cell>
          <cell r="I104">
            <v>1</v>
          </cell>
          <cell r="J104">
            <v>1</v>
          </cell>
          <cell r="K104">
            <v>2.5000000000000001E-3</v>
          </cell>
          <cell r="L104">
            <v>3.0000000000000001E-3</v>
          </cell>
          <cell r="M104">
            <v>0</v>
          </cell>
          <cell r="N104">
            <v>2.6666666666666665</v>
          </cell>
          <cell r="O104">
            <v>0</v>
          </cell>
          <cell r="P104">
            <v>0.04</v>
          </cell>
          <cell r="Q104">
            <v>0</v>
          </cell>
          <cell r="R104">
            <v>0</v>
          </cell>
          <cell r="S104">
            <v>0</v>
          </cell>
          <cell r="T104">
            <v>2.7066666666666666</v>
          </cell>
          <cell r="U104">
            <v>0</v>
          </cell>
          <cell r="W104">
            <v>2.5000000000000001E-3</v>
          </cell>
        </row>
        <row r="105">
          <cell r="C105">
            <v>4190</v>
          </cell>
          <cell r="D105" t="str">
            <v>BACK FILL BY PLATE COMPACTOR</v>
          </cell>
          <cell r="E105" t="str">
            <v>M3</v>
          </cell>
          <cell r="F105">
            <v>0</v>
          </cell>
          <cell r="G105">
            <v>165</v>
          </cell>
          <cell r="H105">
            <v>1.183875</v>
          </cell>
          <cell r="I105">
            <v>1</v>
          </cell>
          <cell r="J105">
            <v>195.33937499999999</v>
          </cell>
          <cell r="K105">
            <v>9.25</v>
          </cell>
          <cell r="L105">
            <v>4.7E-2</v>
          </cell>
          <cell r="M105">
            <v>0</v>
          </cell>
          <cell r="N105">
            <v>0</v>
          </cell>
          <cell r="O105">
            <v>0</v>
          </cell>
          <cell r="P105">
            <v>0.85</v>
          </cell>
          <cell r="Q105">
            <v>0</v>
          </cell>
          <cell r="R105">
            <v>1.08</v>
          </cell>
          <cell r="S105">
            <v>0</v>
          </cell>
          <cell r="T105">
            <v>1.9300000000000002</v>
          </cell>
          <cell r="U105">
            <v>0</v>
          </cell>
          <cell r="V105">
            <v>1</v>
          </cell>
          <cell r="W105">
            <v>7</v>
          </cell>
          <cell r="X105">
            <v>1</v>
          </cell>
          <cell r="Z105">
            <v>0.25</v>
          </cell>
          <cell r="AK105">
            <v>0.5</v>
          </cell>
          <cell r="AS105">
            <v>0.5</v>
          </cell>
          <cell r="AY105">
            <v>0.25</v>
          </cell>
        </row>
        <row r="106">
          <cell r="C106">
            <v>4200</v>
          </cell>
          <cell r="D106" t="str">
            <v>SAND FILLING FOR PIPING</v>
          </cell>
          <cell r="E106" t="str">
            <v>M3</v>
          </cell>
          <cell r="F106">
            <v>0</v>
          </cell>
          <cell r="G106">
            <v>150</v>
          </cell>
          <cell r="H106">
            <v>1.183875</v>
          </cell>
          <cell r="I106">
            <v>1</v>
          </cell>
          <cell r="J106">
            <v>177.58125000000001</v>
          </cell>
          <cell r="K106">
            <v>5.25</v>
          </cell>
          <cell r="L106">
            <v>0.03</v>
          </cell>
          <cell r="M106">
            <v>0</v>
          </cell>
          <cell r="N106">
            <v>6.3</v>
          </cell>
          <cell r="O106">
            <v>0</v>
          </cell>
          <cell r="P106">
            <v>0.57999999999999996</v>
          </cell>
          <cell r="Q106">
            <v>0</v>
          </cell>
          <cell r="R106">
            <v>1.19</v>
          </cell>
          <cell r="S106">
            <v>0</v>
          </cell>
          <cell r="T106">
            <v>8.07</v>
          </cell>
          <cell r="U106">
            <v>0</v>
          </cell>
          <cell r="V106">
            <v>1</v>
          </cell>
          <cell r="W106">
            <v>3</v>
          </cell>
          <cell r="X106">
            <v>1</v>
          </cell>
          <cell r="Z106">
            <v>0.25</v>
          </cell>
          <cell r="AK106">
            <v>0.5</v>
          </cell>
          <cell r="AS106">
            <v>0.5</v>
          </cell>
          <cell r="AY106">
            <v>0.25</v>
          </cell>
        </row>
        <row r="107">
          <cell r="C107">
            <v>4210</v>
          </cell>
          <cell r="D107" t="str">
            <v>SAND FILLING FOR ELECTRICAL</v>
          </cell>
          <cell r="E107" t="str">
            <v>M3</v>
          </cell>
          <cell r="F107">
            <v>0</v>
          </cell>
          <cell r="G107">
            <v>125</v>
          </cell>
          <cell r="H107">
            <v>1.183875</v>
          </cell>
          <cell r="I107">
            <v>1</v>
          </cell>
          <cell r="J107">
            <v>147.984375</v>
          </cell>
          <cell r="K107">
            <v>7.25</v>
          </cell>
          <cell r="L107">
            <v>4.9000000000000002E-2</v>
          </cell>
          <cell r="M107">
            <v>0</v>
          </cell>
          <cell r="N107">
            <v>8.7500000000000018</v>
          </cell>
          <cell r="O107">
            <v>0</v>
          </cell>
          <cell r="P107">
            <v>0.91</v>
          </cell>
          <cell r="Q107">
            <v>0</v>
          </cell>
          <cell r="R107">
            <v>1.42</v>
          </cell>
          <cell r="S107">
            <v>0</v>
          </cell>
          <cell r="T107">
            <v>11.080000000000002</v>
          </cell>
          <cell r="U107">
            <v>0</v>
          </cell>
          <cell r="V107">
            <v>1</v>
          </cell>
          <cell r="W107">
            <v>5</v>
          </cell>
          <cell r="X107">
            <v>1</v>
          </cell>
          <cell r="Z107">
            <v>0.25</v>
          </cell>
          <cell r="AK107">
            <v>0.5</v>
          </cell>
          <cell r="AS107">
            <v>0.5</v>
          </cell>
          <cell r="AY107">
            <v>0.25</v>
          </cell>
        </row>
        <row r="108">
          <cell r="C108">
            <v>4220</v>
          </cell>
          <cell r="D108" t="str">
            <v>ROCK CORW 1 TO 6 KG,TYPE A</v>
          </cell>
          <cell r="E108" t="str">
            <v>M3</v>
          </cell>
          <cell r="F108">
            <v>0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0.02</v>
          </cell>
          <cell r="L108">
            <v>0.02</v>
          </cell>
          <cell r="M108">
            <v>0</v>
          </cell>
          <cell r="N108">
            <v>22.666666666666668</v>
          </cell>
          <cell r="O108">
            <v>0</v>
          </cell>
          <cell r="P108">
            <v>0.32</v>
          </cell>
          <cell r="Q108">
            <v>0</v>
          </cell>
          <cell r="R108">
            <v>0</v>
          </cell>
          <cell r="S108">
            <v>0</v>
          </cell>
          <cell r="T108">
            <v>22.986666666666668</v>
          </cell>
          <cell r="U108">
            <v>0</v>
          </cell>
          <cell r="W108">
            <v>0.02</v>
          </cell>
        </row>
        <row r="109">
          <cell r="C109">
            <v>4230</v>
          </cell>
          <cell r="D109" t="str">
            <v>FILTER 10 TO 50 KG,TYPE A</v>
          </cell>
          <cell r="E109" t="str">
            <v>M3</v>
          </cell>
          <cell r="F109">
            <v>0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0.02</v>
          </cell>
          <cell r="L109">
            <v>0.02</v>
          </cell>
          <cell r="M109">
            <v>0</v>
          </cell>
          <cell r="N109">
            <v>28</v>
          </cell>
          <cell r="O109">
            <v>0</v>
          </cell>
          <cell r="P109">
            <v>0.32</v>
          </cell>
          <cell r="Q109">
            <v>0</v>
          </cell>
          <cell r="R109">
            <v>0</v>
          </cell>
          <cell r="S109">
            <v>0</v>
          </cell>
          <cell r="T109">
            <v>28.32</v>
          </cell>
          <cell r="U109">
            <v>0</v>
          </cell>
          <cell r="W109">
            <v>0.02</v>
          </cell>
        </row>
        <row r="110">
          <cell r="C110">
            <v>4240</v>
          </cell>
          <cell r="D110" t="str">
            <v>ARMOUR STONE 60 TO 150 KG,TYPE A</v>
          </cell>
          <cell r="E110" t="str">
            <v>M3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0.02</v>
          </cell>
          <cell r="L110">
            <v>0.02</v>
          </cell>
          <cell r="M110">
            <v>0</v>
          </cell>
          <cell r="N110">
            <v>38.666666666666664</v>
          </cell>
          <cell r="O110">
            <v>0</v>
          </cell>
          <cell r="P110">
            <v>0.32</v>
          </cell>
          <cell r="Q110">
            <v>0</v>
          </cell>
          <cell r="R110">
            <v>0</v>
          </cell>
          <cell r="S110">
            <v>0</v>
          </cell>
          <cell r="T110">
            <v>38.986666666666665</v>
          </cell>
          <cell r="U110">
            <v>0</v>
          </cell>
          <cell r="W110">
            <v>0.02</v>
          </cell>
        </row>
        <row r="111">
          <cell r="C111">
            <v>4250</v>
          </cell>
          <cell r="D111" t="str">
            <v>ROCK CORW 1 TO 6 KG,TYPE B</v>
          </cell>
          <cell r="E111" t="str">
            <v>M3</v>
          </cell>
          <cell r="F111">
            <v>0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0.02</v>
          </cell>
          <cell r="L111">
            <v>0.02</v>
          </cell>
          <cell r="M111">
            <v>0</v>
          </cell>
          <cell r="N111">
            <v>20</v>
          </cell>
          <cell r="O111">
            <v>0</v>
          </cell>
          <cell r="P111">
            <v>0.32</v>
          </cell>
          <cell r="Q111">
            <v>0</v>
          </cell>
          <cell r="R111">
            <v>0</v>
          </cell>
          <cell r="S111">
            <v>0</v>
          </cell>
          <cell r="T111">
            <v>20.32</v>
          </cell>
          <cell r="U111">
            <v>0</v>
          </cell>
          <cell r="W111">
            <v>0.02</v>
          </cell>
        </row>
        <row r="112">
          <cell r="C112">
            <v>4260</v>
          </cell>
          <cell r="D112" t="str">
            <v>FILTER 10 TO 50 KG,TYPE B</v>
          </cell>
          <cell r="E112" t="str">
            <v>M3</v>
          </cell>
          <cell r="F112">
            <v>0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0.02</v>
          </cell>
          <cell r="L112">
            <v>0.02</v>
          </cell>
          <cell r="M112">
            <v>0</v>
          </cell>
          <cell r="N112">
            <v>25.333333333333332</v>
          </cell>
          <cell r="O112">
            <v>0</v>
          </cell>
          <cell r="P112">
            <v>0.32</v>
          </cell>
          <cell r="Q112">
            <v>0</v>
          </cell>
          <cell r="R112">
            <v>0</v>
          </cell>
          <cell r="S112">
            <v>0</v>
          </cell>
          <cell r="T112">
            <v>25.653333333333332</v>
          </cell>
          <cell r="U112">
            <v>0</v>
          </cell>
          <cell r="W112">
            <v>0.02</v>
          </cell>
        </row>
        <row r="113">
          <cell r="C113">
            <v>4270</v>
          </cell>
          <cell r="D113" t="str">
            <v>ARMOUR STONE 60 TO 150 KG,TYPE B</v>
          </cell>
          <cell r="E113" t="str">
            <v>M3</v>
          </cell>
          <cell r="F113">
            <v>0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0.02</v>
          </cell>
          <cell r="L113">
            <v>0.02</v>
          </cell>
          <cell r="M113">
            <v>0</v>
          </cell>
          <cell r="N113">
            <v>36</v>
          </cell>
          <cell r="O113">
            <v>0</v>
          </cell>
          <cell r="P113">
            <v>0.32</v>
          </cell>
          <cell r="Q113">
            <v>0</v>
          </cell>
          <cell r="R113">
            <v>0</v>
          </cell>
          <cell r="S113">
            <v>0</v>
          </cell>
          <cell r="T113">
            <v>36.32</v>
          </cell>
          <cell r="U113">
            <v>0</v>
          </cell>
          <cell r="W113">
            <v>0.02</v>
          </cell>
        </row>
        <row r="114">
          <cell r="C114">
            <v>4280</v>
          </cell>
          <cell r="D114" t="str">
            <v>ROCK CORW 1 TO 6 KG,TYPE C</v>
          </cell>
          <cell r="E114" t="str">
            <v>M3</v>
          </cell>
          <cell r="F114">
            <v>0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0.02</v>
          </cell>
          <cell r="L114">
            <v>0.02</v>
          </cell>
          <cell r="M114">
            <v>0</v>
          </cell>
          <cell r="N114">
            <v>17.333333333333332</v>
          </cell>
          <cell r="O114">
            <v>0</v>
          </cell>
          <cell r="P114">
            <v>0.32</v>
          </cell>
          <cell r="Q114">
            <v>0</v>
          </cell>
          <cell r="R114">
            <v>0</v>
          </cell>
          <cell r="S114">
            <v>0</v>
          </cell>
          <cell r="T114">
            <v>17.653333333333332</v>
          </cell>
          <cell r="U114">
            <v>0</v>
          </cell>
          <cell r="W114">
            <v>0.02</v>
          </cell>
        </row>
        <row r="115">
          <cell r="C115">
            <v>4290</v>
          </cell>
          <cell r="D115" t="str">
            <v>FILTER 10 TO 50 KG,TYPE C</v>
          </cell>
          <cell r="E115" t="str">
            <v>M3</v>
          </cell>
          <cell r="F115">
            <v>0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0.02</v>
          </cell>
          <cell r="L115">
            <v>0.02</v>
          </cell>
          <cell r="M115">
            <v>0</v>
          </cell>
          <cell r="N115">
            <v>22.666666666666668</v>
          </cell>
          <cell r="O115">
            <v>0</v>
          </cell>
          <cell r="P115">
            <v>0.32</v>
          </cell>
          <cell r="Q115">
            <v>0</v>
          </cell>
          <cell r="R115">
            <v>0</v>
          </cell>
          <cell r="S115">
            <v>0</v>
          </cell>
          <cell r="T115">
            <v>22.986666666666668</v>
          </cell>
          <cell r="U115">
            <v>0</v>
          </cell>
          <cell r="W115">
            <v>0.02</v>
          </cell>
        </row>
        <row r="116">
          <cell r="C116">
            <v>4300</v>
          </cell>
          <cell r="D116" t="str">
            <v>ARMOUR STONE 900 TO 1500 KG,TYPE C</v>
          </cell>
          <cell r="E116" t="str">
            <v>M3</v>
          </cell>
          <cell r="F116">
            <v>0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0.02</v>
          </cell>
          <cell r="L116">
            <v>0.02</v>
          </cell>
          <cell r="M116">
            <v>0</v>
          </cell>
          <cell r="N116">
            <v>33.333333333333336</v>
          </cell>
          <cell r="O116">
            <v>0</v>
          </cell>
          <cell r="P116">
            <v>0.32</v>
          </cell>
          <cell r="Q116">
            <v>0</v>
          </cell>
          <cell r="R116">
            <v>0</v>
          </cell>
          <cell r="S116">
            <v>0</v>
          </cell>
          <cell r="T116">
            <v>33.653333333333336</v>
          </cell>
          <cell r="U116">
            <v>0</v>
          </cell>
          <cell r="W116">
            <v>0.02</v>
          </cell>
        </row>
        <row r="117">
          <cell r="C117">
            <v>4310</v>
          </cell>
          <cell r="D117" t="str">
            <v>ROCK CORE 1 TO 6 KG OUT FALL</v>
          </cell>
          <cell r="E117" t="str">
            <v>M3</v>
          </cell>
          <cell r="F117">
            <v>0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0.02</v>
          </cell>
          <cell r="L117">
            <v>0.02</v>
          </cell>
          <cell r="M117">
            <v>0</v>
          </cell>
          <cell r="N117">
            <v>17.333333333333332</v>
          </cell>
          <cell r="O117">
            <v>0</v>
          </cell>
          <cell r="P117">
            <v>0.32</v>
          </cell>
          <cell r="Q117">
            <v>0</v>
          </cell>
          <cell r="R117">
            <v>0</v>
          </cell>
          <cell r="S117">
            <v>0</v>
          </cell>
          <cell r="T117">
            <v>17.653333333333332</v>
          </cell>
          <cell r="U117">
            <v>0</v>
          </cell>
          <cell r="W117">
            <v>0.02</v>
          </cell>
        </row>
        <row r="118">
          <cell r="C118">
            <v>4320</v>
          </cell>
          <cell r="D118" t="str">
            <v>FILTER 10 TO 50 KG,FOR OUTFAIL</v>
          </cell>
          <cell r="E118" t="str">
            <v>M3</v>
          </cell>
          <cell r="F118">
            <v>0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0.02</v>
          </cell>
          <cell r="L118">
            <v>0.02</v>
          </cell>
          <cell r="M118">
            <v>0</v>
          </cell>
          <cell r="N118">
            <v>22.666666666666668</v>
          </cell>
          <cell r="O118">
            <v>0</v>
          </cell>
          <cell r="P118">
            <v>0.32</v>
          </cell>
          <cell r="Q118">
            <v>0</v>
          </cell>
          <cell r="R118">
            <v>0</v>
          </cell>
          <cell r="S118">
            <v>0</v>
          </cell>
          <cell r="T118">
            <v>22.986666666666668</v>
          </cell>
          <cell r="U118">
            <v>0</v>
          </cell>
          <cell r="W118">
            <v>0.02</v>
          </cell>
        </row>
        <row r="119">
          <cell r="C119">
            <v>4330</v>
          </cell>
          <cell r="D119" t="str">
            <v>ARMOUR STONE 60 TO 150 KG,FOR OUTFALL</v>
          </cell>
          <cell r="E119" t="str">
            <v>M3</v>
          </cell>
          <cell r="F119">
            <v>0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0.02</v>
          </cell>
          <cell r="L119">
            <v>0.02</v>
          </cell>
          <cell r="M119">
            <v>0</v>
          </cell>
          <cell r="N119">
            <v>33.333333333333336</v>
          </cell>
          <cell r="O119">
            <v>0</v>
          </cell>
          <cell r="P119">
            <v>0.32</v>
          </cell>
          <cell r="Q119">
            <v>0</v>
          </cell>
          <cell r="R119">
            <v>0</v>
          </cell>
          <cell r="S119">
            <v>0</v>
          </cell>
          <cell r="T119">
            <v>33.653333333333336</v>
          </cell>
          <cell r="U119">
            <v>0</v>
          </cell>
          <cell r="W119">
            <v>0.02</v>
          </cell>
        </row>
        <row r="120">
          <cell r="C120">
            <v>4340</v>
          </cell>
          <cell r="D120" t="str">
            <v>RIPLAP</v>
          </cell>
          <cell r="E120" t="str">
            <v>M3</v>
          </cell>
          <cell r="F120">
            <v>0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0.02</v>
          </cell>
          <cell r="L120">
            <v>0.02</v>
          </cell>
          <cell r="M120">
            <v>0</v>
          </cell>
          <cell r="N120">
            <v>53.333333333333336</v>
          </cell>
          <cell r="O120">
            <v>0</v>
          </cell>
          <cell r="P120">
            <v>0.32</v>
          </cell>
          <cell r="Q120">
            <v>0</v>
          </cell>
          <cell r="R120">
            <v>0</v>
          </cell>
          <cell r="S120">
            <v>0</v>
          </cell>
          <cell r="T120">
            <v>53.653333333333336</v>
          </cell>
          <cell r="U120">
            <v>0</v>
          </cell>
          <cell r="W120">
            <v>0.02</v>
          </cell>
        </row>
        <row r="121">
          <cell r="C121">
            <v>4350</v>
          </cell>
          <cell r="D121" t="str">
            <v>LOADING BY PAYLOADER  E=600 CS=300 S=700</v>
          </cell>
          <cell r="E121" t="str">
            <v>M3</v>
          </cell>
          <cell r="F121">
            <v>0</v>
          </cell>
          <cell r="G121">
            <v>500</v>
          </cell>
          <cell r="H121">
            <v>1.183875</v>
          </cell>
          <cell r="I121">
            <v>1</v>
          </cell>
          <cell r="J121">
            <v>591.9375</v>
          </cell>
          <cell r="K121">
            <v>2</v>
          </cell>
          <cell r="L121">
            <v>3.0000000000000001E-3</v>
          </cell>
          <cell r="M121">
            <v>0</v>
          </cell>
          <cell r="N121">
            <v>0</v>
          </cell>
          <cell r="O121">
            <v>0</v>
          </cell>
          <cell r="P121">
            <v>7.0000000000000007E-2</v>
          </cell>
          <cell r="Q121">
            <v>0</v>
          </cell>
          <cell r="R121">
            <v>0.38</v>
          </cell>
          <cell r="S121">
            <v>0</v>
          </cell>
          <cell r="T121">
            <v>0.45</v>
          </cell>
          <cell r="U121">
            <v>0</v>
          </cell>
          <cell r="W121">
            <v>1</v>
          </cell>
          <cell r="X121">
            <v>1</v>
          </cell>
          <cell r="AS121">
            <v>1</v>
          </cell>
        </row>
        <row r="122">
          <cell r="C122">
            <v>4360</v>
          </cell>
          <cell r="D122" t="str">
            <v>DISPOSAL   SUBCON.</v>
          </cell>
          <cell r="E122" t="str">
            <v>M3</v>
          </cell>
          <cell r="F122">
            <v>0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0</v>
          </cell>
          <cell r="L122">
            <v>0</v>
          </cell>
          <cell r="M122">
            <v>0</v>
          </cell>
          <cell r="N122">
            <v>0.53333333333333333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0.53333333333333333</v>
          </cell>
          <cell r="U122">
            <v>0</v>
          </cell>
        </row>
        <row r="123">
          <cell r="C123">
            <v>4370</v>
          </cell>
          <cell r="D123" t="str">
            <v>HAULING OR DISPOSAL BY D.T.L=.25KM E=230 CS=210 S=250</v>
          </cell>
          <cell r="E123" t="str">
            <v>M3</v>
          </cell>
          <cell r="F123">
            <v>0</v>
          </cell>
          <cell r="G123">
            <v>115</v>
          </cell>
          <cell r="H123">
            <v>1.183875</v>
          </cell>
          <cell r="I123">
            <v>1</v>
          </cell>
          <cell r="J123">
            <v>136.145625</v>
          </cell>
          <cell r="K123">
            <v>1</v>
          </cell>
          <cell r="L123">
            <v>7.0000000000000001E-3</v>
          </cell>
          <cell r="M123">
            <v>0</v>
          </cell>
          <cell r="N123">
            <v>0</v>
          </cell>
          <cell r="O123">
            <v>0</v>
          </cell>
          <cell r="P123">
            <v>0.16</v>
          </cell>
          <cell r="Q123">
            <v>0</v>
          </cell>
          <cell r="R123">
            <v>1.35</v>
          </cell>
          <cell r="S123">
            <v>0</v>
          </cell>
          <cell r="T123">
            <v>1.51</v>
          </cell>
          <cell r="U123">
            <v>0</v>
          </cell>
          <cell r="Z123">
            <v>1</v>
          </cell>
          <cell r="AM123">
            <v>1</v>
          </cell>
        </row>
        <row r="124">
          <cell r="C124">
            <v>4380</v>
          </cell>
          <cell r="D124" t="str">
            <v>HAULING OR DISPOSAL BY D.T.L=.5KM E=210 CS=180 S=220</v>
          </cell>
          <cell r="E124" t="str">
            <v>M3</v>
          </cell>
          <cell r="F124">
            <v>0</v>
          </cell>
          <cell r="G124">
            <v>105</v>
          </cell>
          <cell r="H124">
            <v>1.183875</v>
          </cell>
          <cell r="I124">
            <v>1</v>
          </cell>
          <cell r="J124">
            <v>124.30687500000001</v>
          </cell>
          <cell r="K124">
            <v>1</v>
          </cell>
          <cell r="L124">
            <v>8.0000000000000002E-3</v>
          </cell>
          <cell r="M124">
            <v>0</v>
          </cell>
          <cell r="N124">
            <v>0</v>
          </cell>
          <cell r="O124">
            <v>0</v>
          </cell>
          <cell r="P124">
            <v>0.17</v>
          </cell>
          <cell r="Q124">
            <v>0</v>
          </cell>
          <cell r="R124">
            <v>1.48</v>
          </cell>
          <cell r="S124">
            <v>0</v>
          </cell>
          <cell r="T124">
            <v>1.65</v>
          </cell>
          <cell r="U124">
            <v>0</v>
          </cell>
          <cell r="Z124">
            <v>1</v>
          </cell>
          <cell r="AM124">
            <v>1</v>
          </cell>
        </row>
        <row r="125">
          <cell r="C125">
            <v>4390</v>
          </cell>
          <cell r="D125" t="str">
            <v>HAULING OR DISPOSAL BY D.T.L=1KM E=170 CS=140 S=190</v>
          </cell>
          <cell r="E125" t="str">
            <v>M3</v>
          </cell>
          <cell r="F125">
            <v>0</v>
          </cell>
          <cell r="G125">
            <v>100</v>
          </cell>
          <cell r="H125">
            <v>1.183875</v>
          </cell>
          <cell r="I125">
            <v>1</v>
          </cell>
          <cell r="J125">
            <v>118.3875</v>
          </cell>
          <cell r="K125">
            <v>1</v>
          </cell>
          <cell r="L125">
            <v>8.0000000000000002E-3</v>
          </cell>
          <cell r="M125">
            <v>0</v>
          </cell>
          <cell r="N125">
            <v>0</v>
          </cell>
          <cell r="O125">
            <v>0</v>
          </cell>
          <cell r="P125">
            <v>0.18</v>
          </cell>
          <cell r="Q125">
            <v>0</v>
          </cell>
          <cell r="R125">
            <v>1.55</v>
          </cell>
          <cell r="S125">
            <v>0</v>
          </cell>
          <cell r="T125">
            <v>1.73</v>
          </cell>
          <cell r="U125">
            <v>0</v>
          </cell>
          <cell r="Z125">
            <v>1</v>
          </cell>
          <cell r="AM125">
            <v>1</v>
          </cell>
        </row>
        <row r="126">
          <cell r="C126">
            <v>4400</v>
          </cell>
          <cell r="D126" t="str">
            <v>HAULING OR DISPOSAL BY D.T.L=2KM E=150 CS=125 S=170</v>
          </cell>
          <cell r="E126" t="str">
            <v>M3</v>
          </cell>
          <cell r="F126">
            <v>0</v>
          </cell>
          <cell r="G126">
            <v>95</v>
          </cell>
          <cell r="H126">
            <v>1.183875</v>
          </cell>
          <cell r="I126">
            <v>1</v>
          </cell>
          <cell r="J126">
            <v>112.468125</v>
          </cell>
          <cell r="K126">
            <v>1</v>
          </cell>
          <cell r="L126">
            <v>8.9999999999999993E-3</v>
          </cell>
          <cell r="M126">
            <v>0</v>
          </cell>
          <cell r="N126">
            <v>0</v>
          </cell>
          <cell r="O126">
            <v>0</v>
          </cell>
          <cell r="P126">
            <v>0.19</v>
          </cell>
          <cell r="Q126">
            <v>0</v>
          </cell>
          <cell r="R126">
            <v>1.63</v>
          </cell>
          <cell r="S126">
            <v>0</v>
          </cell>
          <cell r="T126">
            <v>1.8199999999999998</v>
          </cell>
          <cell r="U126">
            <v>0</v>
          </cell>
          <cell r="Z126">
            <v>1</v>
          </cell>
          <cell r="AM126">
            <v>1</v>
          </cell>
        </row>
        <row r="127">
          <cell r="C127">
            <v>4410</v>
          </cell>
          <cell r="D127" t="str">
            <v>HAULING OR DISPOSAL BY D.T.L=4KM E=130 CS=100 S=140</v>
          </cell>
          <cell r="E127" t="str">
            <v>M3</v>
          </cell>
          <cell r="F127">
            <v>0</v>
          </cell>
          <cell r="G127">
            <v>90</v>
          </cell>
          <cell r="H127">
            <v>1.183875</v>
          </cell>
          <cell r="I127">
            <v>1</v>
          </cell>
          <cell r="J127">
            <v>106.54875</v>
          </cell>
          <cell r="K127">
            <v>1</v>
          </cell>
          <cell r="L127">
            <v>8.9999999999999993E-3</v>
          </cell>
          <cell r="M127">
            <v>0</v>
          </cell>
          <cell r="N127">
            <v>0</v>
          </cell>
          <cell r="O127">
            <v>0</v>
          </cell>
          <cell r="P127">
            <v>0.2</v>
          </cell>
          <cell r="Q127">
            <v>0</v>
          </cell>
          <cell r="R127">
            <v>1.72</v>
          </cell>
          <cell r="S127">
            <v>0</v>
          </cell>
          <cell r="T127">
            <v>1.92</v>
          </cell>
          <cell r="U127">
            <v>0</v>
          </cell>
          <cell r="Z127">
            <v>1</v>
          </cell>
          <cell r="AM127">
            <v>1</v>
          </cell>
        </row>
        <row r="128">
          <cell r="C128">
            <v>4420</v>
          </cell>
          <cell r="D128" t="str">
            <v>HAULING OR DISPOSAL BY D.T.L=6KM E=85 CS=65 S=100</v>
          </cell>
          <cell r="E128" t="str">
            <v>M3</v>
          </cell>
          <cell r="F128">
            <v>0</v>
          </cell>
          <cell r="G128">
            <v>80</v>
          </cell>
          <cell r="H128">
            <v>1.183875</v>
          </cell>
          <cell r="I128">
            <v>1</v>
          </cell>
          <cell r="J128">
            <v>94.710000000000008</v>
          </cell>
          <cell r="K128">
            <v>1</v>
          </cell>
          <cell r="L128">
            <v>1.0999999999999999E-2</v>
          </cell>
          <cell r="M128">
            <v>0</v>
          </cell>
          <cell r="N128">
            <v>0</v>
          </cell>
          <cell r="O128">
            <v>0</v>
          </cell>
          <cell r="P128">
            <v>0.22</v>
          </cell>
          <cell r="Q128">
            <v>0</v>
          </cell>
          <cell r="R128">
            <v>1.94</v>
          </cell>
          <cell r="S128">
            <v>0</v>
          </cell>
          <cell r="T128">
            <v>2.16</v>
          </cell>
          <cell r="U128">
            <v>0</v>
          </cell>
          <cell r="Z128">
            <v>1</v>
          </cell>
          <cell r="AM128">
            <v>1</v>
          </cell>
        </row>
        <row r="129">
          <cell r="C129">
            <v>4430</v>
          </cell>
          <cell r="D129" t="str">
            <v>HAULING OR DISPOSAL BY D.T.L=8KM E=65 CS=60 S=85</v>
          </cell>
          <cell r="E129" t="str">
            <v>M3</v>
          </cell>
          <cell r="F129">
            <v>0</v>
          </cell>
          <cell r="G129">
            <v>75</v>
          </cell>
          <cell r="H129">
            <v>1.183875</v>
          </cell>
          <cell r="I129">
            <v>1</v>
          </cell>
          <cell r="J129">
            <v>88.790625000000006</v>
          </cell>
          <cell r="K129">
            <v>1</v>
          </cell>
          <cell r="L129">
            <v>1.0999999999999999E-2</v>
          </cell>
          <cell r="M129">
            <v>0</v>
          </cell>
          <cell r="N129">
            <v>0</v>
          </cell>
          <cell r="O129">
            <v>0</v>
          </cell>
          <cell r="P129">
            <v>0.24</v>
          </cell>
          <cell r="Q129">
            <v>0</v>
          </cell>
          <cell r="R129">
            <v>2.0699999999999998</v>
          </cell>
          <cell r="S129">
            <v>0</v>
          </cell>
          <cell r="T129">
            <v>2.3099999999999996</v>
          </cell>
          <cell r="U129">
            <v>0</v>
          </cell>
          <cell r="Z129">
            <v>1</v>
          </cell>
          <cell r="AM129">
            <v>1</v>
          </cell>
        </row>
        <row r="130">
          <cell r="C130">
            <v>4440</v>
          </cell>
          <cell r="D130" t="str">
            <v>HAULING OR DISPOSAL BY D.T.L=10KM E=60 CS=50 S=70</v>
          </cell>
          <cell r="E130" t="str">
            <v>M3</v>
          </cell>
          <cell r="F130">
            <v>0</v>
          </cell>
          <cell r="G130">
            <v>50</v>
          </cell>
          <cell r="H130">
            <v>1.183875</v>
          </cell>
          <cell r="I130">
            <v>1</v>
          </cell>
          <cell r="J130">
            <v>59.193750000000001</v>
          </cell>
          <cell r="K130">
            <v>1</v>
          </cell>
          <cell r="L130">
            <v>1.7000000000000001E-2</v>
          </cell>
          <cell r="M130">
            <v>0</v>
          </cell>
          <cell r="N130">
            <v>0</v>
          </cell>
          <cell r="O130">
            <v>0</v>
          </cell>
          <cell r="P130">
            <v>0.36</v>
          </cell>
          <cell r="Q130">
            <v>0</v>
          </cell>
          <cell r="R130">
            <v>3.1</v>
          </cell>
          <cell r="S130">
            <v>0</v>
          </cell>
          <cell r="T130">
            <v>3.46</v>
          </cell>
          <cell r="U130">
            <v>0</v>
          </cell>
          <cell r="Z130">
            <v>1</v>
          </cell>
          <cell r="AM130">
            <v>1</v>
          </cell>
        </row>
        <row r="131">
          <cell r="C131">
            <v>4450</v>
          </cell>
          <cell r="D131" t="str">
            <v>HAULING OR DISPOSAL BY D.T.L=20KM E=40 CS=35 S=60</v>
          </cell>
          <cell r="E131" t="str">
            <v>M3</v>
          </cell>
          <cell r="F131">
            <v>0</v>
          </cell>
          <cell r="G131">
            <v>45</v>
          </cell>
          <cell r="H131">
            <v>1.183875</v>
          </cell>
          <cell r="I131">
            <v>1</v>
          </cell>
          <cell r="J131">
            <v>53.274374999999999</v>
          </cell>
          <cell r="K131">
            <v>1</v>
          </cell>
          <cell r="L131">
            <v>1.9E-2</v>
          </cell>
          <cell r="M131">
            <v>0</v>
          </cell>
          <cell r="N131">
            <v>0</v>
          </cell>
          <cell r="O131">
            <v>0</v>
          </cell>
          <cell r="P131">
            <v>0.4</v>
          </cell>
          <cell r="Q131">
            <v>0</v>
          </cell>
          <cell r="R131">
            <v>3.44</v>
          </cell>
          <cell r="S131">
            <v>0</v>
          </cell>
          <cell r="T131">
            <v>3.84</v>
          </cell>
          <cell r="U131">
            <v>0</v>
          </cell>
          <cell r="Z131">
            <v>1</v>
          </cell>
          <cell r="AM131">
            <v>1</v>
          </cell>
        </row>
        <row r="132">
          <cell r="C132">
            <v>4460</v>
          </cell>
          <cell r="D132" t="str">
            <v>HAULING OR DISPOSAL BY D.T.L=25KM E=30 CS=25 S=40</v>
          </cell>
          <cell r="E132" t="str">
            <v>M3</v>
          </cell>
          <cell r="F132">
            <v>0</v>
          </cell>
          <cell r="G132">
            <v>40</v>
          </cell>
          <cell r="H132">
            <v>1.183875</v>
          </cell>
          <cell r="I132">
            <v>1</v>
          </cell>
          <cell r="J132">
            <v>47.355000000000004</v>
          </cell>
          <cell r="K132">
            <v>1</v>
          </cell>
          <cell r="L132">
            <v>2.1000000000000001E-2</v>
          </cell>
          <cell r="M132">
            <v>0</v>
          </cell>
          <cell r="N132">
            <v>0</v>
          </cell>
          <cell r="O132">
            <v>0</v>
          </cell>
          <cell r="P132">
            <v>0.45</v>
          </cell>
          <cell r="Q132">
            <v>0</v>
          </cell>
          <cell r="R132">
            <v>3.87</v>
          </cell>
          <cell r="S132">
            <v>0</v>
          </cell>
          <cell r="T132">
            <v>4.32</v>
          </cell>
          <cell r="U132">
            <v>0</v>
          </cell>
          <cell r="Z132">
            <v>1</v>
          </cell>
          <cell r="AM132">
            <v>1</v>
          </cell>
        </row>
        <row r="133">
          <cell r="G133" t="str">
            <v>BASE</v>
          </cell>
          <cell r="H133" t="str">
            <v>SITE</v>
          </cell>
          <cell r="I133" t="str">
            <v>UNIT</v>
          </cell>
          <cell r="J133" t="str">
            <v>BASE</v>
          </cell>
          <cell r="K133" t="str">
            <v>BASE</v>
          </cell>
          <cell r="L133" t="str">
            <v>UNIT M/D</v>
          </cell>
          <cell r="M133" t="str">
            <v>SUB-TOT.</v>
          </cell>
          <cell r="N133" t="str">
            <v>MAT</v>
          </cell>
          <cell r="O133" t="str">
            <v>MAT</v>
          </cell>
          <cell r="P133" t="str">
            <v>LABOUR</v>
          </cell>
          <cell r="Q133" t="str">
            <v>LABOUR</v>
          </cell>
          <cell r="R133" t="str">
            <v>EQUIP.</v>
          </cell>
          <cell r="S133" t="str">
            <v>EQUIP.</v>
          </cell>
          <cell r="T133" t="str">
            <v>UNIT</v>
          </cell>
          <cell r="V133" t="str">
            <v>FOREMAN</v>
          </cell>
          <cell r="W133" t="str">
            <v>LABOUR</v>
          </cell>
          <cell r="X133" t="str">
            <v>EQUIP.</v>
          </cell>
          <cell r="Y133" t="str">
            <v>M/C</v>
          </cell>
          <cell r="Z133" t="str">
            <v>DRIVER</v>
          </cell>
          <cell r="AA133" t="str">
            <v>PAVIOR</v>
          </cell>
          <cell r="AB133" t="str">
            <v>CONC.</v>
          </cell>
          <cell r="AC133" t="str">
            <v>PLASTER/</v>
          </cell>
          <cell r="AD133" t="str">
            <v>REBAR</v>
          </cell>
          <cell r="AE133" t="str">
            <v>CARPENTER</v>
          </cell>
          <cell r="AF133" t="str">
            <v>RIGGER/</v>
          </cell>
          <cell r="AG133" t="str">
            <v>STEEL</v>
          </cell>
          <cell r="AH133" t="str">
            <v>A/C</v>
          </cell>
          <cell r="AI133" t="str">
            <v>PAINTER</v>
          </cell>
          <cell r="AJ133" t="str">
            <v>PLUMBER/</v>
          </cell>
          <cell r="AK133" t="str">
            <v>BACKHOE</v>
          </cell>
          <cell r="AL133" t="str">
            <v>HYDRO</v>
          </cell>
          <cell r="AM133" t="str">
            <v>DUMP</v>
          </cell>
          <cell r="AN133" t="str">
            <v>CRANE</v>
          </cell>
          <cell r="AO133" t="str">
            <v>CRANE</v>
          </cell>
          <cell r="AP133" t="str">
            <v>DIESEL</v>
          </cell>
          <cell r="AQ133" t="str">
            <v>VIB.</v>
          </cell>
          <cell r="AR133" t="str">
            <v>AUGER</v>
          </cell>
          <cell r="AS133" t="str">
            <v>PAY</v>
          </cell>
          <cell r="AT133" t="str">
            <v>DOZER</v>
          </cell>
          <cell r="AU133" t="str">
            <v>DOZER</v>
          </cell>
          <cell r="AV133" t="str">
            <v>GRADER</v>
          </cell>
          <cell r="AW133" t="str">
            <v>VIB.</v>
          </cell>
          <cell r="AX133" t="str">
            <v>CONC.</v>
          </cell>
          <cell r="AY133" t="str">
            <v>WATER</v>
          </cell>
          <cell r="AZ133" t="str">
            <v>CONC</v>
          </cell>
          <cell r="BA133" t="str">
            <v>CONC.</v>
          </cell>
          <cell r="BB133" t="str">
            <v>BAR BENDER/</v>
          </cell>
          <cell r="BC133" t="str">
            <v>ASPHALT</v>
          </cell>
          <cell r="BD133" t="str">
            <v>ASPHALT</v>
          </cell>
          <cell r="BE133" t="str">
            <v>TIRE</v>
          </cell>
          <cell r="BF133" t="str">
            <v>AIR</v>
          </cell>
          <cell r="BG133" t="str">
            <v>CARGO</v>
          </cell>
          <cell r="BH133" t="str">
            <v>FORK</v>
          </cell>
          <cell r="BI133" t="str">
            <v>CONC</v>
          </cell>
          <cell r="BJ133" t="str">
            <v>WELDING</v>
          </cell>
          <cell r="BK133" t="str">
            <v>WELDING</v>
          </cell>
          <cell r="BL133" t="str">
            <v>GENERATOR</v>
          </cell>
          <cell r="BM133" t="str">
            <v>AIR</v>
          </cell>
          <cell r="BN133" t="str">
            <v>GUNNITE</v>
          </cell>
        </row>
        <row r="134">
          <cell r="C134" t="str">
            <v>CODE NO.</v>
          </cell>
          <cell r="D134" t="str">
            <v>WORK ITEM</v>
          </cell>
          <cell r="E134" t="str">
            <v>UNIT</v>
          </cell>
          <cell r="F134" t="str">
            <v>Q'TY</v>
          </cell>
          <cell r="G134" t="str">
            <v>VOL.</v>
          </cell>
          <cell r="H134" t="str">
            <v>CONDITION</v>
          </cell>
          <cell r="I134" t="str">
            <v>CHANGE</v>
          </cell>
          <cell r="J134" t="str">
            <v>VOL.</v>
          </cell>
          <cell r="K134" t="str">
            <v>M/D</v>
          </cell>
          <cell r="L134" t="str">
            <v>BASE</v>
          </cell>
          <cell r="M134" t="str">
            <v>M/D</v>
          </cell>
          <cell r="N134" t="str">
            <v>U/P</v>
          </cell>
          <cell r="O134" t="str">
            <v>COST</v>
          </cell>
          <cell r="P134" t="str">
            <v>U/P</v>
          </cell>
          <cell r="Q134" t="str">
            <v>COST</v>
          </cell>
          <cell r="R134" t="str">
            <v>U/P</v>
          </cell>
          <cell r="S134" t="str">
            <v>COST</v>
          </cell>
          <cell r="T134" t="str">
            <v>TOTAL</v>
          </cell>
          <cell r="U134" t="str">
            <v>TOTAL</v>
          </cell>
          <cell r="X134" t="str">
            <v>OPERATOR</v>
          </cell>
          <cell r="Y134" t="str">
            <v>OPERATOR</v>
          </cell>
          <cell r="AB134" t="str">
            <v>WORKER</v>
          </cell>
          <cell r="AC134" t="str">
            <v>BRICK/</v>
          </cell>
          <cell r="AD134" t="str">
            <v>WORKER</v>
          </cell>
          <cell r="AF134" t="str">
            <v>SCAFFOLDER</v>
          </cell>
          <cell r="AG134" t="str">
            <v>WORKER</v>
          </cell>
          <cell r="AH134" t="str">
            <v>WELDER</v>
          </cell>
          <cell r="AJ134" t="str">
            <v>P. FITTER</v>
          </cell>
          <cell r="AL134" t="str">
            <v>BREAKER</v>
          </cell>
          <cell r="AM134" t="str">
            <v>TRUCK</v>
          </cell>
          <cell r="AN134" t="str">
            <v>WHEEL</v>
          </cell>
          <cell r="AO134" t="str">
            <v>CRAWLER</v>
          </cell>
          <cell r="AP134" t="str">
            <v>PILE HAMMER</v>
          </cell>
          <cell r="AQ134" t="str">
            <v>HAMMER</v>
          </cell>
          <cell r="AR134" t="str">
            <v>BORING M/C</v>
          </cell>
          <cell r="AS134" t="str">
            <v>LOADER</v>
          </cell>
          <cell r="AW134" t="str">
            <v>ROLLER</v>
          </cell>
          <cell r="AX134" t="str">
            <v>PUMP CAR</v>
          </cell>
          <cell r="AY134" t="str">
            <v>TRUCK</v>
          </cell>
          <cell r="AZ134" t="str">
            <v>MIXER TRUCK</v>
          </cell>
          <cell r="BA134" t="str">
            <v>MIXER</v>
          </cell>
          <cell r="BB134" t="str">
            <v>CUTTER</v>
          </cell>
          <cell r="BC134" t="str">
            <v>DISTRIBUTOR</v>
          </cell>
          <cell r="BD134" t="str">
            <v>FINISHER</v>
          </cell>
          <cell r="BE134" t="str">
            <v>ROLLER</v>
          </cell>
          <cell r="BF134" t="str">
            <v>COMPRESSOR</v>
          </cell>
          <cell r="BG134" t="str">
            <v>TRUCK</v>
          </cell>
          <cell r="BH134" t="str">
            <v>LIFT</v>
          </cell>
          <cell r="BI134" t="str">
            <v>BATCH PLANT</v>
          </cell>
          <cell r="BJ134" t="str">
            <v xml:space="preserve">M/C </v>
          </cell>
          <cell r="BK134" t="str">
            <v xml:space="preserve">M/C </v>
          </cell>
          <cell r="BM134" t="str">
            <v>COMPRESSOR</v>
          </cell>
        </row>
        <row r="135">
          <cell r="H135" t="str">
            <v>CHANGE</v>
          </cell>
          <cell r="AC135" t="str">
            <v>W.PROOFER</v>
          </cell>
          <cell r="AK135" t="str">
            <v>0.7 M3</v>
          </cell>
          <cell r="AL135" t="str">
            <v>0.7 M3</v>
          </cell>
          <cell r="AM135" t="str">
            <v>15 TON</v>
          </cell>
          <cell r="AN135" t="str">
            <v>25 TON</v>
          </cell>
          <cell r="AO135" t="str">
            <v>50 TON</v>
          </cell>
          <cell r="AP135" t="str">
            <v>3.2 TON</v>
          </cell>
          <cell r="AQ135" t="str">
            <v>3.2 TON</v>
          </cell>
          <cell r="AR135" t="str">
            <v>50 TON</v>
          </cell>
          <cell r="AS135" t="str">
            <v>2.4 M3</v>
          </cell>
          <cell r="AT135" t="str">
            <v>19 TON</v>
          </cell>
          <cell r="AU135" t="str">
            <v>32 TON</v>
          </cell>
          <cell r="AV135" t="str">
            <v>3.6 M</v>
          </cell>
          <cell r="AW135" t="str">
            <v>10 TON</v>
          </cell>
          <cell r="AX135" t="str">
            <v>80 M3/HR</v>
          </cell>
          <cell r="AY135" t="str">
            <v>10 M3</v>
          </cell>
          <cell r="AZ135" t="str">
            <v>6 M3</v>
          </cell>
          <cell r="BA135" t="str">
            <v>0.3 M3</v>
          </cell>
          <cell r="BB135" t="str">
            <v>D32 MM</v>
          </cell>
          <cell r="BC135" t="str">
            <v>3800 L</v>
          </cell>
          <cell r="BD135" t="str">
            <v>3 M</v>
          </cell>
          <cell r="BE135" t="str">
            <v>15 TON</v>
          </cell>
          <cell r="BF135" t="str">
            <v>250 CFM</v>
          </cell>
          <cell r="BG135" t="str">
            <v>11 TON</v>
          </cell>
          <cell r="BH135" t="str">
            <v>2.5 TON</v>
          </cell>
          <cell r="BI135" t="str">
            <v>60 M3/HR</v>
          </cell>
          <cell r="BJ135" t="str">
            <v>200 A.</v>
          </cell>
          <cell r="BL135" t="str">
            <v>115 KW</v>
          </cell>
          <cell r="BM135" t="str">
            <v>125 CFM</v>
          </cell>
          <cell r="BN135" t="str">
            <v>SET</v>
          </cell>
        </row>
        <row r="136">
          <cell r="I136">
            <v>0</v>
          </cell>
          <cell r="T136">
            <v>0</v>
          </cell>
          <cell r="U136">
            <v>0</v>
          </cell>
        </row>
        <row r="137">
          <cell r="C137">
            <v>5000</v>
          </cell>
          <cell r="D137" t="str">
            <v>CONC. CHIPPING</v>
          </cell>
          <cell r="E137" t="str">
            <v>M2</v>
          </cell>
          <cell r="F137">
            <v>0</v>
          </cell>
          <cell r="G137">
            <v>4</v>
          </cell>
          <cell r="H137">
            <v>1.183875</v>
          </cell>
          <cell r="I137">
            <v>1</v>
          </cell>
          <cell r="J137">
            <v>4.7355</v>
          </cell>
          <cell r="K137">
            <v>1</v>
          </cell>
          <cell r="L137">
            <v>0.21099999999999999</v>
          </cell>
          <cell r="M137">
            <v>0</v>
          </cell>
          <cell r="N137">
            <v>0</v>
          </cell>
          <cell r="O137">
            <v>0</v>
          </cell>
          <cell r="P137">
            <v>3.4</v>
          </cell>
          <cell r="Q137">
            <v>0</v>
          </cell>
          <cell r="R137">
            <v>0</v>
          </cell>
          <cell r="S137">
            <v>0</v>
          </cell>
          <cell r="T137">
            <v>3.4</v>
          </cell>
          <cell r="U137">
            <v>0</v>
          </cell>
          <cell r="W137">
            <v>1</v>
          </cell>
        </row>
        <row r="138">
          <cell r="C138">
            <v>5010</v>
          </cell>
          <cell r="D138" t="str">
            <v>LEAN CONC. (T=50) 135K</v>
          </cell>
          <cell r="E138" t="str">
            <v>M3</v>
          </cell>
          <cell r="F138">
            <v>0</v>
          </cell>
          <cell r="G138">
            <v>20</v>
          </cell>
          <cell r="H138">
            <v>1.183875</v>
          </cell>
          <cell r="I138">
            <v>1</v>
          </cell>
          <cell r="J138">
            <v>23.677500000000002</v>
          </cell>
          <cell r="K138">
            <v>8.5</v>
          </cell>
          <cell r="L138">
            <v>0.35899999999999999</v>
          </cell>
          <cell r="M138">
            <v>0</v>
          </cell>
          <cell r="N138">
            <v>46.009040000000013</v>
          </cell>
          <cell r="O138">
            <v>0</v>
          </cell>
          <cell r="P138">
            <v>6.83</v>
          </cell>
          <cell r="Q138">
            <v>0</v>
          </cell>
          <cell r="R138">
            <v>0</v>
          </cell>
          <cell r="S138">
            <v>0</v>
          </cell>
          <cell r="T138">
            <v>52.839040000000011</v>
          </cell>
          <cell r="U138">
            <v>0</v>
          </cell>
          <cell r="V138">
            <v>0.5</v>
          </cell>
          <cell r="W138">
            <v>4</v>
          </cell>
          <cell r="AB138">
            <v>3</v>
          </cell>
          <cell r="AC138">
            <v>1</v>
          </cell>
        </row>
        <row r="139">
          <cell r="C139">
            <v>5020</v>
          </cell>
          <cell r="D139" t="str">
            <v>LEAN CONC. (T=75) 135K</v>
          </cell>
          <cell r="E139" t="str">
            <v>M3</v>
          </cell>
          <cell r="F139">
            <v>0</v>
          </cell>
          <cell r="G139">
            <v>23</v>
          </cell>
          <cell r="H139">
            <v>1.183875</v>
          </cell>
          <cell r="I139">
            <v>1</v>
          </cell>
          <cell r="J139">
            <v>27.229125</v>
          </cell>
          <cell r="K139">
            <v>8.5</v>
          </cell>
          <cell r="L139">
            <v>0.312</v>
          </cell>
          <cell r="M139">
            <v>0</v>
          </cell>
          <cell r="N139">
            <v>46.009040000000013</v>
          </cell>
          <cell r="O139">
            <v>0</v>
          </cell>
          <cell r="P139">
            <v>5.94</v>
          </cell>
          <cell r="Q139">
            <v>0</v>
          </cell>
          <cell r="R139">
            <v>0</v>
          </cell>
          <cell r="S139">
            <v>0</v>
          </cell>
          <cell r="T139">
            <v>51.949040000000011</v>
          </cell>
          <cell r="U139">
            <v>0</v>
          </cell>
          <cell r="V139">
            <v>0.5</v>
          </cell>
          <cell r="W139">
            <v>4</v>
          </cell>
          <cell r="AB139">
            <v>3</v>
          </cell>
          <cell r="AC139">
            <v>1</v>
          </cell>
        </row>
        <row r="140">
          <cell r="C140">
            <v>5030</v>
          </cell>
          <cell r="D140" t="str">
            <v>CONC. STR. (FDN) 180K</v>
          </cell>
          <cell r="E140" t="str">
            <v>M3</v>
          </cell>
          <cell r="F140">
            <v>0</v>
          </cell>
          <cell r="G140">
            <v>28</v>
          </cell>
          <cell r="H140">
            <v>1.183875</v>
          </cell>
          <cell r="I140">
            <v>1</v>
          </cell>
          <cell r="J140">
            <v>33.148499999999999</v>
          </cell>
          <cell r="K140">
            <v>9.25</v>
          </cell>
          <cell r="L140">
            <v>0.27900000000000003</v>
          </cell>
          <cell r="M140">
            <v>0</v>
          </cell>
          <cell r="N140">
            <v>43.554000000000002</v>
          </cell>
          <cell r="O140">
            <v>0</v>
          </cell>
          <cell r="P140">
            <v>5.37</v>
          </cell>
          <cell r="Q140">
            <v>0</v>
          </cell>
          <cell r="R140">
            <v>5.7</v>
          </cell>
          <cell r="S140">
            <v>0</v>
          </cell>
          <cell r="T140">
            <v>54.624000000000002</v>
          </cell>
          <cell r="U140">
            <v>0</v>
          </cell>
          <cell r="V140">
            <v>0.5</v>
          </cell>
          <cell r="W140">
            <v>4</v>
          </cell>
          <cell r="X140">
            <v>0.25</v>
          </cell>
          <cell r="Z140">
            <v>0.5</v>
          </cell>
          <cell r="AB140">
            <v>3</v>
          </cell>
          <cell r="AC140">
            <v>1</v>
          </cell>
          <cell r="AX140">
            <v>0.25</v>
          </cell>
          <cell r="AY140">
            <v>0.5</v>
          </cell>
        </row>
        <row r="141">
          <cell r="C141">
            <v>5040</v>
          </cell>
          <cell r="D141" t="str">
            <v>CONC. STR. (FDN) 210K</v>
          </cell>
          <cell r="E141" t="str">
            <v>M3</v>
          </cell>
          <cell r="F141">
            <v>0</v>
          </cell>
          <cell r="G141">
            <v>27</v>
          </cell>
          <cell r="H141">
            <v>1.183875</v>
          </cell>
          <cell r="I141">
            <v>1</v>
          </cell>
          <cell r="J141">
            <v>31.964625000000002</v>
          </cell>
          <cell r="K141">
            <v>9.25</v>
          </cell>
          <cell r="L141">
            <v>0.28899999999999998</v>
          </cell>
          <cell r="M141">
            <v>0</v>
          </cell>
          <cell r="N141">
            <v>45.06600000000001</v>
          </cell>
          <cell r="O141">
            <v>0</v>
          </cell>
          <cell r="P141">
            <v>5.57</v>
          </cell>
          <cell r="Q141">
            <v>0</v>
          </cell>
          <cell r="R141">
            <v>5.91</v>
          </cell>
          <cell r="S141">
            <v>0</v>
          </cell>
          <cell r="T141">
            <v>56.546000000000006</v>
          </cell>
          <cell r="U141">
            <v>0</v>
          </cell>
          <cell r="V141">
            <v>0.5</v>
          </cell>
          <cell r="W141">
            <v>4</v>
          </cell>
          <cell r="X141">
            <v>0.25</v>
          </cell>
          <cell r="Z141">
            <v>0.5</v>
          </cell>
          <cell r="AB141">
            <v>3</v>
          </cell>
          <cell r="AC141">
            <v>1</v>
          </cell>
          <cell r="AX141">
            <v>0.25</v>
          </cell>
          <cell r="AY141">
            <v>0.5</v>
          </cell>
        </row>
        <row r="142">
          <cell r="C142">
            <v>5050</v>
          </cell>
          <cell r="D142" t="str">
            <v>CONC. STR. (FDN) 240K</v>
          </cell>
          <cell r="E142" t="str">
            <v>M3</v>
          </cell>
          <cell r="F142">
            <v>0</v>
          </cell>
          <cell r="G142">
            <v>26</v>
          </cell>
          <cell r="H142">
            <v>1.183875</v>
          </cell>
          <cell r="I142">
            <v>1</v>
          </cell>
          <cell r="J142">
            <v>30.780750000000001</v>
          </cell>
          <cell r="K142">
            <v>9.25</v>
          </cell>
          <cell r="L142">
            <v>0.30099999999999999</v>
          </cell>
          <cell r="M142">
            <v>0</v>
          </cell>
          <cell r="N142">
            <v>51.114000000000011</v>
          </cell>
          <cell r="O142">
            <v>0</v>
          </cell>
          <cell r="P142">
            <v>5.78</v>
          </cell>
          <cell r="Q142">
            <v>0</v>
          </cell>
          <cell r="R142">
            <v>6.14</v>
          </cell>
          <cell r="S142">
            <v>0</v>
          </cell>
          <cell r="T142">
            <v>63.034000000000013</v>
          </cell>
          <cell r="U142">
            <v>0</v>
          </cell>
          <cell r="V142">
            <v>0.5</v>
          </cell>
          <cell r="W142">
            <v>4</v>
          </cell>
          <cell r="X142">
            <v>0.25</v>
          </cell>
          <cell r="Z142">
            <v>0.5</v>
          </cell>
          <cell r="AB142">
            <v>3</v>
          </cell>
          <cell r="AC142">
            <v>1</v>
          </cell>
          <cell r="AX142">
            <v>0.25</v>
          </cell>
          <cell r="AY142">
            <v>0.5</v>
          </cell>
        </row>
        <row r="143">
          <cell r="C143">
            <v>5060</v>
          </cell>
          <cell r="D143" t="str">
            <v>CONC. STR. (FDN) 270K</v>
          </cell>
          <cell r="E143" t="str">
            <v>M3</v>
          </cell>
          <cell r="F143">
            <v>0</v>
          </cell>
          <cell r="G143">
            <v>24</v>
          </cell>
          <cell r="H143">
            <v>1.183875</v>
          </cell>
          <cell r="I143">
            <v>1</v>
          </cell>
          <cell r="J143">
            <v>28.413</v>
          </cell>
          <cell r="K143">
            <v>9.25</v>
          </cell>
          <cell r="L143">
            <v>0.32600000000000001</v>
          </cell>
          <cell r="M143">
            <v>0</v>
          </cell>
          <cell r="N143">
            <v>55.347600000000014</v>
          </cell>
          <cell r="O143">
            <v>0</v>
          </cell>
          <cell r="P143">
            <v>6.27</v>
          </cell>
          <cell r="Q143">
            <v>0</v>
          </cell>
          <cell r="R143">
            <v>6.65</v>
          </cell>
          <cell r="S143">
            <v>0</v>
          </cell>
          <cell r="T143">
            <v>68.267600000000016</v>
          </cell>
          <cell r="U143">
            <v>0</v>
          </cell>
          <cell r="V143">
            <v>0.5</v>
          </cell>
          <cell r="W143">
            <v>4</v>
          </cell>
          <cell r="X143">
            <v>0.25</v>
          </cell>
          <cell r="Z143">
            <v>0.5</v>
          </cell>
          <cell r="AB143">
            <v>3</v>
          </cell>
          <cell r="AC143">
            <v>1</v>
          </cell>
          <cell r="AX143">
            <v>0.25</v>
          </cell>
          <cell r="AY143">
            <v>0.5</v>
          </cell>
        </row>
        <row r="144">
          <cell r="C144">
            <v>5070</v>
          </cell>
          <cell r="D144" t="str">
            <v>CONC. STR. (FDN) 320K</v>
          </cell>
          <cell r="E144" t="str">
            <v>M3</v>
          </cell>
          <cell r="F144">
            <v>0</v>
          </cell>
          <cell r="G144">
            <v>23</v>
          </cell>
          <cell r="H144">
            <v>1.183875</v>
          </cell>
          <cell r="I144">
            <v>1</v>
          </cell>
          <cell r="J144">
            <v>27.229125</v>
          </cell>
          <cell r="K144">
            <v>9.25</v>
          </cell>
          <cell r="L144">
            <v>0.34</v>
          </cell>
          <cell r="M144">
            <v>0</v>
          </cell>
          <cell r="N144">
            <v>56.859600000000007</v>
          </cell>
          <cell r="O144">
            <v>0</v>
          </cell>
          <cell r="P144">
            <v>6.54</v>
          </cell>
          <cell r="Q144">
            <v>0</v>
          </cell>
          <cell r="R144">
            <v>6.94</v>
          </cell>
          <cell r="S144">
            <v>0</v>
          </cell>
          <cell r="T144">
            <v>70.339600000000004</v>
          </cell>
          <cell r="U144">
            <v>0</v>
          </cell>
          <cell r="V144">
            <v>0.5</v>
          </cell>
          <cell r="W144">
            <v>4</v>
          </cell>
          <cell r="X144">
            <v>0.25</v>
          </cell>
          <cell r="Z144">
            <v>0.5</v>
          </cell>
          <cell r="AB144">
            <v>3</v>
          </cell>
          <cell r="AC144">
            <v>1</v>
          </cell>
          <cell r="AX144">
            <v>0.25</v>
          </cell>
          <cell r="AY144">
            <v>0.5</v>
          </cell>
        </row>
        <row r="145">
          <cell r="C145">
            <v>5080</v>
          </cell>
          <cell r="D145" t="str">
            <v>CONC. POZZ.180K</v>
          </cell>
          <cell r="E145" t="str">
            <v>M3</v>
          </cell>
          <cell r="F145">
            <v>0</v>
          </cell>
          <cell r="G145">
            <v>25</v>
          </cell>
          <cell r="H145">
            <v>1.183875</v>
          </cell>
          <cell r="I145">
            <v>1</v>
          </cell>
          <cell r="J145">
            <v>29.596875000000001</v>
          </cell>
          <cell r="K145">
            <v>9.25</v>
          </cell>
          <cell r="L145">
            <v>0.313</v>
          </cell>
          <cell r="M145">
            <v>0</v>
          </cell>
          <cell r="N145">
            <v>64.117200000000011</v>
          </cell>
          <cell r="O145">
            <v>0</v>
          </cell>
          <cell r="P145">
            <v>6.01</v>
          </cell>
          <cell r="Q145">
            <v>0</v>
          </cell>
          <cell r="R145">
            <v>6.39</v>
          </cell>
          <cell r="S145">
            <v>0</v>
          </cell>
          <cell r="T145">
            <v>76.517200000000017</v>
          </cell>
          <cell r="U145">
            <v>0</v>
          </cell>
          <cell r="V145">
            <v>0.5</v>
          </cell>
          <cell r="W145">
            <v>4</v>
          </cell>
          <cell r="X145">
            <v>0.25</v>
          </cell>
          <cell r="Z145">
            <v>0.5</v>
          </cell>
          <cell r="AB145">
            <v>3</v>
          </cell>
          <cell r="AC145">
            <v>1</v>
          </cell>
          <cell r="AX145">
            <v>0.25</v>
          </cell>
          <cell r="AY145">
            <v>0.5</v>
          </cell>
        </row>
        <row r="146">
          <cell r="C146">
            <v>5090</v>
          </cell>
          <cell r="D146" t="str">
            <v>CONC. POZZ.210K</v>
          </cell>
          <cell r="E146" t="str">
            <v>M3</v>
          </cell>
          <cell r="F146">
            <v>0</v>
          </cell>
          <cell r="G146">
            <v>24</v>
          </cell>
          <cell r="H146">
            <v>1.183875</v>
          </cell>
          <cell r="I146">
            <v>1</v>
          </cell>
          <cell r="J146">
            <v>28.413</v>
          </cell>
          <cell r="K146">
            <v>9.25</v>
          </cell>
          <cell r="L146">
            <v>0.32600000000000001</v>
          </cell>
          <cell r="M146">
            <v>0</v>
          </cell>
          <cell r="N146">
            <v>70.77000000000001</v>
          </cell>
          <cell r="O146">
            <v>0</v>
          </cell>
          <cell r="P146">
            <v>6.27</v>
          </cell>
          <cell r="Q146">
            <v>0</v>
          </cell>
          <cell r="R146">
            <v>6.65</v>
          </cell>
          <cell r="S146">
            <v>0</v>
          </cell>
          <cell r="T146">
            <v>83.690000000000012</v>
          </cell>
          <cell r="U146">
            <v>0</v>
          </cell>
          <cell r="V146">
            <v>0.5</v>
          </cell>
          <cell r="W146">
            <v>4</v>
          </cell>
          <cell r="X146">
            <v>0.25</v>
          </cell>
          <cell r="Z146">
            <v>0.5</v>
          </cell>
          <cell r="AB146">
            <v>3</v>
          </cell>
          <cell r="AC146">
            <v>1</v>
          </cell>
          <cell r="AX146">
            <v>0.25</v>
          </cell>
          <cell r="AY146">
            <v>0.5</v>
          </cell>
        </row>
        <row r="147">
          <cell r="C147">
            <v>5100</v>
          </cell>
          <cell r="D147" t="str">
            <v>CONC. POZZ.240K</v>
          </cell>
          <cell r="E147" t="str">
            <v>M3</v>
          </cell>
          <cell r="F147">
            <v>0</v>
          </cell>
          <cell r="G147">
            <v>24</v>
          </cell>
          <cell r="H147">
            <v>1.183875</v>
          </cell>
          <cell r="I147">
            <v>1</v>
          </cell>
          <cell r="J147">
            <v>28.413</v>
          </cell>
          <cell r="K147">
            <v>9.25</v>
          </cell>
          <cell r="L147">
            <v>0.32600000000000001</v>
          </cell>
          <cell r="M147">
            <v>0</v>
          </cell>
          <cell r="N147">
            <v>71.979600000000019</v>
          </cell>
          <cell r="O147">
            <v>0</v>
          </cell>
          <cell r="P147">
            <v>6.27</v>
          </cell>
          <cell r="Q147">
            <v>0</v>
          </cell>
          <cell r="R147">
            <v>6.65</v>
          </cell>
          <cell r="S147">
            <v>0</v>
          </cell>
          <cell r="T147">
            <v>84.899600000000021</v>
          </cell>
          <cell r="U147">
            <v>0</v>
          </cell>
          <cell r="V147">
            <v>0.5</v>
          </cell>
          <cell r="W147">
            <v>4</v>
          </cell>
          <cell r="X147">
            <v>0.25</v>
          </cell>
          <cell r="Z147">
            <v>0.5</v>
          </cell>
          <cell r="AB147">
            <v>3</v>
          </cell>
          <cell r="AC147">
            <v>1</v>
          </cell>
          <cell r="AX147">
            <v>0.25</v>
          </cell>
          <cell r="AY147">
            <v>0.5</v>
          </cell>
        </row>
        <row r="148">
          <cell r="C148">
            <v>5110</v>
          </cell>
          <cell r="D148" t="str">
            <v>CONC. POZZ.270K</v>
          </cell>
          <cell r="E148" t="str">
            <v>M3</v>
          </cell>
          <cell r="F148">
            <v>0</v>
          </cell>
          <cell r="G148">
            <v>23</v>
          </cell>
          <cell r="H148">
            <v>1.183875</v>
          </cell>
          <cell r="I148">
            <v>1</v>
          </cell>
          <cell r="J148">
            <v>27.229125</v>
          </cell>
          <cell r="K148">
            <v>9.25</v>
          </cell>
          <cell r="L148">
            <v>0.34</v>
          </cell>
          <cell r="M148">
            <v>0</v>
          </cell>
          <cell r="N148">
            <v>65.629200000000012</v>
          </cell>
          <cell r="O148">
            <v>0</v>
          </cell>
          <cell r="P148">
            <v>6.54</v>
          </cell>
          <cell r="Q148">
            <v>0</v>
          </cell>
          <cell r="R148">
            <v>6.94</v>
          </cell>
          <cell r="S148">
            <v>0</v>
          </cell>
          <cell r="T148">
            <v>79.109200000000016</v>
          </cell>
          <cell r="U148">
            <v>0</v>
          </cell>
          <cell r="V148">
            <v>0.5</v>
          </cell>
          <cell r="W148">
            <v>4</v>
          </cell>
          <cell r="X148">
            <v>0.25</v>
          </cell>
          <cell r="Z148">
            <v>0.5</v>
          </cell>
          <cell r="AB148">
            <v>3</v>
          </cell>
          <cell r="AC148">
            <v>1</v>
          </cell>
          <cell r="AX148">
            <v>0.25</v>
          </cell>
          <cell r="AY148">
            <v>0.5</v>
          </cell>
        </row>
        <row r="149">
          <cell r="C149">
            <v>5120</v>
          </cell>
          <cell r="D149" t="str">
            <v>CONC. POZZ.300K</v>
          </cell>
          <cell r="E149" t="str">
            <v>M3</v>
          </cell>
          <cell r="F149">
            <v>0</v>
          </cell>
          <cell r="G149">
            <v>23</v>
          </cell>
          <cell r="H149">
            <v>1.183875</v>
          </cell>
          <cell r="I149">
            <v>1</v>
          </cell>
          <cell r="J149">
            <v>27.229125</v>
          </cell>
          <cell r="K149">
            <v>9.25</v>
          </cell>
          <cell r="L149">
            <v>0.34</v>
          </cell>
          <cell r="M149">
            <v>0</v>
          </cell>
          <cell r="N149">
            <v>68.955600000000018</v>
          </cell>
          <cell r="O149">
            <v>0</v>
          </cell>
          <cell r="P149">
            <v>6.54</v>
          </cell>
          <cell r="Q149">
            <v>0</v>
          </cell>
          <cell r="R149">
            <v>6.94</v>
          </cell>
          <cell r="S149">
            <v>0</v>
          </cell>
          <cell r="T149">
            <v>82.435600000000022</v>
          </cell>
          <cell r="U149">
            <v>0</v>
          </cell>
          <cell r="V149">
            <v>0.5</v>
          </cell>
          <cell r="W149">
            <v>4</v>
          </cell>
          <cell r="X149">
            <v>0.25</v>
          </cell>
          <cell r="Z149">
            <v>0.5</v>
          </cell>
          <cell r="AB149">
            <v>3</v>
          </cell>
          <cell r="AC149">
            <v>1</v>
          </cell>
          <cell r="AX149">
            <v>0.25</v>
          </cell>
          <cell r="AY149">
            <v>0.5</v>
          </cell>
        </row>
        <row r="150">
          <cell r="C150">
            <v>5130</v>
          </cell>
          <cell r="D150" t="str">
            <v>CONC. POZZ.370K</v>
          </cell>
          <cell r="E150" t="str">
            <v>M3</v>
          </cell>
          <cell r="F150">
            <v>0</v>
          </cell>
          <cell r="G150">
            <v>23</v>
          </cell>
          <cell r="H150">
            <v>1.183875</v>
          </cell>
          <cell r="I150">
            <v>1</v>
          </cell>
          <cell r="J150">
            <v>27.229125</v>
          </cell>
          <cell r="K150">
            <v>9.25</v>
          </cell>
          <cell r="L150">
            <v>0.34</v>
          </cell>
          <cell r="M150">
            <v>0</v>
          </cell>
          <cell r="N150">
            <v>73.794000000000011</v>
          </cell>
          <cell r="O150">
            <v>0</v>
          </cell>
          <cell r="P150">
            <v>6.54</v>
          </cell>
          <cell r="Q150">
            <v>0</v>
          </cell>
          <cell r="R150">
            <v>6.94</v>
          </cell>
          <cell r="S150">
            <v>0</v>
          </cell>
          <cell r="T150">
            <v>87.274000000000015</v>
          </cell>
          <cell r="U150">
            <v>0</v>
          </cell>
          <cell r="V150">
            <v>0.5</v>
          </cell>
          <cell r="W150">
            <v>4</v>
          </cell>
          <cell r="X150">
            <v>0.25</v>
          </cell>
          <cell r="Z150">
            <v>0.5</v>
          </cell>
          <cell r="AB150">
            <v>3</v>
          </cell>
          <cell r="AC150">
            <v>1</v>
          </cell>
          <cell r="AX150">
            <v>0.25</v>
          </cell>
          <cell r="AY150">
            <v>0.5</v>
          </cell>
        </row>
        <row r="151">
          <cell r="C151">
            <v>5140</v>
          </cell>
          <cell r="D151" t="str">
            <v>CONC. MICRO.180K</v>
          </cell>
          <cell r="E151" t="str">
            <v>M3</v>
          </cell>
          <cell r="F151">
            <v>0</v>
          </cell>
          <cell r="G151">
            <v>25</v>
          </cell>
          <cell r="H151">
            <v>1.183875</v>
          </cell>
          <cell r="I151">
            <v>1</v>
          </cell>
          <cell r="J151">
            <v>29.596875000000001</v>
          </cell>
          <cell r="K151">
            <v>9.25</v>
          </cell>
          <cell r="L151">
            <v>0.313</v>
          </cell>
          <cell r="M151">
            <v>0</v>
          </cell>
          <cell r="N151">
            <v>61.09320000000001</v>
          </cell>
          <cell r="O151">
            <v>0</v>
          </cell>
          <cell r="P151">
            <v>6.01</v>
          </cell>
          <cell r="Q151">
            <v>0</v>
          </cell>
          <cell r="R151">
            <v>6.39</v>
          </cell>
          <cell r="S151">
            <v>0</v>
          </cell>
          <cell r="T151">
            <v>73.493200000000016</v>
          </cell>
          <cell r="U151">
            <v>0</v>
          </cell>
          <cell r="V151">
            <v>0.5</v>
          </cell>
          <cell r="W151">
            <v>4</v>
          </cell>
          <cell r="X151">
            <v>0.25</v>
          </cell>
          <cell r="Z151">
            <v>0.5</v>
          </cell>
          <cell r="AB151">
            <v>3</v>
          </cell>
          <cell r="AC151">
            <v>1</v>
          </cell>
          <cell r="AX151">
            <v>0.25</v>
          </cell>
          <cell r="AY151">
            <v>0.5</v>
          </cell>
        </row>
        <row r="152">
          <cell r="C152">
            <v>5150</v>
          </cell>
          <cell r="D152" t="str">
            <v>CONC. MICRO.210K</v>
          </cell>
          <cell r="E152" t="str">
            <v>M3</v>
          </cell>
          <cell r="F152">
            <v>0</v>
          </cell>
          <cell r="G152">
            <v>24</v>
          </cell>
          <cell r="H152">
            <v>1.183875</v>
          </cell>
          <cell r="I152">
            <v>1</v>
          </cell>
          <cell r="J152">
            <v>28.413</v>
          </cell>
          <cell r="K152">
            <v>9.25</v>
          </cell>
          <cell r="L152">
            <v>0.32600000000000001</v>
          </cell>
          <cell r="M152">
            <v>0</v>
          </cell>
          <cell r="N152">
            <v>64.722000000000008</v>
          </cell>
          <cell r="O152">
            <v>0</v>
          </cell>
          <cell r="P152">
            <v>6.27</v>
          </cell>
          <cell r="Q152">
            <v>0</v>
          </cell>
          <cell r="R152">
            <v>6.65</v>
          </cell>
          <cell r="S152">
            <v>0</v>
          </cell>
          <cell r="T152">
            <v>77.64200000000001</v>
          </cell>
          <cell r="U152">
            <v>0</v>
          </cell>
          <cell r="V152">
            <v>0.5</v>
          </cell>
          <cell r="W152">
            <v>4</v>
          </cell>
          <cell r="X152">
            <v>0.25</v>
          </cell>
          <cell r="Z152">
            <v>0.5</v>
          </cell>
          <cell r="AB152">
            <v>3</v>
          </cell>
          <cell r="AC152">
            <v>1</v>
          </cell>
          <cell r="AX152">
            <v>0.25</v>
          </cell>
          <cell r="AY152">
            <v>0.5</v>
          </cell>
        </row>
        <row r="153">
          <cell r="C153">
            <v>5160</v>
          </cell>
          <cell r="D153" t="str">
            <v>CONC. MICRO.240K</v>
          </cell>
          <cell r="E153" t="str">
            <v>M3</v>
          </cell>
          <cell r="F153">
            <v>0</v>
          </cell>
          <cell r="G153">
            <v>24</v>
          </cell>
          <cell r="H153">
            <v>1.183875</v>
          </cell>
          <cell r="I153">
            <v>1</v>
          </cell>
          <cell r="J153">
            <v>28.413</v>
          </cell>
          <cell r="K153">
            <v>9.25</v>
          </cell>
          <cell r="L153">
            <v>0.32600000000000001</v>
          </cell>
          <cell r="M153">
            <v>0</v>
          </cell>
          <cell r="N153">
            <v>65.931600000000003</v>
          </cell>
          <cell r="O153">
            <v>0</v>
          </cell>
          <cell r="P153">
            <v>6.27</v>
          </cell>
          <cell r="Q153">
            <v>0</v>
          </cell>
          <cell r="R153">
            <v>6.65</v>
          </cell>
          <cell r="S153">
            <v>0</v>
          </cell>
          <cell r="T153">
            <v>78.851600000000005</v>
          </cell>
          <cell r="U153">
            <v>0</v>
          </cell>
          <cell r="V153">
            <v>0.5</v>
          </cell>
          <cell r="W153">
            <v>4</v>
          </cell>
          <cell r="X153">
            <v>0.25</v>
          </cell>
          <cell r="Z153">
            <v>0.5</v>
          </cell>
          <cell r="AB153">
            <v>3</v>
          </cell>
          <cell r="AC153">
            <v>1</v>
          </cell>
          <cell r="AX153">
            <v>0.25</v>
          </cell>
          <cell r="AY153">
            <v>0.5</v>
          </cell>
        </row>
        <row r="154">
          <cell r="C154">
            <v>5170</v>
          </cell>
          <cell r="D154" t="str">
            <v>CONC. MICRO.270K</v>
          </cell>
          <cell r="E154" t="str">
            <v>M3</v>
          </cell>
          <cell r="F154">
            <v>0</v>
          </cell>
          <cell r="G154">
            <v>23</v>
          </cell>
          <cell r="H154">
            <v>1.183875</v>
          </cell>
          <cell r="I154">
            <v>1</v>
          </cell>
          <cell r="J154">
            <v>27.229125</v>
          </cell>
          <cell r="K154">
            <v>9.25</v>
          </cell>
          <cell r="L154">
            <v>0.34</v>
          </cell>
          <cell r="M154">
            <v>0</v>
          </cell>
          <cell r="N154">
            <v>108.57000000000002</v>
          </cell>
          <cell r="O154">
            <v>0</v>
          </cell>
          <cell r="P154">
            <v>6.54</v>
          </cell>
          <cell r="Q154">
            <v>0</v>
          </cell>
          <cell r="R154">
            <v>6.94</v>
          </cell>
          <cell r="S154">
            <v>0</v>
          </cell>
          <cell r="T154">
            <v>122.05000000000003</v>
          </cell>
          <cell r="U154">
            <v>0</v>
          </cell>
          <cell r="V154">
            <v>0.5</v>
          </cell>
          <cell r="W154">
            <v>4</v>
          </cell>
          <cell r="X154">
            <v>0.25</v>
          </cell>
          <cell r="Z154">
            <v>0.5</v>
          </cell>
          <cell r="AB154">
            <v>3</v>
          </cell>
          <cell r="AC154">
            <v>1</v>
          </cell>
          <cell r="AX154">
            <v>0.25</v>
          </cell>
          <cell r="AY154">
            <v>0.5</v>
          </cell>
        </row>
        <row r="155">
          <cell r="C155">
            <v>5180</v>
          </cell>
          <cell r="D155" t="str">
            <v>REBAR WORK</v>
          </cell>
          <cell r="E155" t="str">
            <v>TON</v>
          </cell>
          <cell r="F155">
            <v>0</v>
          </cell>
          <cell r="G155">
            <v>1.9</v>
          </cell>
          <cell r="H155">
            <v>1.183875</v>
          </cell>
          <cell r="I155">
            <v>1</v>
          </cell>
          <cell r="J155">
            <v>2.2493624999999997</v>
          </cell>
          <cell r="K155">
            <v>7.5</v>
          </cell>
          <cell r="L155">
            <v>3.3340000000000001</v>
          </cell>
          <cell r="M155">
            <v>0</v>
          </cell>
          <cell r="N155">
            <v>473.25600000000003</v>
          </cell>
          <cell r="O155">
            <v>0</v>
          </cell>
          <cell r="P155">
            <v>66.95</v>
          </cell>
          <cell r="Q155">
            <v>0</v>
          </cell>
          <cell r="R155">
            <v>5.48</v>
          </cell>
          <cell r="S155">
            <v>0</v>
          </cell>
          <cell r="T155">
            <v>545.68600000000004</v>
          </cell>
          <cell r="U155">
            <v>0</v>
          </cell>
          <cell r="V155">
            <v>0.5</v>
          </cell>
          <cell r="W155">
            <v>2</v>
          </cell>
          <cell r="AD155">
            <v>5</v>
          </cell>
          <cell r="BB155">
            <v>1</v>
          </cell>
          <cell r="BK155">
            <v>0.1</v>
          </cell>
        </row>
        <row r="156">
          <cell r="C156">
            <v>5190</v>
          </cell>
          <cell r="D156" t="str">
            <v>REBAR WORK W/EPOXY COATING</v>
          </cell>
          <cell r="E156" t="str">
            <v>TON</v>
          </cell>
          <cell r="F156">
            <v>0</v>
          </cell>
          <cell r="G156">
            <v>1.8</v>
          </cell>
          <cell r="H156">
            <v>1.183875</v>
          </cell>
          <cell r="I156">
            <v>1</v>
          </cell>
          <cell r="J156">
            <v>2.1309750000000003</v>
          </cell>
          <cell r="K156">
            <v>9.5</v>
          </cell>
          <cell r="L156">
            <v>4.4580000000000002</v>
          </cell>
          <cell r="M156">
            <v>0</v>
          </cell>
          <cell r="N156">
            <v>724.92000000000007</v>
          </cell>
          <cell r="O156">
            <v>0</v>
          </cell>
          <cell r="P156">
            <v>90.52</v>
          </cell>
          <cell r="Q156">
            <v>0</v>
          </cell>
          <cell r="R156">
            <v>5.79</v>
          </cell>
          <cell r="S156">
            <v>0</v>
          </cell>
          <cell r="T156">
            <v>821.23</v>
          </cell>
          <cell r="U156">
            <v>0</v>
          </cell>
          <cell r="V156">
            <v>0.5</v>
          </cell>
          <cell r="W156">
            <v>2</v>
          </cell>
          <cell r="AD156">
            <v>6</v>
          </cell>
          <cell r="AI156">
            <v>1</v>
          </cell>
          <cell r="BB156">
            <v>1</v>
          </cell>
          <cell r="BK156">
            <v>0.1</v>
          </cell>
        </row>
        <row r="157">
          <cell r="C157">
            <v>5200</v>
          </cell>
          <cell r="D157" t="str">
            <v>REBAR WORK W/BONDED EPOXY</v>
          </cell>
          <cell r="E157" t="str">
            <v>TON</v>
          </cell>
          <cell r="F157">
            <v>0</v>
          </cell>
          <cell r="G157">
            <v>1.8</v>
          </cell>
          <cell r="H157">
            <v>1.183875</v>
          </cell>
          <cell r="I157">
            <v>1</v>
          </cell>
          <cell r="J157">
            <v>2.1309750000000003</v>
          </cell>
          <cell r="K157">
            <v>8.5</v>
          </cell>
          <cell r="L157">
            <v>3.9889999999999999</v>
          </cell>
          <cell r="M157">
            <v>0</v>
          </cell>
          <cell r="N157">
            <v>754.88000000000011</v>
          </cell>
          <cell r="O157">
            <v>0</v>
          </cell>
          <cell r="P157">
            <v>80.599999999999994</v>
          </cell>
          <cell r="Q157">
            <v>0</v>
          </cell>
          <cell r="R157">
            <v>5.79</v>
          </cell>
          <cell r="S157">
            <v>0</v>
          </cell>
          <cell r="T157">
            <v>841.2700000000001</v>
          </cell>
          <cell r="U157">
            <v>0</v>
          </cell>
          <cell r="V157">
            <v>0.5</v>
          </cell>
          <cell r="W157">
            <v>2</v>
          </cell>
          <cell r="AD157">
            <v>6</v>
          </cell>
          <cell r="BB157">
            <v>1</v>
          </cell>
          <cell r="BK157">
            <v>0.1</v>
          </cell>
        </row>
        <row r="158">
          <cell r="C158">
            <v>5210</v>
          </cell>
          <cell r="D158" t="str">
            <v>PLY WOOD FORM 3 TIMES</v>
          </cell>
          <cell r="E158" t="str">
            <v>M2</v>
          </cell>
          <cell r="F158">
            <v>0</v>
          </cell>
          <cell r="G158">
            <v>16</v>
          </cell>
          <cell r="H158">
            <v>1.183875</v>
          </cell>
          <cell r="I158">
            <v>1</v>
          </cell>
          <cell r="J158">
            <v>18.942</v>
          </cell>
          <cell r="K158">
            <v>4.25</v>
          </cell>
          <cell r="L158">
            <v>0.224</v>
          </cell>
          <cell r="M158">
            <v>0</v>
          </cell>
          <cell r="N158">
            <v>7.4386606704787539</v>
          </cell>
          <cell r="O158">
            <v>0</v>
          </cell>
          <cell r="P158">
            <v>4.53</v>
          </cell>
          <cell r="Q158">
            <v>0</v>
          </cell>
          <cell r="R158">
            <v>0</v>
          </cell>
          <cell r="S158">
            <v>0</v>
          </cell>
          <cell r="T158">
            <v>11.968660670478755</v>
          </cell>
          <cell r="U158">
            <v>0</v>
          </cell>
          <cell r="V158">
            <v>0.25</v>
          </cell>
          <cell r="W158">
            <v>1</v>
          </cell>
          <cell r="AE158">
            <v>3</v>
          </cell>
        </row>
        <row r="159">
          <cell r="C159">
            <v>5220</v>
          </cell>
          <cell r="D159" t="str">
            <v>ROUND FORM (LARGE ,  2 TIMES)</v>
          </cell>
          <cell r="E159" t="str">
            <v>M2</v>
          </cell>
          <cell r="F159">
            <v>0</v>
          </cell>
          <cell r="G159">
            <v>15</v>
          </cell>
          <cell r="H159">
            <v>1.183875</v>
          </cell>
          <cell r="I159">
            <v>1</v>
          </cell>
          <cell r="J159">
            <v>17.758125</v>
          </cell>
          <cell r="K159">
            <v>4.25</v>
          </cell>
          <cell r="L159">
            <v>0.23899999999999999</v>
          </cell>
          <cell r="M159">
            <v>0</v>
          </cell>
          <cell r="N159">
            <v>15.071098073775088</v>
          </cell>
          <cell r="O159">
            <v>0</v>
          </cell>
          <cell r="P159">
            <v>4.84</v>
          </cell>
          <cell r="Q159">
            <v>0</v>
          </cell>
          <cell r="R159">
            <v>0</v>
          </cell>
          <cell r="S159">
            <v>0</v>
          </cell>
          <cell r="T159">
            <v>19.911098073775086</v>
          </cell>
          <cell r="U159">
            <v>0</v>
          </cell>
          <cell r="V159">
            <v>0.25</v>
          </cell>
          <cell r="W159">
            <v>1</v>
          </cell>
          <cell r="AE159">
            <v>3</v>
          </cell>
        </row>
        <row r="160">
          <cell r="C160">
            <v>5230</v>
          </cell>
          <cell r="D160" t="str">
            <v>ROUND FORM (SMALL , 1 TIMES)</v>
          </cell>
          <cell r="E160" t="str">
            <v>M2</v>
          </cell>
          <cell r="F160">
            <v>0</v>
          </cell>
          <cell r="G160">
            <v>13</v>
          </cell>
          <cell r="H160">
            <v>1.183875</v>
          </cell>
          <cell r="I160">
            <v>1</v>
          </cell>
          <cell r="J160">
            <v>15.390375000000001</v>
          </cell>
          <cell r="K160">
            <v>4.25</v>
          </cell>
          <cell r="L160">
            <v>0.27600000000000002</v>
          </cell>
          <cell r="M160">
            <v>0</v>
          </cell>
          <cell r="N160">
            <v>15.702110519116493</v>
          </cell>
          <cell r="O160">
            <v>0</v>
          </cell>
          <cell r="P160">
            <v>5.58</v>
          </cell>
          <cell r="Q160">
            <v>0</v>
          </cell>
          <cell r="R160">
            <v>0</v>
          </cell>
          <cell r="S160">
            <v>0</v>
          </cell>
          <cell r="T160">
            <v>21.282110519116493</v>
          </cell>
          <cell r="U160">
            <v>0</v>
          </cell>
          <cell r="V160">
            <v>0.25</v>
          </cell>
          <cell r="W160">
            <v>1</v>
          </cell>
          <cell r="AE160">
            <v>3</v>
          </cell>
        </row>
        <row r="161">
          <cell r="C161">
            <v>5240</v>
          </cell>
          <cell r="D161" t="str">
            <v>WOOD FORM</v>
          </cell>
          <cell r="E161" t="str">
            <v>M2</v>
          </cell>
          <cell r="F161">
            <v>0</v>
          </cell>
          <cell r="G161">
            <v>11</v>
          </cell>
          <cell r="H161">
            <v>1.183875</v>
          </cell>
          <cell r="I161">
            <v>1</v>
          </cell>
          <cell r="J161">
            <v>13.022625</v>
          </cell>
          <cell r="K161">
            <v>4.25</v>
          </cell>
          <cell r="L161">
            <v>0.32600000000000001</v>
          </cell>
          <cell r="M161">
            <v>0</v>
          </cell>
          <cell r="N161">
            <v>13.388324444444445</v>
          </cell>
          <cell r="O161">
            <v>0</v>
          </cell>
          <cell r="P161">
            <v>6.59</v>
          </cell>
          <cell r="Q161">
            <v>0</v>
          </cell>
          <cell r="R161">
            <v>0</v>
          </cell>
          <cell r="S161">
            <v>0</v>
          </cell>
          <cell r="T161">
            <v>19.978324444444446</v>
          </cell>
          <cell r="U161">
            <v>0</v>
          </cell>
          <cell r="V161">
            <v>0.25</v>
          </cell>
          <cell r="W161">
            <v>1</v>
          </cell>
          <cell r="AE161">
            <v>3</v>
          </cell>
        </row>
        <row r="162">
          <cell r="C162">
            <v>5250</v>
          </cell>
          <cell r="D162" t="str">
            <v>STEEL FORM (25 TIMES)</v>
          </cell>
          <cell r="E162" t="str">
            <v>M2</v>
          </cell>
          <cell r="F162">
            <v>0</v>
          </cell>
          <cell r="G162">
            <v>20</v>
          </cell>
          <cell r="H162">
            <v>1.183875</v>
          </cell>
          <cell r="I162">
            <v>1</v>
          </cell>
          <cell r="J162">
            <v>23.677500000000002</v>
          </cell>
          <cell r="K162">
            <v>4.25</v>
          </cell>
          <cell r="L162">
            <v>0.17899999999999999</v>
          </cell>
          <cell r="M162">
            <v>0</v>
          </cell>
          <cell r="N162">
            <v>7.6854400000000007</v>
          </cell>
          <cell r="O162">
            <v>0</v>
          </cell>
          <cell r="P162">
            <v>3.63</v>
          </cell>
          <cell r="Q162">
            <v>0</v>
          </cell>
          <cell r="R162">
            <v>0</v>
          </cell>
          <cell r="S162">
            <v>0</v>
          </cell>
          <cell r="T162">
            <v>11.315440000000001</v>
          </cell>
          <cell r="U162">
            <v>0</v>
          </cell>
          <cell r="V162">
            <v>0.25</v>
          </cell>
          <cell r="W162">
            <v>1</v>
          </cell>
          <cell r="AE162">
            <v>3</v>
          </cell>
        </row>
        <row r="163">
          <cell r="C163">
            <v>5260</v>
          </cell>
          <cell r="D163" t="str">
            <v>CEMENT GROUT (T=25)</v>
          </cell>
          <cell r="E163" t="str">
            <v>M3</v>
          </cell>
          <cell r="F163">
            <v>0</v>
          </cell>
          <cell r="G163">
            <v>0.3</v>
          </cell>
          <cell r="H163">
            <v>1.183875</v>
          </cell>
          <cell r="I163">
            <v>1</v>
          </cell>
          <cell r="J163">
            <v>0.35516249999999999</v>
          </cell>
          <cell r="K163">
            <v>3.5</v>
          </cell>
          <cell r="L163">
            <v>9.8550000000000004</v>
          </cell>
          <cell r="M163">
            <v>0</v>
          </cell>
          <cell r="N163">
            <v>80.636978988675864</v>
          </cell>
          <cell r="O163">
            <v>0</v>
          </cell>
          <cell r="P163">
            <v>194.15</v>
          </cell>
          <cell r="Q163">
            <v>0</v>
          </cell>
          <cell r="R163">
            <v>1.89</v>
          </cell>
          <cell r="S163">
            <v>0</v>
          </cell>
          <cell r="T163">
            <v>276.67697898867584</v>
          </cell>
          <cell r="U163">
            <v>0</v>
          </cell>
          <cell r="W163">
            <v>1</v>
          </cell>
          <cell r="AC163">
            <v>2</v>
          </cell>
          <cell r="AE163">
            <v>0.5</v>
          </cell>
          <cell r="BA163">
            <v>0.02</v>
          </cell>
        </row>
        <row r="164">
          <cell r="C164">
            <v>5270</v>
          </cell>
          <cell r="D164" t="str">
            <v>CEMENT GROUT (T=30)</v>
          </cell>
          <cell r="E164" t="str">
            <v>M3</v>
          </cell>
          <cell r="F164">
            <v>0</v>
          </cell>
          <cell r="G164">
            <v>0.33</v>
          </cell>
          <cell r="H164">
            <v>1.183875</v>
          </cell>
          <cell r="I164">
            <v>1</v>
          </cell>
          <cell r="J164">
            <v>0.39067875000000002</v>
          </cell>
          <cell r="K164">
            <v>3.5</v>
          </cell>
          <cell r="L164">
            <v>8.9589999999999996</v>
          </cell>
          <cell r="M164">
            <v>0</v>
          </cell>
          <cell r="N164">
            <v>80.636978988675864</v>
          </cell>
          <cell r="O164">
            <v>0</v>
          </cell>
          <cell r="P164">
            <v>176.5</v>
          </cell>
          <cell r="Q164">
            <v>0</v>
          </cell>
          <cell r="R164">
            <v>1.72</v>
          </cell>
          <cell r="S164">
            <v>0</v>
          </cell>
          <cell r="T164">
            <v>258.85697898867591</v>
          </cell>
          <cell r="U164">
            <v>0</v>
          </cell>
          <cell r="W164">
            <v>1</v>
          </cell>
          <cell r="AC164">
            <v>2</v>
          </cell>
          <cell r="AE164">
            <v>0.5</v>
          </cell>
          <cell r="BA164">
            <v>0.02</v>
          </cell>
        </row>
        <row r="165">
          <cell r="C165">
            <v>5280</v>
          </cell>
          <cell r="D165" t="str">
            <v>EPOXY GROUT (T=30)</v>
          </cell>
          <cell r="E165" t="str">
            <v>M3</v>
          </cell>
          <cell r="F165">
            <v>0</v>
          </cell>
          <cell r="G165">
            <v>0.3</v>
          </cell>
          <cell r="H165">
            <v>1.183875</v>
          </cell>
          <cell r="I165">
            <v>1</v>
          </cell>
          <cell r="J165">
            <v>0.35516249999999999</v>
          </cell>
          <cell r="K165">
            <v>3.5</v>
          </cell>
          <cell r="L165">
            <v>9.8550000000000004</v>
          </cell>
          <cell r="M165">
            <v>0</v>
          </cell>
          <cell r="N165">
            <v>3574.4461789886764</v>
          </cell>
          <cell r="O165">
            <v>0</v>
          </cell>
          <cell r="P165">
            <v>194.15</v>
          </cell>
          <cell r="Q165">
            <v>0</v>
          </cell>
          <cell r="R165">
            <v>1.89</v>
          </cell>
          <cell r="S165">
            <v>0</v>
          </cell>
          <cell r="T165">
            <v>3770.4861789886763</v>
          </cell>
          <cell r="U165">
            <v>0</v>
          </cell>
          <cell r="W165">
            <v>1</v>
          </cell>
          <cell r="AC165">
            <v>2</v>
          </cell>
          <cell r="AE165">
            <v>0.5</v>
          </cell>
          <cell r="BA165">
            <v>0.02</v>
          </cell>
        </row>
        <row r="166">
          <cell r="C166">
            <v>5290</v>
          </cell>
          <cell r="D166" t="str">
            <v>EPOXY GROUT (T=50)</v>
          </cell>
          <cell r="E166" t="str">
            <v>M3</v>
          </cell>
          <cell r="F166">
            <v>0</v>
          </cell>
          <cell r="G166">
            <v>0.33</v>
          </cell>
          <cell r="H166">
            <v>1.183875</v>
          </cell>
          <cell r="I166">
            <v>1</v>
          </cell>
          <cell r="J166">
            <v>0.39067875000000002</v>
          </cell>
          <cell r="K166">
            <v>3.5</v>
          </cell>
          <cell r="L166">
            <v>8.9589999999999996</v>
          </cell>
          <cell r="M166">
            <v>0</v>
          </cell>
          <cell r="N166">
            <v>3574.4461789886764</v>
          </cell>
          <cell r="O166">
            <v>0</v>
          </cell>
          <cell r="P166">
            <v>176.5</v>
          </cell>
          <cell r="Q166">
            <v>0</v>
          </cell>
          <cell r="R166">
            <v>1.72</v>
          </cell>
          <cell r="S166">
            <v>0</v>
          </cell>
          <cell r="T166">
            <v>3752.6661789886762</v>
          </cell>
          <cell r="U166">
            <v>0</v>
          </cell>
          <cell r="W166">
            <v>1</v>
          </cell>
          <cell r="AC166">
            <v>2</v>
          </cell>
          <cell r="AE166">
            <v>0.5</v>
          </cell>
          <cell r="BA166">
            <v>0.02</v>
          </cell>
        </row>
        <row r="167">
          <cell r="C167">
            <v>5300</v>
          </cell>
          <cell r="D167" t="str">
            <v>NON SHRINK GROUT</v>
          </cell>
          <cell r="E167" t="str">
            <v>M3</v>
          </cell>
          <cell r="F167">
            <v>0</v>
          </cell>
          <cell r="G167">
            <v>0.35</v>
          </cell>
          <cell r="H167">
            <v>1.183875</v>
          </cell>
          <cell r="I167">
            <v>1</v>
          </cell>
          <cell r="J167">
            <v>0.41435624999999998</v>
          </cell>
          <cell r="K167">
            <v>3.5</v>
          </cell>
          <cell r="L167">
            <v>8.4469999999999992</v>
          </cell>
          <cell r="M167">
            <v>0</v>
          </cell>
          <cell r="N167">
            <v>97.688978988675871</v>
          </cell>
          <cell r="O167">
            <v>0</v>
          </cell>
          <cell r="P167">
            <v>166.41</v>
          </cell>
          <cell r="Q167">
            <v>0</v>
          </cell>
          <cell r="R167">
            <v>1.62</v>
          </cell>
          <cell r="S167">
            <v>0</v>
          </cell>
          <cell r="T167">
            <v>265.71897898867587</v>
          </cell>
          <cell r="U167">
            <v>0</v>
          </cell>
          <cell r="W167">
            <v>1</v>
          </cell>
          <cell r="AC167">
            <v>2</v>
          </cell>
          <cell r="AE167">
            <v>0.5</v>
          </cell>
          <cell r="BA167">
            <v>0.02</v>
          </cell>
        </row>
        <row r="168">
          <cell r="C168">
            <v>5310</v>
          </cell>
          <cell r="D168" t="str">
            <v>ENCASEMENT CONCRETE</v>
          </cell>
          <cell r="E168" t="str">
            <v>M3</v>
          </cell>
          <cell r="F168">
            <v>0</v>
          </cell>
          <cell r="G168">
            <v>0.28999999999999998</v>
          </cell>
          <cell r="H168">
            <v>1.183875</v>
          </cell>
          <cell r="I168">
            <v>1</v>
          </cell>
          <cell r="J168">
            <v>0.34332374999999998</v>
          </cell>
          <cell r="K168">
            <v>3.5</v>
          </cell>
          <cell r="L168">
            <v>10.194000000000001</v>
          </cell>
          <cell r="M168">
            <v>0</v>
          </cell>
          <cell r="N168">
            <v>56.433999999999997</v>
          </cell>
          <cell r="O168">
            <v>0</v>
          </cell>
          <cell r="P168">
            <v>200.85</v>
          </cell>
          <cell r="Q168">
            <v>0</v>
          </cell>
          <cell r="R168">
            <v>1.96</v>
          </cell>
          <cell r="S168">
            <v>0</v>
          </cell>
          <cell r="T168">
            <v>259.24399999999997</v>
          </cell>
          <cell r="U168">
            <v>0</v>
          </cell>
          <cell r="W168">
            <v>1</v>
          </cell>
          <cell r="AC168">
            <v>2</v>
          </cell>
          <cell r="AE168">
            <v>0.5</v>
          </cell>
          <cell r="BA168">
            <v>0.02</v>
          </cell>
        </row>
        <row r="169">
          <cell r="C169">
            <v>5320</v>
          </cell>
          <cell r="D169" t="str">
            <v>BITUMEN COATING</v>
          </cell>
          <cell r="E169" t="str">
            <v>M2</v>
          </cell>
          <cell r="F169">
            <v>0</v>
          </cell>
          <cell r="G169">
            <v>16</v>
          </cell>
          <cell r="H169">
            <v>1.183875</v>
          </cell>
          <cell r="I169">
            <v>1</v>
          </cell>
          <cell r="J169">
            <v>18.942</v>
          </cell>
          <cell r="K169">
            <v>1</v>
          </cell>
          <cell r="L169">
            <v>5.2999999999999999E-2</v>
          </cell>
          <cell r="M169">
            <v>0</v>
          </cell>
          <cell r="N169">
            <v>0.99555555555555564</v>
          </cell>
          <cell r="O169">
            <v>0</v>
          </cell>
          <cell r="P169">
            <v>0.85</v>
          </cell>
          <cell r="Q169">
            <v>0</v>
          </cell>
          <cell r="R169">
            <v>0</v>
          </cell>
          <cell r="S169">
            <v>0</v>
          </cell>
          <cell r="T169">
            <v>1.8455555555555556</v>
          </cell>
          <cell r="U169">
            <v>0</v>
          </cell>
          <cell r="W169">
            <v>1</v>
          </cell>
        </row>
        <row r="170">
          <cell r="C170">
            <v>5330</v>
          </cell>
          <cell r="D170" t="str">
            <v>SHEET LINING ON CONCRETE</v>
          </cell>
          <cell r="E170" t="str">
            <v>M2</v>
          </cell>
          <cell r="F170">
            <v>0</v>
          </cell>
          <cell r="G170">
            <v>8</v>
          </cell>
          <cell r="H170">
            <v>1.183875</v>
          </cell>
          <cell r="I170">
            <v>1</v>
          </cell>
          <cell r="J170">
            <v>9.4710000000000001</v>
          </cell>
          <cell r="K170">
            <v>1.2</v>
          </cell>
          <cell r="L170">
            <v>0.127</v>
          </cell>
          <cell r="M170">
            <v>0</v>
          </cell>
          <cell r="N170">
            <v>3.3810000000000002</v>
          </cell>
          <cell r="O170">
            <v>0</v>
          </cell>
          <cell r="P170">
            <v>2.77</v>
          </cell>
          <cell r="Q170">
            <v>0</v>
          </cell>
          <cell r="R170">
            <v>0</v>
          </cell>
          <cell r="S170">
            <v>0</v>
          </cell>
          <cell r="T170">
            <v>6.1509999999999998</v>
          </cell>
          <cell r="U170">
            <v>0</v>
          </cell>
          <cell r="V170">
            <v>0.2</v>
          </cell>
          <cell r="AC170">
            <v>1</v>
          </cell>
        </row>
        <row r="171">
          <cell r="C171">
            <v>5340</v>
          </cell>
          <cell r="D171" t="str">
            <v>CRUSHED STONE FILL OF FDN</v>
          </cell>
          <cell r="E171" t="str">
            <v>M3</v>
          </cell>
          <cell r="F171">
            <v>0</v>
          </cell>
          <cell r="G171">
            <v>25</v>
          </cell>
          <cell r="H171">
            <v>1.183875</v>
          </cell>
          <cell r="I171">
            <v>1</v>
          </cell>
          <cell r="J171">
            <v>29.596875000000001</v>
          </cell>
          <cell r="K171">
            <v>5.95</v>
          </cell>
          <cell r="L171">
            <v>0.20100000000000001</v>
          </cell>
          <cell r="M171">
            <v>0</v>
          </cell>
          <cell r="N171">
            <v>12.544</v>
          </cell>
          <cell r="O171">
            <v>0</v>
          </cell>
          <cell r="P171">
            <v>3.47</v>
          </cell>
          <cell r="Q171">
            <v>0</v>
          </cell>
          <cell r="R171">
            <v>4.3899999999999997</v>
          </cell>
          <cell r="S171">
            <v>0</v>
          </cell>
          <cell r="T171">
            <v>20.404</v>
          </cell>
          <cell r="U171">
            <v>0</v>
          </cell>
          <cell r="V171">
            <v>0.25</v>
          </cell>
          <cell r="W171">
            <v>5</v>
          </cell>
          <cell r="X171">
            <v>0.5</v>
          </cell>
          <cell r="Z171">
            <v>0.2</v>
          </cell>
          <cell r="AS171">
            <v>0.5</v>
          </cell>
          <cell r="AY171">
            <v>0.2</v>
          </cell>
        </row>
        <row r="172">
          <cell r="C172">
            <v>5350</v>
          </cell>
          <cell r="D172" t="str">
            <v>RED COLOR CONC</v>
          </cell>
          <cell r="E172" t="str">
            <v>M3</v>
          </cell>
          <cell r="F172">
            <v>0</v>
          </cell>
          <cell r="G172">
            <v>16</v>
          </cell>
          <cell r="H172">
            <v>1.183875</v>
          </cell>
          <cell r="I172">
            <v>1</v>
          </cell>
          <cell r="J172">
            <v>18.942</v>
          </cell>
          <cell r="K172">
            <v>5.8000000000000007</v>
          </cell>
          <cell r="L172">
            <v>0.30599999999999999</v>
          </cell>
          <cell r="M172">
            <v>0</v>
          </cell>
          <cell r="N172">
            <v>53.64800000000001</v>
          </cell>
          <cell r="O172">
            <v>0</v>
          </cell>
          <cell r="P172">
            <v>6.05</v>
          </cell>
          <cell r="Q172">
            <v>0</v>
          </cell>
          <cell r="R172">
            <v>7.07</v>
          </cell>
          <cell r="S172">
            <v>0</v>
          </cell>
          <cell r="T172">
            <v>66.768000000000001</v>
          </cell>
          <cell r="U172">
            <v>0</v>
          </cell>
          <cell r="V172">
            <v>0.4</v>
          </cell>
          <cell r="W172">
            <v>2</v>
          </cell>
          <cell r="X172">
            <v>0.2</v>
          </cell>
          <cell r="Z172">
            <v>0.2</v>
          </cell>
          <cell r="AB172">
            <v>2</v>
          </cell>
          <cell r="AC172">
            <v>1</v>
          </cell>
          <cell r="AX172">
            <v>0.2</v>
          </cell>
          <cell r="AY172">
            <v>0.2</v>
          </cell>
        </row>
        <row r="173">
          <cell r="C173">
            <v>5360</v>
          </cell>
          <cell r="D173" t="str">
            <v>RED CONC TILE(300*300*60MM)</v>
          </cell>
          <cell r="E173" t="str">
            <v>M2</v>
          </cell>
          <cell r="F173">
            <v>0</v>
          </cell>
          <cell r="G173">
            <v>54</v>
          </cell>
          <cell r="H173">
            <v>1.183875</v>
          </cell>
          <cell r="I173">
            <v>1</v>
          </cell>
          <cell r="J173">
            <v>63.929250000000003</v>
          </cell>
          <cell r="K173">
            <v>5.8000000000000007</v>
          </cell>
          <cell r="L173">
            <v>9.0999999999999998E-2</v>
          </cell>
          <cell r="M173">
            <v>0</v>
          </cell>
          <cell r="N173">
            <v>8.1465999999999994</v>
          </cell>
          <cell r="O173">
            <v>0</v>
          </cell>
          <cell r="P173">
            <v>1.71</v>
          </cell>
          <cell r="Q173">
            <v>0</v>
          </cell>
          <cell r="R173">
            <v>0.91</v>
          </cell>
          <cell r="S173">
            <v>0</v>
          </cell>
          <cell r="T173">
            <v>10.7666</v>
          </cell>
          <cell r="U173">
            <v>0</v>
          </cell>
          <cell r="V173">
            <v>0.4</v>
          </cell>
          <cell r="W173">
            <v>3</v>
          </cell>
          <cell r="X173">
            <v>0.2</v>
          </cell>
          <cell r="Z173">
            <v>0.2</v>
          </cell>
          <cell r="AC173">
            <v>2</v>
          </cell>
          <cell r="AS173">
            <v>0.2</v>
          </cell>
          <cell r="BH173">
            <v>0.2</v>
          </cell>
        </row>
        <row r="174">
          <cell r="C174">
            <v>5370</v>
          </cell>
          <cell r="D174" t="str">
            <v>CABLE ROUTE MARKER</v>
          </cell>
          <cell r="E174" t="str">
            <v>NOS</v>
          </cell>
          <cell r="F174">
            <v>0</v>
          </cell>
          <cell r="G174">
            <v>16</v>
          </cell>
          <cell r="H174">
            <v>1.183875</v>
          </cell>
          <cell r="I174">
            <v>1</v>
          </cell>
          <cell r="J174">
            <v>18.942</v>
          </cell>
          <cell r="K174">
            <v>2.1</v>
          </cell>
          <cell r="L174">
            <v>0.111</v>
          </cell>
          <cell r="M174">
            <v>0</v>
          </cell>
          <cell r="N174">
            <v>4.2840000000000007</v>
          </cell>
          <cell r="O174">
            <v>0</v>
          </cell>
          <cell r="P174">
            <v>1.81</v>
          </cell>
          <cell r="Q174">
            <v>0</v>
          </cell>
          <cell r="R174">
            <v>0.34</v>
          </cell>
          <cell r="S174">
            <v>0</v>
          </cell>
          <cell r="T174">
            <v>6.4340000000000011</v>
          </cell>
          <cell r="U174">
            <v>0</v>
          </cell>
          <cell r="W174">
            <v>2</v>
          </cell>
          <cell r="Z174">
            <v>0.1</v>
          </cell>
          <cell r="BH174">
            <v>0.1</v>
          </cell>
        </row>
        <row r="175">
          <cell r="C175">
            <v>5380</v>
          </cell>
          <cell r="D175" t="str">
            <v>WARNING TAPE</v>
          </cell>
          <cell r="E175" t="str">
            <v>M</v>
          </cell>
          <cell r="F175">
            <v>0</v>
          </cell>
          <cell r="G175">
            <v>1600</v>
          </cell>
          <cell r="H175">
            <v>1.183875</v>
          </cell>
          <cell r="I175">
            <v>1</v>
          </cell>
          <cell r="J175">
            <v>1894.2</v>
          </cell>
          <cell r="K175">
            <v>2</v>
          </cell>
          <cell r="L175">
            <v>1E-3</v>
          </cell>
          <cell r="M175">
            <v>0</v>
          </cell>
          <cell r="N175">
            <v>0.27398</v>
          </cell>
          <cell r="O175">
            <v>0</v>
          </cell>
          <cell r="P175">
            <v>0.02</v>
          </cell>
          <cell r="Q175">
            <v>0</v>
          </cell>
          <cell r="R175">
            <v>0</v>
          </cell>
          <cell r="S175">
            <v>0</v>
          </cell>
          <cell r="T175">
            <v>0.29398000000000002</v>
          </cell>
          <cell r="U175">
            <v>0</v>
          </cell>
          <cell r="W175">
            <v>2</v>
          </cell>
        </row>
        <row r="176">
          <cell r="G176" t="str">
            <v>BASE</v>
          </cell>
          <cell r="H176" t="str">
            <v>SITE</v>
          </cell>
          <cell r="I176" t="str">
            <v>UNIT</v>
          </cell>
          <cell r="J176" t="str">
            <v>BASE</v>
          </cell>
          <cell r="K176" t="str">
            <v>BASE</v>
          </cell>
          <cell r="L176" t="str">
            <v>UNIT M/D</v>
          </cell>
          <cell r="M176" t="str">
            <v>SUB-TOT.</v>
          </cell>
          <cell r="N176" t="str">
            <v>MAT</v>
          </cell>
          <cell r="O176" t="str">
            <v>MAT</v>
          </cell>
          <cell r="P176" t="str">
            <v>LABOUR</v>
          </cell>
          <cell r="Q176" t="str">
            <v>LABOUR</v>
          </cell>
          <cell r="R176" t="str">
            <v>EQUIP.</v>
          </cell>
          <cell r="S176" t="str">
            <v>EQUIP.</v>
          </cell>
          <cell r="T176" t="str">
            <v>UNIT</v>
          </cell>
          <cell r="V176" t="str">
            <v>FOREMAN</v>
          </cell>
          <cell r="W176" t="str">
            <v>LABOUR</v>
          </cell>
          <cell r="X176" t="str">
            <v>EQUIP.</v>
          </cell>
          <cell r="Y176" t="str">
            <v>M/C</v>
          </cell>
          <cell r="Z176" t="str">
            <v>DRIVER</v>
          </cell>
          <cell r="AA176" t="str">
            <v>PAVIOR</v>
          </cell>
          <cell r="AB176" t="str">
            <v>CONC.</v>
          </cell>
          <cell r="AC176" t="str">
            <v>PLASTER/</v>
          </cell>
          <cell r="AD176" t="str">
            <v>REBAR</v>
          </cell>
          <cell r="AE176" t="str">
            <v>CARPENTER</v>
          </cell>
          <cell r="AF176" t="str">
            <v>RIGGER/</v>
          </cell>
          <cell r="AG176" t="str">
            <v>STEEL</v>
          </cell>
          <cell r="AH176" t="str">
            <v>A/C</v>
          </cell>
          <cell r="AI176" t="str">
            <v>PAINTER</v>
          </cell>
          <cell r="AJ176" t="str">
            <v>PLUMBER/</v>
          </cell>
          <cell r="AK176" t="str">
            <v>BACKHOE</v>
          </cell>
          <cell r="AL176" t="str">
            <v>HYDRO</v>
          </cell>
          <cell r="AM176" t="str">
            <v>DUMP</v>
          </cell>
          <cell r="AN176" t="str">
            <v>CRANE</v>
          </cell>
          <cell r="AO176" t="str">
            <v>CRANE</v>
          </cell>
          <cell r="AP176" t="str">
            <v>DIESEL</v>
          </cell>
          <cell r="AQ176" t="str">
            <v>VIB.</v>
          </cell>
          <cell r="AR176" t="str">
            <v>AUGER</v>
          </cell>
          <cell r="AS176" t="str">
            <v>PAY</v>
          </cell>
          <cell r="AT176" t="str">
            <v>DOZER</v>
          </cell>
          <cell r="AU176" t="str">
            <v>DOZER</v>
          </cell>
          <cell r="AV176" t="str">
            <v>GRADER</v>
          </cell>
          <cell r="AW176" t="str">
            <v>VIB.</v>
          </cell>
          <cell r="AX176" t="str">
            <v>CONC.</v>
          </cell>
          <cell r="AY176" t="str">
            <v>WATER</v>
          </cell>
          <cell r="AZ176" t="str">
            <v>CONC</v>
          </cell>
          <cell r="BA176" t="str">
            <v>CONC.</v>
          </cell>
          <cell r="BB176" t="str">
            <v>BAR BENDER/</v>
          </cell>
          <cell r="BC176" t="str">
            <v>ASPHALT</v>
          </cell>
          <cell r="BD176" t="str">
            <v>ASPHALT</v>
          </cell>
          <cell r="BE176" t="str">
            <v>TIRE</v>
          </cell>
          <cell r="BF176" t="str">
            <v>AIR</v>
          </cell>
          <cell r="BG176" t="str">
            <v>CARGO</v>
          </cell>
          <cell r="BH176" t="str">
            <v>FORK</v>
          </cell>
          <cell r="BI176" t="str">
            <v>CONC</v>
          </cell>
          <cell r="BJ176" t="str">
            <v>WELDING</v>
          </cell>
          <cell r="BK176" t="str">
            <v>WELDING</v>
          </cell>
          <cell r="BL176" t="str">
            <v>GENERATOR</v>
          </cell>
          <cell r="BM176" t="str">
            <v>AIR</v>
          </cell>
          <cell r="BN176" t="str">
            <v>GUNNITE</v>
          </cell>
        </row>
        <row r="177">
          <cell r="C177" t="str">
            <v>CODE NO.</v>
          </cell>
          <cell r="D177" t="str">
            <v>WORK ITEM</v>
          </cell>
          <cell r="E177" t="str">
            <v>UNIT</v>
          </cell>
          <cell r="F177" t="str">
            <v>Q'TY</v>
          </cell>
          <cell r="G177" t="str">
            <v>VOL.</v>
          </cell>
          <cell r="H177" t="str">
            <v>CONDITION</v>
          </cell>
          <cell r="I177" t="str">
            <v>CHANGE</v>
          </cell>
          <cell r="J177" t="str">
            <v>VOL.</v>
          </cell>
          <cell r="K177" t="str">
            <v>M/D</v>
          </cell>
          <cell r="L177" t="str">
            <v>BASE</v>
          </cell>
          <cell r="M177" t="str">
            <v>M/D</v>
          </cell>
          <cell r="N177" t="str">
            <v>U/P</v>
          </cell>
          <cell r="O177" t="str">
            <v>COST</v>
          </cell>
          <cell r="P177" t="str">
            <v>U/P</v>
          </cell>
          <cell r="Q177" t="str">
            <v>COST</v>
          </cell>
          <cell r="R177" t="str">
            <v>U/P</v>
          </cell>
          <cell r="S177" t="str">
            <v>COST</v>
          </cell>
          <cell r="T177" t="str">
            <v>TOTAL</v>
          </cell>
          <cell r="U177" t="str">
            <v>TOTAL</v>
          </cell>
          <cell r="X177" t="str">
            <v>OPERATOR</v>
          </cell>
          <cell r="Y177" t="str">
            <v>OPERATOR</v>
          </cell>
          <cell r="AB177" t="str">
            <v>WORKER</v>
          </cell>
          <cell r="AC177" t="str">
            <v>BRICK/</v>
          </cell>
          <cell r="AD177" t="str">
            <v>WORKER</v>
          </cell>
          <cell r="AF177" t="str">
            <v>SCAFFOLDER</v>
          </cell>
          <cell r="AG177" t="str">
            <v>WORKER</v>
          </cell>
          <cell r="AH177" t="str">
            <v>WELDER</v>
          </cell>
          <cell r="AJ177" t="str">
            <v>P. FITTER</v>
          </cell>
          <cell r="AL177" t="str">
            <v>BREAKER</v>
          </cell>
          <cell r="AM177" t="str">
            <v>TRUCK</v>
          </cell>
          <cell r="AN177" t="str">
            <v>WHEEL</v>
          </cell>
          <cell r="AO177" t="str">
            <v>CRAWLER</v>
          </cell>
          <cell r="AP177" t="str">
            <v>PILE HAMMER</v>
          </cell>
          <cell r="AQ177" t="str">
            <v>HAMMER</v>
          </cell>
          <cell r="AR177" t="str">
            <v>BORING M/C</v>
          </cell>
          <cell r="AS177" t="str">
            <v>LOADER</v>
          </cell>
          <cell r="AW177" t="str">
            <v>ROLLER</v>
          </cell>
          <cell r="AX177" t="str">
            <v>PUMP CAR</v>
          </cell>
          <cell r="AY177" t="str">
            <v>TRUCK</v>
          </cell>
          <cell r="AZ177" t="str">
            <v>MIXER TRUCK</v>
          </cell>
          <cell r="BA177" t="str">
            <v>MIXER</v>
          </cell>
          <cell r="BB177" t="str">
            <v>CUTTER</v>
          </cell>
          <cell r="BC177" t="str">
            <v>DISTRIBUTOR</v>
          </cell>
          <cell r="BD177" t="str">
            <v>FINISHER</v>
          </cell>
          <cell r="BE177" t="str">
            <v>ROLLER</v>
          </cell>
          <cell r="BF177" t="str">
            <v>COMPRESSOR</v>
          </cell>
          <cell r="BG177" t="str">
            <v>TRUCK</v>
          </cell>
          <cell r="BH177" t="str">
            <v>LIFT</v>
          </cell>
          <cell r="BI177" t="str">
            <v>BATCH PLANT</v>
          </cell>
          <cell r="BJ177" t="str">
            <v xml:space="preserve">M/C </v>
          </cell>
          <cell r="BK177" t="str">
            <v xml:space="preserve">M/C </v>
          </cell>
          <cell r="BM177" t="str">
            <v>COMPRESSOR</v>
          </cell>
        </row>
        <row r="178">
          <cell r="H178" t="str">
            <v>CHANGE</v>
          </cell>
          <cell r="AC178" t="str">
            <v>W.PROOFER</v>
          </cell>
          <cell r="AK178" t="str">
            <v>0.7 M3</v>
          </cell>
          <cell r="AL178" t="str">
            <v>0.7 M3</v>
          </cell>
          <cell r="AM178" t="str">
            <v>15 TON</v>
          </cell>
          <cell r="AN178" t="str">
            <v>25 TON</v>
          </cell>
          <cell r="AO178" t="str">
            <v>50 TON</v>
          </cell>
          <cell r="AP178" t="str">
            <v>3.2 TON</v>
          </cell>
          <cell r="AQ178" t="str">
            <v>3.2 TON</v>
          </cell>
          <cell r="AR178" t="str">
            <v>50 TON</v>
          </cell>
          <cell r="AS178" t="str">
            <v>2.4 M3</v>
          </cell>
          <cell r="AT178" t="str">
            <v>19 TON</v>
          </cell>
          <cell r="AU178" t="str">
            <v>32 TON</v>
          </cell>
          <cell r="AV178" t="str">
            <v>3.6 M</v>
          </cell>
          <cell r="AW178" t="str">
            <v>10 TON</v>
          </cell>
          <cell r="AX178" t="str">
            <v>80 M3/HR</v>
          </cell>
          <cell r="AY178" t="str">
            <v>10 M3</v>
          </cell>
          <cell r="AZ178" t="str">
            <v>6 M3</v>
          </cell>
          <cell r="BA178" t="str">
            <v>0.3 M3</v>
          </cell>
          <cell r="BB178" t="str">
            <v>D32 MM</v>
          </cell>
          <cell r="BC178" t="str">
            <v>3800 L</v>
          </cell>
          <cell r="BD178" t="str">
            <v>3 M</v>
          </cell>
          <cell r="BE178" t="str">
            <v>15 TON</v>
          </cell>
          <cell r="BF178" t="str">
            <v>250 CFM</v>
          </cell>
          <cell r="BG178" t="str">
            <v>11 TON</v>
          </cell>
          <cell r="BH178" t="str">
            <v>2.5 TON</v>
          </cell>
          <cell r="BI178" t="str">
            <v>60 M3/HR</v>
          </cell>
          <cell r="BJ178" t="str">
            <v>200 A.</v>
          </cell>
          <cell r="BL178" t="str">
            <v>115 KW</v>
          </cell>
          <cell r="BM178" t="str">
            <v>125 CFM</v>
          </cell>
          <cell r="BN178" t="str">
            <v>SET</v>
          </cell>
        </row>
        <row r="179">
          <cell r="I179">
            <v>0</v>
          </cell>
          <cell r="T179">
            <v>0</v>
          </cell>
          <cell r="U179">
            <v>0</v>
          </cell>
        </row>
        <row r="180">
          <cell r="C180">
            <v>5390</v>
          </cell>
          <cell r="D180" t="str">
            <v>WATER STOP(B=150 GAL.)</v>
          </cell>
          <cell r="E180" t="str">
            <v>M</v>
          </cell>
          <cell r="F180">
            <v>0</v>
          </cell>
          <cell r="G180">
            <v>28</v>
          </cell>
          <cell r="H180">
            <v>1.183875</v>
          </cell>
          <cell r="I180">
            <v>1</v>
          </cell>
          <cell r="J180">
            <v>33.148499999999999</v>
          </cell>
          <cell r="K180">
            <v>2</v>
          </cell>
          <cell r="L180">
            <v>0.06</v>
          </cell>
          <cell r="M180">
            <v>0</v>
          </cell>
          <cell r="N180">
            <v>8.82</v>
          </cell>
          <cell r="O180">
            <v>0</v>
          </cell>
          <cell r="P180">
            <v>1.4</v>
          </cell>
          <cell r="Q180">
            <v>0</v>
          </cell>
          <cell r="R180">
            <v>0</v>
          </cell>
          <cell r="S180">
            <v>0</v>
          </cell>
          <cell r="T180">
            <v>10.220000000000001</v>
          </cell>
          <cell r="U180">
            <v>0</v>
          </cell>
          <cell r="AE180">
            <v>1</v>
          </cell>
          <cell r="AH180">
            <v>1</v>
          </cell>
        </row>
        <row r="181">
          <cell r="C181">
            <v>5400</v>
          </cell>
          <cell r="D181" t="str">
            <v>WATER STOP(B=100 PVC)</v>
          </cell>
          <cell r="E181" t="str">
            <v>M</v>
          </cell>
          <cell r="F181">
            <v>0</v>
          </cell>
          <cell r="G181">
            <v>54</v>
          </cell>
          <cell r="H181">
            <v>1.183875</v>
          </cell>
          <cell r="I181">
            <v>1</v>
          </cell>
          <cell r="J181">
            <v>63.929250000000003</v>
          </cell>
          <cell r="K181">
            <v>2</v>
          </cell>
          <cell r="L181">
            <v>3.1E-2</v>
          </cell>
          <cell r="M181">
            <v>0</v>
          </cell>
          <cell r="N181">
            <v>9.9820000000000011</v>
          </cell>
          <cell r="O181">
            <v>0</v>
          </cell>
          <cell r="P181">
            <v>0.73</v>
          </cell>
          <cell r="Q181">
            <v>0</v>
          </cell>
          <cell r="R181">
            <v>0</v>
          </cell>
          <cell r="S181">
            <v>0</v>
          </cell>
          <cell r="T181">
            <v>10.712000000000002</v>
          </cell>
          <cell r="U181">
            <v>0</v>
          </cell>
          <cell r="AE181">
            <v>1</v>
          </cell>
          <cell r="AH181">
            <v>1</v>
          </cell>
        </row>
        <row r="182">
          <cell r="C182">
            <v>5410</v>
          </cell>
          <cell r="D182" t="str">
            <v>WATER STOP(B=150 PVC)</v>
          </cell>
          <cell r="E182" t="str">
            <v>M</v>
          </cell>
          <cell r="F182">
            <v>0</v>
          </cell>
          <cell r="G182">
            <v>50</v>
          </cell>
          <cell r="H182">
            <v>1.183875</v>
          </cell>
          <cell r="I182">
            <v>1</v>
          </cell>
          <cell r="J182">
            <v>59.193750000000001</v>
          </cell>
          <cell r="K182">
            <v>2</v>
          </cell>
          <cell r="L182">
            <v>3.4000000000000002E-2</v>
          </cell>
          <cell r="M182">
            <v>0</v>
          </cell>
          <cell r="N182">
            <v>10.978800000000001</v>
          </cell>
          <cell r="O182">
            <v>0</v>
          </cell>
          <cell r="P182">
            <v>0.79</v>
          </cell>
          <cell r="Q182">
            <v>0</v>
          </cell>
          <cell r="R182">
            <v>0.1</v>
          </cell>
          <cell r="S182">
            <v>0</v>
          </cell>
          <cell r="T182">
            <v>11.868800000000002</v>
          </cell>
          <cell r="U182">
            <v>0</v>
          </cell>
          <cell r="AE182">
            <v>1</v>
          </cell>
          <cell r="AH182">
            <v>1</v>
          </cell>
          <cell r="BK182">
            <v>0.2</v>
          </cell>
        </row>
        <row r="183">
          <cell r="C183">
            <v>5420</v>
          </cell>
          <cell r="D183" t="str">
            <v>WATER STOP(B=200 PVC)</v>
          </cell>
          <cell r="E183" t="str">
            <v>M</v>
          </cell>
          <cell r="F183">
            <v>0</v>
          </cell>
          <cell r="G183">
            <v>40</v>
          </cell>
          <cell r="H183">
            <v>1.183875</v>
          </cell>
          <cell r="I183">
            <v>1</v>
          </cell>
          <cell r="J183">
            <v>47.355000000000004</v>
          </cell>
          <cell r="K183">
            <v>2</v>
          </cell>
          <cell r="L183">
            <v>4.2000000000000003E-2</v>
          </cell>
          <cell r="M183">
            <v>0</v>
          </cell>
          <cell r="N183">
            <v>13.445600000000002</v>
          </cell>
          <cell r="O183">
            <v>0</v>
          </cell>
          <cell r="P183">
            <v>0.98</v>
          </cell>
          <cell r="Q183">
            <v>0</v>
          </cell>
          <cell r="R183">
            <v>0.13</v>
          </cell>
          <cell r="S183">
            <v>0</v>
          </cell>
          <cell r="T183">
            <v>14.555600000000004</v>
          </cell>
          <cell r="U183">
            <v>0</v>
          </cell>
          <cell r="AE183">
            <v>1</v>
          </cell>
          <cell r="AH183">
            <v>1</v>
          </cell>
          <cell r="BK183">
            <v>0.2</v>
          </cell>
        </row>
        <row r="184">
          <cell r="C184">
            <v>5430</v>
          </cell>
          <cell r="D184" t="str">
            <v>WATER STOP(B=250 PVC)</v>
          </cell>
          <cell r="E184" t="str">
            <v>M</v>
          </cell>
          <cell r="F184">
            <v>0</v>
          </cell>
          <cell r="G184">
            <v>37</v>
          </cell>
          <cell r="H184">
            <v>1.183875</v>
          </cell>
          <cell r="I184">
            <v>1</v>
          </cell>
          <cell r="J184">
            <v>43.803375000000003</v>
          </cell>
          <cell r="K184">
            <v>2</v>
          </cell>
          <cell r="L184">
            <v>4.5999999999999999E-2</v>
          </cell>
          <cell r="M184">
            <v>0</v>
          </cell>
          <cell r="N184">
            <v>16.091600000000003</v>
          </cell>
          <cell r="O184">
            <v>0</v>
          </cell>
          <cell r="P184">
            <v>1.06</v>
          </cell>
          <cell r="Q184">
            <v>0</v>
          </cell>
          <cell r="R184">
            <v>0.14000000000000001</v>
          </cell>
          <cell r="S184">
            <v>0</v>
          </cell>
          <cell r="T184">
            <v>17.291600000000003</v>
          </cell>
          <cell r="U184">
            <v>0</v>
          </cell>
          <cell r="AE184">
            <v>1</v>
          </cell>
          <cell r="AH184">
            <v>1</v>
          </cell>
          <cell r="BK184">
            <v>0.2</v>
          </cell>
        </row>
        <row r="185">
          <cell r="C185">
            <v>5440</v>
          </cell>
          <cell r="D185" t="str">
            <v>WATER STOP(B=300 PVC)</v>
          </cell>
          <cell r="E185" t="str">
            <v>M</v>
          </cell>
          <cell r="F185">
            <v>0</v>
          </cell>
          <cell r="G185">
            <v>33</v>
          </cell>
          <cell r="H185">
            <v>1.183875</v>
          </cell>
          <cell r="I185">
            <v>1</v>
          </cell>
          <cell r="J185">
            <v>39.067875000000001</v>
          </cell>
          <cell r="K185">
            <v>2</v>
          </cell>
          <cell r="L185">
            <v>5.0999999999999997E-2</v>
          </cell>
          <cell r="M185">
            <v>0</v>
          </cell>
          <cell r="N185">
            <v>22.265599999999999</v>
          </cell>
          <cell r="O185">
            <v>0</v>
          </cell>
          <cell r="P185">
            <v>1.19</v>
          </cell>
          <cell r="Q185">
            <v>0</v>
          </cell>
          <cell r="R185">
            <v>0.15</v>
          </cell>
          <cell r="S185">
            <v>0</v>
          </cell>
          <cell r="T185">
            <v>23.605599999999999</v>
          </cell>
          <cell r="U185">
            <v>0</v>
          </cell>
          <cell r="AE185">
            <v>1</v>
          </cell>
          <cell r="AH185">
            <v>1</v>
          </cell>
          <cell r="BK185">
            <v>0.2</v>
          </cell>
        </row>
        <row r="186">
          <cell r="C186">
            <v>5450</v>
          </cell>
          <cell r="D186" t="str">
            <v>WATER FILLING TEST</v>
          </cell>
          <cell r="E186" t="str">
            <v>M3</v>
          </cell>
          <cell r="F186">
            <v>0</v>
          </cell>
          <cell r="G186">
            <v>40</v>
          </cell>
          <cell r="H186">
            <v>1.183875</v>
          </cell>
          <cell r="I186">
            <v>1</v>
          </cell>
          <cell r="J186">
            <v>47.355000000000004</v>
          </cell>
          <cell r="K186">
            <v>3.7</v>
          </cell>
          <cell r="L186">
            <v>7.8E-2</v>
          </cell>
          <cell r="M186">
            <v>0</v>
          </cell>
          <cell r="N186">
            <v>0</v>
          </cell>
          <cell r="O186">
            <v>0</v>
          </cell>
          <cell r="P186">
            <v>1.46</v>
          </cell>
          <cell r="Q186">
            <v>0</v>
          </cell>
          <cell r="R186">
            <v>0.92</v>
          </cell>
          <cell r="S186">
            <v>0</v>
          </cell>
          <cell r="T186">
            <v>2.38</v>
          </cell>
          <cell r="U186">
            <v>0</v>
          </cell>
          <cell r="V186">
            <v>0.2</v>
          </cell>
          <cell r="W186">
            <v>2</v>
          </cell>
          <cell r="Z186">
            <v>0.5</v>
          </cell>
          <cell r="AC186">
            <v>1</v>
          </cell>
          <cell r="AY186">
            <v>0.5</v>
          </cell>
        </row>
        <row r="187">
          <cell r="C187">
            <v>5460</v>
          </cell>
          <cell r="D187" t="str">
            <v>WATER PROOF MORTAR</v>
          </cell>
          <cell r="E187" t="str">
            <v>M2</v>
          </cell>
          <cell r="F187">
            <v>0</v>
          </cell>
          <cell r="G187">
            <v>40</v>
          </cell>
          <cell r="H187">
            <v>1.183875</v>
          </cell>
          <cell r="I187">
            <v>1</v>
          </cell>
          <cell r="J187">
            <v>47.355000000000004</v>
          </cell>
          <cell r="K187">
            <v>5.2</v>
          </cell>
          <cell r="L187">
            <v>0.11</v>
          </cell>
          <cell r="M187">
            <v>0</v>
          </cell>
          <cell r="N187">
            <v>4.0964</v>
          </cell>
          <cell r="O187">
            <v>0</v>
          </cell>
          <cell r="P187">
            <v>2.13</v>
          </cell>
          <cell r="Q187">
            <v>0</v>
          </cell>
          <cell r="R187">
            <v>0</v>
          </cell>
          <cell r="S187">
            <v>0</v>
          </cell>
          <cell r="T187">
            <v>6.2263999999999999</v>
          </cell>
          <cell r="U187">
            <v>0</v>
          </cell>
          <cell r="V187">
            <v>0.2</v>
          </cell>
          <cell r="W187">
            <v>2</v>
          </cell>
          <cell r="AC187">
            <v>3</v>
          </cell>
        </row>
        <row r="188">
          <cell r="C188">
            <v>5470</v>
          </cell>
          <cell r="D188" t="str">
            <v>CEMENT WATER PROOFING (M/H)</v>
          </cell>
          <cell r="E188" t="str">
            <v>M2</v>
          </cell>
          <cell r="F188">
            <v>0</v>
          </cell>
          <cell r="G188">
            <v>25</v>
          </cell>
          <cell r="H188">
            <v>1.183875</v>
          </cell>
          <cell r="I188">
            <v>1</v>
          </cell>
          <cell r="J188">
            <v>29.596875000000001</v>
          </cell>
          <cell r="K188">
            <v>5.2</v>
          </cell>
          <cell r="L188">
            <v>0.17599999999999999</v>
          </cell>
          <cell r="M188">
            <v>0</v>
          </cell>
          <cell r="N188">
            <v>5.1240000000000006</v>
          </cell>
          <cell r="O188">
            <v>0</v>
          </cell>
          <cell r="P188">
            <v>3.4</v>
          </cell>
          <cell r="Q188">
            <v>0</v>
          </cell>
          <cell r="R188">
            <v>0</v>
          </cell>
          <cell r="S188">
            <v>0</v>
          </cell>
          <cell r="T188">
            <v>8.5240000000000009</v>
          </cell>
          <cell r="U188">
            <v>0</v>
          </cell>
          <cell r="V188">
            <v>0.2</v>
          </cell>
          <cell r="W188">
            <v>2</v>
          </cell>
          <cell r="AC188">
            <v>3</v>
          </cell>
        </row>
        <row r="189">
          <cell r="C189">
            <v>5480</v>
          </cell>
          <cell r="D189" t="str">
            <v>CONC OPEN DITCH (T=100MM)</v>
          </cell>
          <cell r="E189" t="str">
            <v>M2</v>
          </cell>
          <cell r="F189">
            <v>0</v>
          </cell>
          <cell r="G189">
            <v>1</v>
          </cell>
          <cell r="H189">
            <v>1</v>
          </cell>
          <cell r="I189">
            <v>1</v>
          </cell>
          <cell r="J189">
            <v>1</v>
          </cell>
          <cell r="K189">
            <v>0.1</v>
          </cell>
          <cell r="L189">
            <v>0.1</v>
          </cell>
          <cell r="M189">
            <v>0</v>
          </cell>
          <cell r="N189">
            <v>12.991999999999999</v>
          </cell>
          <cell r="O189">
            <v>0</v>
          </cell>
          <cell r="P189">
            <v>1.61</v>
          </cell>
          <cell r="Q189">
            <v>0</v>
          </cell>
          <cell r="R189">
            <v>0</v>
          </cell>
          <cell r="S189">
            <v>0</v>
          </cell>
          <cell r="T189">
            <v>14.601999999999999</v>
          </cell>
          <cell r="U189">
            <v>0</v>
          </cell>
          <cell r="W189">
            <v>0.1</v>
          </cell>
        </row>
        <row r="190">
          <cell r="C190">
            <v>5490</v>
          </cell>
          <cell r="D190" t="str">
            <v>OILY SUMP (3.5*2.5*3M DEEP)</v>
          </cell>
          <cell r="E190" t="str">
            <v>NOS</v>
          </cell>
          <cell r="F190">
            <v>0</v>
          </cell>
          <cell r="G190">
            <v>1</v>
          </cell>
          <cell r="H190">
            <v>1</v>
          </cell>
          <cell r="I190">
            <v>1</v>
          </cell>
          <cell r="J190">
            <v>1</v>
          </cell>
          <cell r="K190">
            <v>0.1</v>
          </cell>
          <cell r="L190">
            <v>0.1</v>
          </cell>
          <cell r="M190">
            <v>0</v>
          </cell>
          <cell r="N190">
            <v>2133.3333333333335</v>
          </cell>
          <cell r="O190">
            <v>0</v>
          </cell>
          <cell r="P190">
            <v>1.61</v>
          </cell>
          <cell r="Q190">
            <v>0</v>
          </cell>
          <cell r="R190">
            <v>0</v>
          </cell>
          <cell r="S190">
            <v>0</v>
          </cell>
          <cell r="T190">
            <v>2134.9433333333336</v>
          </cell>
          <cell r="U190">
            <v>0</v>
          </cell>
          <cell r="W190">
            <v>0.1</v>
          </cell>
        </row>
        <row r="191">
          <cell r="C191">
            <v>5500</v>
          </cell>
          <cell r="D191" t="str">
            <v>MANHOLE(1.9*1.9*1.9)</v>
          </cell>
          <cell r="E191" t="str">
            <v>NOS</v>
          </cell>
          <cell r="F191">
            <v>0</v>
          </cell>
          <cell r="G191">
            <v>1</v>
          </cell>
          <cell r="H191">
            <v>1</v>
          </cell>
          <cell r="I191">
            <v>1</v>
          </cell>
          <cell r="J191">
            <v>1</v>
          </cell>
          <cell r="K191">
            <v>0.1</v>
          </cell>
          <cell r="L191">
            <v>0.1</v>
          </cell>
          <cell r="M191">
            <v>0</v>
          </cell>
          <cell r="N191">
            <v>346.66666666666669</v>
          </cell>
          <cell r="O191">
            <v>0</v>
          </cell>
          <cell r="P191">
            <v>1.61</v>
          </cell>
          <cell r="Q191">
            <v>0</v>
          </cell>
          <cell r="R191">
            <v>0</v>
          </cell>
          <cell r="S191">
            <v>0</v>
          </cell>
          <cell r="T191">
            <v>348.2766666666667</v>
          </cell>
          <cell r="U191">
            <v>0</v>
          </cell>
          <cell r="W191">
            <v>0.1</v>
          </cell>
        </row>
        <row r="192">
          <cell r="C192">
            <v>5510</v>
          </cell>
          <cell r="D192" t="str">
            <v>MANHOLE (RING TYPE H=1.5M)</v>
          </cell>
          <cell r="E192" t="str">
            <v>NOS</v>
          </cell>
          <cell r="F192">
            <v>0</v>
          </cell>
          <cell r="G192">
            <v>1</v>
          </cell>
          <cell r="H192">
            <v>1</v>
          </cell>
          <cell r="I192">
            <v>1</v>
          </cell>
          <cell r="J192">
            <v>1</v>
          </cell>
          <cell r="K192">
            <v>0.1</v>
          </cell>
          <cell r="L192">
            <v>0.1</v>
          </cell>
          <cell r="M192">
            <v>0</v>
          </cell>
          <cell r="N192">
            <v>400</v>
          </cell>
          <cell r="O192">
            <v>0</v>
          </cell>
          <cell r="P192">
            <v>1.61</v>
          </cell>
          <cell r="Q192">
            <v>0</v>
          </cell>
          <cell r="R192">
            <v>0</v>
          </cell>
          <cell r="S192">
            <v>0</v>
          </cell>
          <cell r="T192">
            <v>401.61</v>
          </cell>
          <cell r="U192">
            <v>0</v>
          </cell>
          <cell r="W192">
            <v>0.1</v>
          </cell>
        </row>
        <row r="193">
          <cell r="C193">
            <v>5520</v>
          </cell>
          <cell r="D193" t="str">
            <v>VALVE PIT</v>
          </cell>
          <cell r="E193" t="str">
            <v>NOS</v>
          </cell>
          <cell r="F193">
            <v>0</v>
          </cell>
          <cell r="G193">
            <v>1</v>
          </cell>
          <cell r="H193">
            <v>1</v>
          </cell>
          <cell r="I193">
            <v>1</v>
          </cell>
          <cell r="J193">
            <v>1</v>
          </cell>
          <cell r="K193">
            <v>0.1</v>
          </cell>
          <cell r="L193">
            <v>0.1</v>
          </cell>
          <cell r="M193">
            <v>0</v>
          </cell>
          <cell r="N193">
            <v>400</v>
          </cell>
          <cell r="O193">
            <v>0</v>
          </cell>
          <cell r="P193">
            <v>1.61</v>
          </cell>
          <cell r="Q193">
            <v>0</v>
          </cell>
          <cell r="R193">
            <v>0</v>
          </cell>
          <cell r="S193">
            <v>0</v>
          </cell>
          <cell r="T193">
            <v>401.61</v>
          </cell>
          <cell r="U193">
            <v>0</v>
          </cell>
          <cell r="W193">
            <v>0.1</v>
          </cell>
        </row>
        <row r="194">
          <cell r="C194">
            <v>5530</v>
          </cell>
          <cell r="D194" t="str">
            <v>DRAIN BOX</v>
          </cell>
          <cell r="E194" t="str">
            <v>NOS</v>
          </cell>
          <cell r="F194">
            <v>0</v>
          </cell>
          <cell r="G194">
            <v>1</v>
          </cell>
          <cell r="H194">
            <v>1</v>
          </cell>
          <cell r="I194">
            <v>1</v>
          </cell>
          <cell r="J194">
            <v>1</v>
          </cell>
          <cell r="K194">
            <v>0.1</v>
          </cell>
          <cell r="L194">
            <v>0.1</v>
          </cell>
          <cell r="M194">
            <v>0</v>
          </cell>
          <cell r="N194">
            <v>400</v>
          </cell>
          <cell r="O194">
            <v>0</v>
          </cell>
          <cell r="P194">
            <v>1.61</v>
          </cell>
          <cell r="Q194">
            <v>0</v>
          </cell>
          <cell r="R194">
            <v>0</v>
          </cell>
          <cell r="S194">
            <v>0</v>
          </cell>
          <cell r="T194">
            <v>401.61</v>
          </cell>
          <cell r="U194">
            <v>0</v>
          </cell>
          <cell r="W194">
            <v>0.1</v>
          </cell>
        </row>
        <row r="195">
          <cell r="C195">
            <v>5540</v>
          </cell>
          <cell r="D195" t="str">
            <v>ANCHOR BOX (0.1x0.1x0.5 , 0.005 M3)</v>
          </cell>
          <cell r="E195" t="str">
            <v>NOS</v>
          </cell>
          <cell r="F195">
            <v>0</v>
          </cell>
          <cell r="G195">
            <v>10</v>
          </cell>
          <cell r="H195">
            <v>1.183875</v>
          </cell>
          <cell r="I195">
            <v>1</v>
          </cell>
          <cell r="J195">
            <v>11.838750000000001</v>
          </cell>
          <cell r="K195">
            <v>2.2000000000000002</v>
          </cell>
          <cell r="L195">
            <v>0.186</v>
          </cell>
          <cell r="M195">
            <v>0</v>
          </cell>
          <cell r="N195">
            <v>1.3185334678775649</v>
          </cell>
          <cell r="O195">
            <v>0</v>
          </cell>
          <cell r="P195">
            <v>4</v>
          </cell>
          <cell r="Q195">
            <v>0</v>
          </cell>
          <cell r="R195">
            <v>0</v>
          </cell>
          <cell r="S195">
            <v>0</v>
          </cell>
          <cell r="T195">
            <v>5.3185334678775646</v>
          </cell>
          <cell r="U195">
            <v>0</v>
          </cell>
          <cell r="V195">
            <v>0.2</v>
          </cell>
          <cell r="AE195">
            <v>2</v>
          </cell>
        </row>
        <row r="196">
          <cell r="C196">
            <v>5550</v>
          </cell>
          <cell r="D196" t="str">
            <v>ANCHOR BOX (0.2x0.2x0.5 , 0.02 M3)</v>
          </cell>
          <cell r="E196" t="str">
            <v>NOS</v>
          </cell>
          <cell r="F196">
            <v>0</v>
          </cell>
          <cell r="G196">
            <v>8</v>
          </cell>
          <cell r="H196">
            <v>1.183875</v>
          </cell>
          <cell r="I196">
            <v>1</v>
          </cell>
          <cell r="J196">
            <v>9.4710000000000001</v>
          </cell>
          <cell r="K196">
            <v>2.2000000000000002</v>
          </cell>
          <cell r="L196">
            <v>0.23200000000000001</v>
          </cell>
          <cell r="M196">
            <v>0</v>
          </cell>
          <cell r="N196">
            <v>2.6898082744702325</v>
          </cell>
          <cell r="O196">
            <v>0</v>
          </cell>
          <cell r="P196">
            <v>5</v>
          </cell>
          <cell r="Q196">
            <v>0</v>
          </cell>
          <cell r="R196">
            <v>0</v>
          </cell>
          <cell r="S196">
            <v>0</v>
          </cell>
          <cell r="T196">
            <v>7.6898082744702325</v>
          </cell>
          <cell r="U196">
            <v>0</v>
          </cell>
          <cell r="V196">
            <v>0.2</v>
          </cell>
          <cell r="AE196">
            <v>2</v>
          </cell>
        </row>
        <row r="197">
          <cell r="C197">
            <v>5560</v>
          </cell>
          <cell r="D197" t="str">
            <v>ANCHOR BOX (0.3x0.3x0.5 , 0.045 M3)</v>
          </cell>
          <cell r="E197" t="str">
            <v>NOS</v>
          </cell>
          <cell r="F197">
            <v>0</v>
          </cell>
          <cell r="G197">
            <v>6</v>
          </cell>
          <cell r="H197">
            <v>1.183875</v>
          </cell>
          <cell r="I197">
            <v>1</v>
          </cell>
          <cell r="J197">
            <v>7.1032500000000001</v>
          </cell>
          <cell r="K197">
            <v>2.2000000000000002</v>
          </cell>
          <cell r="L197">
            <v>0.31</v>
          </cell>
          <cell r="M197">
            <v>0</v>
          </cell>
          <cell r="N197">
            <v>4.2193070972082074</v>
          </cell>
          <cell r="O197">
            <v>0</v>
          </cell>
          <cell r="P197">
            <v>6.67</v>
          </cell>
          <cell r="Q197">
            <v>0</v>
          </cell>
          <cell r="R197">
            <v>0</v>
          </cell>
          <cell r="S197">
            <v>0</v>
          </cell>
          <cell r="T197">
            <v>10.889307097208206</v>
          </cell>
          <cell r="U197">
            <v>0</v>
          </cell>
          <cell r="V197">
            <v>0.2</v>
          </cell>
          <cell r="AE197">
            <v>2</v>
          </cell>
        </row>
        <row r="198">
          <cell r="C198">
            <v>5570</v>
          </cell>
          <cell r="D198" t="str">
            <v>ANCHOR BOX (0.4x0.4x0.5 , 0.08 M3)</v>
          </cell>
          <cell r="E198" t="str">
            <v>NOS</v>
          </cell>
          <cell r="F198">
            <v>0</v>
          </cell>
          <cell r="G198">
            <v>5</v>
          </cell>
          <cell r="H198">
            <v>1.183875</v>
          </cell>
          <cell r="I198">
            <v>1</v>
          </cell>
          <cell r="J198">
            <v>5.9193750000000005</v>
          </cell>
          <cell r="K198">
            <v>2.2000000000000002</v>
          </cell>
          <cell r="L198">
            <v>0.372</v>
          </cell>
          <cell r="M198">
            <v>0</v>
          </cell>
          <cell r="N198">
            <v>5.8542885973763887</v>
          </cell>
          <cell r="O198">
            <v>0</v>
          </cell>
          <cell r="P198">
            <v>8</v>
          </cell>
          <cell r="Q198">
            <v>0</v>
          </cell>
          <cell r="R198">
            <v>0</v>
          </cell>
          <cell r="S198">
            <v>0</v>
          </cell>
          <cell r="T198">
            <v>13.854288597376389</v>
          </cell>
          <cell r="U198">
            <v>0</v>
          </cell>
          <cell r="V198">
            <v>0.2</v>
          </cell>
          <cell r="AE198">
            <v>2</v>
          </cell>
        </row>
        <row r="199">
          <cell r="C199">
            <v>5580</v>
          </cell>
          <cell r="D199" t="str">
            <v>JUCTION BOX(.8*.8*1M)</v>
          </cell>
          <cell r="E199" t="str">
            <v>NOS</v>
          </cell>
          <cell r="F199">
            <v>0</v>
          </cell>
          <cell r="G199">
            <v>1</v>
          </cell>
          <cell r="H199">
            <v>1</v>
          </cell>
          <cell r="I199">
            <v>1</v>
          </cell>
          <cell r="J199">
            <v>1</v>
          </cell>
          <cell r="K199">
            <v>0.1</v>
          </cell>
          <cell r="L199">
            <v>0.1</v>
          </cell>
          <cell r="M199">
            <v>0</v>
          </cell>
          <cell r="N199">
            <v>160</v>
          </cell>
          <cell r="O199">
            <v>0</v>
          </cell>
          <cell r="P199">
            <v>1.61</v>
          </cell>
          <cell r="Q199">
            <v>0</v>
          </cell>
          <cell r="R199">
            <v>0</v>
          </cell>
          <cell r="S199">
            <v>0</v>
          </cell>
          <cell r="T199">
            <v>161.61000000000001</v>
          </cell>
          <cell r="U199">
            <v>0</v>
          </cell>
          <cell r="W199">
            <v>0.1</v>
          </cell>
        </row>
        <row r="200">
          <cell r="C200">
            <v>5590</v>
          </cell>
          <cell r="D200" t="str">
            <v>P/C COVER(4.25*1.33*.25)</v>
          </cell>
          <cell r="E200" t="str">
            <v>NOS</v>
          </cell>
          <cell r="F200">
            <v>0</v>
          </cell>
          <cell r="G200">
            <v>1</v>
          </cell>
          <cell r="H200">
            <v>1</v>
          </cell>
          <cell r="I200">
            <v>1</v>
          </cell>
          <cell r="J200">
            <v>1</v>
          </cell>
          <cell r="K200">
            <v>0.01</v>
          </cell>
          <cell r="L200">
            <v>0.01</v>
          </cell>
          <cell r="M200">
            <v>0</v>
          </cell>
          <cell r="N200">
            <v>173.33333333333334</v>
          </cell>
          <cell r="O200">
            <v>0</v>
          </cell>
          <cell r="P200">
            <v>0.16</v>
          </cell>
          <cell r="Q200">
            <v>0</v>
          </cell>
          <cell r="R200">
            <v>0</v>
          </cell>
          <cell r="S200">
            <v>0</v>
          </cell>
          <cell r="T200">
            <v>173.49333333333334</v>
          </cell>
          <cell r="U200">
            <v>0</v>
          </cell>
          <cell r="W200">
            <v>0.01</v>
          </cell>
        </row>
        <row r="201">
          <cell r="C201">
            <v>5600</v>
          </cell>
          <cell r="D201" t="str">
            <v>P/C COVER(4.75*1.67*.25)</v>
          </cell>
          <cell r="E201" t="str">
            <v>NOS</v>
          </cell>
          <cell r="F201">
            <v>0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0.01</v>
          </cell>
          <cell r="L201">
            <v>0.01</v>
          </cell>
          <cell r="M201">
            <v>0</v>
          </cell>
          <cell r="N201">
            <v>173.33333333333334</v>
          </cell>
          <cell r="O201">
            <v>0</v>
          </cell>
          <cell r="P201">
            <v>0.16</v>
          </cell>
          <cell r="Q201">
            <v>0</v>
          </cell>
          <cell r="R201">
            <v>0</v>
          </cell>
          <cell r="S201">
            <v>0</v>
          </cell>
          <cell r="T201">
            <v>173.49333333333334</v>
          </cell>
          <cell r="U201">
            <v>0</v>
          </cell>
          <cell r="W201">
            <v>0.01</v>
          </cell>
        </row>
        <row r="202">
          <cell r="C202">
            <v>5610</v>
          </cell>
          <cell r="D202" t="str">
            <v>P/C PIPE RACK(EXCEPT EARTH WORK)</v>
          </cell>
          <cell r="E202" t="str">
            <v>M3</v>
          </cell>
          <cell r="F202">
            <v>0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0.1</v>
          </cell>
          <cell r="L202">
            <v>0.1</v>
          </cell>
          <cell r="M202">
            <v>0</v>
          </cell>
          <cell r="N202">
            <v>512</v>
          </cell>
          <cell r="O202">
            <v>0</v>
          </cell>
          <cell r="P202">
            <v>1.61</v>
          </cell>
          <cell r="Q202">
            <v>0</v>
          </cell>
          <cell r="R202">
            <v>0</v>
          </cell>
          <cell r="S202">
            <v>0</v>
          </cell>
          <cell r="T202">
            <v>513.61</v>
          </cell>
          <cell r="U202">
            <v>0</v>
          </cell>
          <cell r="W202">
            <v>0.1</v>
          </cell>
        </row>
        <row r="203">
          <cell r="C203">
            <v>6000</v>
          </cell>
          <cell r="D203" t="str">
            <v>ASPHALT SAND  ON  FDN. ( T=30MM)</v>
          </cell>
          <cell r="E203" t="str">
            <v>M3</v>
          </cell>
          <cell r="F203">
            <v>0</v>
          </cell>
          <cell r="G203">
            <v>10</v>
          </cell>
          <cell r="H203">
            <v>1.183875</v>
          </cell>
          <cell r="I203">
            <v>1</v>
          </cell>
          <cell r="J203">
            <v>11.838750000000001</v>
          </cell>
          <cell r="K203">
            <v>4.8499999999999996</v>
          </cell>
          <cell r="L203">
            <v>0.41</v>
          </cell>
          <cell r="M203">
            <v>0</v>
          </cell>
          <cell r="N203">
            <v>54.6</v>
          </cell>
          <cell r="O203">
            <v>0</v>
          </cell>
          <cell r="P203">
            <v>7.15</v>
          </cell>
          <cell r="Q203">
            <v>0</v>
          </cell>
          <cell r="R203">
            <v>1.9</v>
          </cell>
          <cell r="S203">
            <v>0</v>
          </cell>
          <cell r="T203">
            <v>63.65</v>
          </cell>
          <cell r="U203">
            <v>0</v>
          </cell>
          <cell r="V203">
            <v>0.5</v>
          </cell>
          <cell r="W203">
            <v>4</v>
          </cell>
          <cell r="X203">
            <v>0.1</v>
          </cell>
          <cell r="Z203">
            <v>0.25</v>
          </cell>
          <cell r="AS203">
            <v>0.1</v>
          </cell>
        </row>
        <row r="204">
          <cell r="C204">
            <v>6010</v>
          </cell>
          <cell r="D204" t="str">
            <v>ASPHALT SPRAY</v>
          </cell>
          <cell r="E204" t="str">
            <v>M2</v>
          </cell>
          <cell r="F204">
            <v>0</v>
          </cell>
          <cell r="G204">
            <v>650</v>
          </cell>
          <cell r="H204">
            <v>1.183875</v>
          </cell>
          <cell r="I204">
            <v>1</v>
          </cell>
          <cell r="J204">
            <v>769.51874999999995</v>
          </cell>
          <cell r="K204">
            <v>2.8000000000000003</v>
          </cell>
          <cell r="L204">
            <v>4.0000000000000001E-3</v>
          </cell>
          <cell r="M204">
            <v>0</v>
          </cell>
          <cell r="N204">
            <v>1.8224500000000001</v>
          </cell>
          <cell r="O204">
            <v>0</v>
          </cell>
          <cell r="P204">
            <v>7.0000000000000007E-2</v>
          </cell>
          <cell r="Q204">
            <v>0</v>
          </cell>
          <cell r="R204">
            <v>0.08</v>
          </cell>
          <cell r="S204">
            <v>0</v>
          </cell>
          <cell r="T204">
            <v>1.9724500000000003</v>
          </cell>
          <cell r="U204">
            <v>0</v>
          </cell>
          <cell r="V204">
            <v>0.2</v>
          </cell>
          <cell r="W204">
            <v>2</v>
          </cell>
          <cell r="X204">
            <v>0.6</v>
          </cell>
          <cell r="BC204">
            <v>0.6</v>
          </cell>
        </row>
        <row r="205">
          <cell r="C205">
            <v>6020</v>
          </cell>
          <cell r="D205" t="str">
            <v>SLOPE COMPACTION OF DIKE</v>
          </cell>
          <cell r="E205" t="str">
            <v>M2</v>
          </cell>
          <cell r="F205">
            <v>0</v>
          </cell>
          <cell r="G205">
            <v>125</v>
          </cell>
          <cell r="H205">
            <v>1.183875</v>
          </cell>
          <cell r="I205">
            <v>1</v>
          </cell>
          <cell r="J205">
            <v>147.984375</v>
          </cell>
          <cell r="K205">
            <v>5</v>
          </cell>
          <cell r="L205">
            <v>3.4000000000000002E-2</v>
          </cell>
          <cell r="M205">
            <v>0</v>
          </cell>
          <cell r="N205">
            <v>0</v>
          </cell>
          <cell r="O205">
            <v>0</v>
          </cell>
          <cell r="P205">
            <v>0.6</v>
          </cell>
          <cell r="Q205">
            <v>0</v>
          </cell>
          <cell r="R205">
            <v>0.28999999999999998</v>
          </cell>
          <cell r="S205">
            <v>0</v>
          </cell>
          <cell r="T205">
            <v>0.8899999999999999</v>
          </cell>
          <cell r="U205">
            <v>0</v>
          </cell>
          <cell r="V205">
            <v>0.5</v>
          </cell>
          <cell r="W205">
            <v>4</v>
          </cell>
          <cell r="X205">
            <v>0.25</v>
          </cell>
          <cell r="Z205">
            <v>0.25</v>
          </cell>
          <cell r="AY205">
            <v>0.5</v>
          </cell>
        </row>
        <row r="206">
          <cell r="C206">
            <v>6030</v>
          </cell>
          <cell r="D206" t="str">
            <v>SLOPE PROT OF  ASCON(T=60MM)</v>
          </cell>
          <cell r="E206" t="str">
            <v>M2</v>
          </cell>
          <cell r="F206">
            <v>0</v>
          </cell>
          <cell r="G206">
            <v>58</v>
          </cell>
          <cell r="H206">
            <v>1.183875</v>
          </cell>
          <cell r="I206">
            <v>1</v>
          </cell>
          <cell r="J206">
            <v>68.664749999999998</v>
          </cell>
          <cell r="K206">
            <v>6</v>
          </cell>
          <cell r="L206">
            <v>8.6999999999999994E-2</v>
          </cell>
          <cell r="M206">
            <v>0</v>
          </cell>
          <cell r="N206">
            <v>2.541728</v>
          </cell>
          <cell r="O206">
            <v>0</v>
          </cell>
          <cell r="P206">
            <v>1.59</v>
          </cell>
          <cell r="Q206">
            <v>0</v>
          </cell>
          <cell r="R206">
            <v>0.82</v>
          </cell>
          <cell r="S206">
            <v>0</v>
          </cell>
          <cell r="T206">
            <v>4.9517280000000001</v>
          </cell>
          <cell r="U206">
            <v>0</v>
          </cell>
          <cell r="V206">
            <v>0.5</v>
          </cell>
          <cell r="W206">
            <v>4</v>
          </cell>
          <cell r="X206">
            <v>0.25</v>
          </cell>
          <cell r="Z206">
            <v>0.25</v>
          </cell>
          <cell r="AE206">
            <v>1</v>
          </cell>
          <cell r="AS206">
            <v>0.25</v>
          </cell>
        </row>
        <row r="207">
          <cell r="C207">
            <v>6040</v>
          </cell>
          <cell r="D207" t="str">
            <v>SLOPE PROT OF CONC(T=50MM)</v>
          </cell>
          <cell r="E207" t="str">
            <v>M2</v>
          </cell>
          <cell r="F207">
            <v>0</v>
          </cell>
          <cell r="G207">
            <v>1</v>
          </cell>
          <cell r="H207">
            <v>1</v>
          </cell>
          <cell r="I207">
            <v>1</v>
          </cell>
          <cell r="J207">
            <v>1</v>
          </cell>
          <cell r="K207">
            <v>0.05</v>
          </cell>
          <cell r="L207">
            <v>0.05</v>
          </cell>
          <cell r="M207">
            <v>0</v>
          </cell>
          <cell r="N207">
            <v>19.466666666666665</v>
          </cell>
          <cell r="O207">
            <v>0</v>
          </cell>
          <cell r="P207">
            <v>0.8</v>
          </cell>
          <cell r="Q207">
            <v>0</v>
          </cell>
          <cell r="R207">
            <v>0</v>
          </cell>
          <cell r="S207">
            <v>0</v>
          </cell>
          <cell r="T207">
            <v>20.266666666666666</v>
          </cell>
          <cell r="U207">
            <v>0</v>
          </cell>
          <cell r="W207">
            <v>0.05</v>
          </cell>
        </row>
        <row r="208">
          <cell r="C208">
            <v>6050</v>
          </cell>
          <cell r="D208" t="str">
            <v>SLOPE PROT OF CONC LINING(T=75MM)</v>
          </cell>
          <cell r="E208" t="str">
            <v>M2</v>
          </cell>
          <cell r="F208">
            <v>0</v>
          </cell>
          <cell r="G208">
            <v>1</v>
          </cell>
          <cell r="H208">
            <v>1</v>
          </cell>
          <cell r="I208">
            <v>1</v>
          </cell>
          <cell r="J208">
            <v>1</v>
          </cell>
          <cell r="K208">
            <v>0.05</v>
          </cell>
          <cell r="L208">
            <v>0.05</v>
          </cell>
          <cell r="M208">
            <v>0</v>
          </cell>
          <cell r="N208">
            <v>11.2</v>
          </cell>
          <cell r="O208">
            <v>0</v>
          </cell>
          <cell r="P208">
            <v>0.8</v>
          </cell>
          <cell r="Q208">
            <v>0</v>
          </cell>
          <cell r="R208">
            <v>0</v>
          </cell>
          <cell r="S208">
            <v>0</v>
          </cell>
          <cell r="T208">
            <v>12</v>
          </cell>
          <cell r="U208">
            <v>0</v>
          </cell>
          <cell r="W208">
            <v>0.05</v>
          </cell>
        </row>
        <row r="209">
          <cell r="C209">
            <v>6060</v>
          </cell>
          <cell r="D209" t="str">
            <v>SLOPE PROT OF CONC LINING(T=100MM) W/MESH</v>
          </cell>
          <cell r="E209" t="str">
            <v>M2</v>
          </cell>
          <cell r="F209">
            <v>0</v>
          </cell>
          <cell r="G209">
            <v>1</v>
          </cell>
          <cell r="H209">
            <v>1</v>
          </cell>
          <cell r="I209">
            <v>1</v>
          </cell>
          <cell r="J209">
            <v>1</v>
          </cell>
          <cell r="K209">
            <v>0.05</v>
          </cell>
          <cell r="L209">
            <v>0.05</v>
          </cell>
          <cell r="M209">
            <v>0</v>
          </cell>
          <cell r="N209">
            <v>13.44</v>
          </cell>
          <cell r="O209">
            <v>0</v>
          </cell>
          <cell r="P209">
            <v>0.8</v>
          </cell>
          <cell r="Q209">
            <v>0</v>
          </cell>
          <cell r="R209">
            <v>0</v>
          </cell>
          <cell r="S209">
            <v>0</v>
          </cell>
          <cell r="T209">
            <v>14.24</v>
          </cell>
          <cell r="U209">
            <v>0</v>
          </cell>
          <cell r="W209">
            <v>0.05</v>
          </cell>
        </row>
        <row r="210">
          <cell r="C210">
            <v>6070</v>
          </cell>
          <cell r="D210" t="str">
            <v>SLOPE PROT OF GUNITE (T=50MM) W/MESH</v>
          </cell>
          <cell r="E210" t="str">
            <v>M2</v>
          </cell>
          <cell r="F210">
            <v>0</v>
          </cell>
          <cell r="G210">
            <v>1</v>
          </cell>
          <cell r="H210">
            <v>1</v>
          </cell>
          <cell r="I210">
            <v>1</v>
          </cell>
          <cell r="J210">
            <v>1</v>
          </cell>
          <cell r="K210">
            <v>0.05</v>
          </cell>
          <cell r="L210">
            <v>0.05</v>
          </cell>
          <cell r="M210">
            <v>0</v>
          </cell>
          <cell r="N210">
            <v>6.72</v>
          </cell>
          <cell r="O210">
            <v>0</v>
          </cell>
          <cell r="P210">
            <v>0.8</v>
          </cell>
          <cell r="Q210">
            <v>0</v>
          </cell>
          <cell r="R210">
            <v>4.3899999999999997</v>
          </cell>
          <cell r="S210">
            <v>0</v>
          </cell>
          <cell r="T210">
            <v>11.91</v>
          </cell>
          <cell r="U210">
            <v>0</v>
          </cell>
          <cell r="W210">
            <v>0.05</v>
          </cell>
          <cell r="BN210">
            <v>0.02</v>
          </cell>
        </row>
        <row r="211">
          <cell r="C211">
            <v>6080</v>
          </cell>
          <cell r="D211" t="str">
            <v>TANK A FILL</v>
          </cell>
          <cell r="E211" t="str">
            <v>M3</v>
          </cell>
          <cell r="F211">
            <v>0</v>
          </cell>
          <cell r="G211">
            <v>1</v>
          </cell>
          <cell r="H211">
            <v>1</v>
          </cell>
          <cell r="I211">
            <v>1</v>
          </cell>
          <cell r="J211">
            <v>1</v>
          </cell>
          <cell r="K211">
            <v>0.02</v>
          </cell>
          <cell r="L211">
            <v>0.02</v>
          </cell>
          <cell r="M211">
            <v>0</v>
          </cell>
          <cell r="N211">
            <v>13.333333333333334</v>
          </cell>
          <cell r="O211">
            <v>0</v>
          </cell>
          <cell r="P211">
            <v>0.32</v>
          </cell>
          <cell r="Q211">
            <v>0</v>
          </cell>
          <cell r="R211">
            <v>0</v>
          </cell>
          <cell r="S211">
            <v>0</v>
          </cell>
          <cell r="T211">
            <v>13.653333333333334</v>
          </cell>
          <cell r="U211">
            <v>0</v>
          </cell>
          <cell r="W211">
            <v>0.02</v>
          </cell>
        </row>
        <row r="212">
          <cell r="C212">
            <v>6090</v>
          </cell>
          <cell r="D212" t="str">
            <v>TANK B SOIL FILL</v>
          </cell>
          <cell r="E212" t="str">
            <v>M3</v>
          </cell>
          <cell r="F212">
            <v>0</v>
          </cell>
          <cell r="G212">
            <v>1</v>
          </cell>
          <cell r="H212">
            <v>1</v>
          </cell>
          <cell r="I212">
            <v>1</v>
          </cell>
          <cell r="J212">
            <v>1</v>
          </cell>
          <cell r="K212">
            <v>0.02</v>
          </cell>
          <cell r="L212">
            <v>0.02</v>
          </cell>
          <cell r="M212">
            <v>0</v>
          </cell>
          <cell r="N212">
            <v>3.2</v>
          </cell>
          <cell r="O212">
            <v>0</v>
          </cell>
          <cell r="P212">
            <v>0.32</v>
          </cell>
          <cell r="Q212">
            <v>0</v>
          </cell>
          <cell r="R212">
            <v>0</v>
          </cell>
          <cell r="S212">
            <v>0</v>
          </cell>
          <cell r="T212">
            <v>3.52</v>
          </cell>
          <cell r="U212">
            <v>0</v>
          </cell>
          <cell r="W212">
            <v>0.02</v>
          </cell>
        </row>
        <row r="213">
          <cell r="C213">
            <v>6100</v>
          </cell>
          <cell r="D213" t="str">
            <v>TANK CRUSHED STONE FILL</v>
          </cell>
          <cell r="E213" t="str">
            <v>M3</v>
          </cell>
          <cell r="F213">
            <v>0</v>
          </cell>
          <cell r="G213">
            <v>1</v>
          </cell>
          <cell r="H213">
            <v>1</v>
          </cell>
          <cell r="I213">
            <v>1</v>
          </cell>
          <cell r="J213">
            <v>1</v>
          </cell>
          <cell r="K213">
            <v>0.02</v>
          </cell>
          <cell r="L213">
            <v>0.02</v>
          </cell>
          <cell r="M213">
            <v>0</v>
          </cell>
          <cell r="N213">
            <v>12.133333333333333</v>
          </cell>
          <cell r="O213">
            <v>0</v>
          </cell>
          <cell r="P213">
            <v>0.32</v>
          </cell>
          <cell r="Q213">
            <v>0</v>
          </cell>
          <cell r="R213">
            <v>0</v>
          </cell>
          <cell r="S213">
            <v>0</v>
          </cell>
          <cell r="T213">
            <v>12.453333333333333</v>
          </cell>
          <cell r="U213">
            <v>0</v>
          </cell>
          <cell r="W213">
            <v>0.02</v>
          </cell>
        </row>
        <row r="214">
          <cell r="C214">
            <v>6110</v>
          </cell>
          <cell r="D214" t="str">
            <v>EARTH DIKE</v>
          </cell>
          <cell r="E214" t="str">
            <v>M3</v>
          </cell>
          <cell r="F214">
            <v>0</v>
          </cell>
          <cell r="G214">
            <v>1</v>
          </cell>
          <cell r="H214">
            <v>1</v>
          </cell>
          <cell r="I214">
            <v>1</v>
          </cell>
          <cell r="J214">
            <v>1</v>
          </cell>
          <cell r="K214">
            <v>0.02</v>
          </cell>
          <cell r="L214">
            <v>0.02</v>
          </cell>
          <cell r="M214">
            <v>0</v>
          </cell>
          <cell r="N214">
            <v>6.666666666666667</v>
          </cell>
          <cell r="O214">
            <v>0</v>
          </cell>
          <cell r="P214">
            <v>0.32</v>
          </cell>
          <cell r="Q214">
            <v>0</v>
          </cell>
          <cell r="R214">
            <v>0</v>
          </cell>
          <cell r="S214">
            <v>0</v>
          </cell>
          <cell r="T214">
            <v>6.9866666666666672</v>
          </cell>
          <cell r="U214">
            <v>0</v>
          </cell>
          <cell r="W214">
            <v>0.02</v>
          </cell>
        </row>
        <row r="215">
          <cell r="G215" t="str">
            <v>BASE</v>
          </cell>
          <cell r="H215" t="str">
            <v>SITE</v>
          </cell>
          <cell r="I215" t="str">
            <v>UNIT</v>
          </cell>
          <cell r="J215" t="str">
            <v>BASE</v>
          </cell>
          <cell r="K215" t="str">
            <v>BASE</v>
          </cell>
          <cell r="L215" t="str">
            <v>UNIT M/D</v>
          </cell>
          <cell r="M215" t="str">
            <v>SUB-TOT.</v>
          </cell>
          <cell r="N215" t="str">
            <v>MAT</v>
          </cell>
          <cell r="O215" t="str">
            <v>MAT</v>
          </cell>
          <cell r="P215" t="str">
            <v>LABOUR</v>
          </cell>
          <cell r="Q215" t="str">
            <v>LABOUR</v>
          </cell>
          <cell r="R215" t="str">
            <v>EQUIP.</v>
          </cell>
          <cell r="S215" t="str">
            <v>EQUIP.</v>
          </cell>
          <cell r="T215" t="str">
            <v>UNIT</v>
          </cell>
          <cell r="V215" t="str">
            <v>FOREMAN</v>
          </cell>
          <cell r="W215" t="str">
            <v>LABOUR</v>
          </cell>
          <cell r="X215" t="str">
            <v>EQUIP.</v>
          </cell>
          <cell r="Y215" t="str">
            <v>M/C</v>
          </cell>
          <cell r="Z215" t="str">
            <v>DRIVER</v>
          </cell>
          <cell r="AA215" t="str">
            <v>PAVIOR</v>
          </cell>
          <cell r="AB215" t="str">
            <v>CONC.</v>
          </cell>
          <cell r="AC215" t="str">
            <v>PLASTER/</v>
          </cell>
          <cell r="AD215" t="str">
            <v>REBAR</v>
          </cell>
          <cell r="AE215" t="str">
            <v>CARPENTER</v>
          </cell>
          <cell r="AF215" t="str">
            <v>RIGGER/</v>
          </cell>
          <cell r="AG215" t="str">
            <v>STEEL</v>
          </cell>
          <cell r="AH215" t="str">
            <v>A/C</v>
          </cell>
          <cell r="AI215" t="str">
            <v>PAINTER</v>
          </cell>
          <cell r="AJ215" t="str">
            <v>PLUMBER/</v>
          </cell>
          <cell r="AK215" t="str">
            <v>BACKHOE</v>
          </cell>
          <cell r="AL215" t="str">
            <v>HYDRO</v>
          </cell>
          <cell r="AM215" t="str">
            <v>DUMP</v>
          </cell>
          <cell r="AN215" t="str">
            <v>CRANE</v>
          </cell>
          <cell r="AO215" t="str">
            <v>CRANE</v>
          </cell>
          <cell r="AP215" t="str">
            <v>DIESEL</v>
          </cell>
          <cell r="AQ215" t="str">
            <v>VIB.</v>
          </cell>
          <cell r="AR215" t="str">
            <v>AUGER</v>
          </cell>
          <cell r="AS215" t="str">
            <v>PAY</v>
          </cell>
          <cell r="AT215" t="str">
            <v>DOZER</v>
          </cell>
          <cell r="AU215" t="str">
            <v>DOZER</v>
          </cell>
          <cell r="AV215" t="str">
            <v>GRADER</v>
          </cell>
          <cell r="AW215" t="str">
            <v>VIB.</v>
          </cell>
          <cell r="AX215" t="str">
            <v>CONC.</v>
          </cell>
          <cell r="AY215" t="str">
            <v>WATER</v>
          </cell>
          <cell r="AZ215" t="str">
            <v>CONC</v>
          </cell>
          <cell r="BA215" t="str">
            <v>CONC.</v>
          </cell>
          <cell r="BB215" t="str">
            <v>BAR BENDER/</v>
          </cell>
          <cell r="BC215" t="str">
            <v>ASPHALT</v>
          </cell>
          <cell r="BD215" t="str">
            <v>ASPHALT</v>
          </cell>
          <cell r="BE215" t="str">
            <v>TIRE</v>
          </cell>
          <cell r="BF215" t="str">
            <v>AIR</v>
          </cell>
          <cell r="BG215" t="str">
            <v>CARGO</v>
          </cell>
          <cell r="BH215" t="str">
            <v>FORK</v>
          </cell>
          <cell r="BI215" t="str">
            <v>CONC</v>
          </cell>
          <cell r="BJ215" t="str">
            <v>WELDING</v>
          </cell>
          <cell r="BK215" t="str">
            <v>WELDING</v>
          </cell>
          <cell r="BL215" t="str">
            <v>GENERATOR</v>
          </cell>
          <cell r="BM215" t="str">
            <v>AIR</v>
          </cell>
          <cell r="BN215" t="str">
            <v>GUNNITE</v>
          </cell>
        </row>
        <row r="216">
          <cell r="C216" t="str">
            <v>CODE NO.</v>
          </cell>
          <cell r="D216" t="str">
            <v>WORK ITEM</v>
          </cell>
          <cell r="E216" t="str">
            <v>UNIT</v>
          </cell>
          <cell r="F216" t="str">
            <v>Q'TY</v>
          </cell>
          <cell r="G216" t="str">
            <v>VOL.</v>
          </cell>
          <cell r="H216" t="str">
            <v>CONDITION</v>
          </cell>
          <cell r="I216" t="str">
            <v>CHANGE</v>
          </cell>
          <cell r="J216" t="str">
            <v>VOL.</v>
          </cell>
          <cell r="K216" t="str">
            <v>M/D</v>
          </cell>
          <cell r="L216" t="str">
            <v>BASE</v>
          </cell>
          <cell r="M216" t="str">
            <v>M/D</v>
          </cell>
          <cell r="N216" t="str">
            <v>U/P</v>
          </cell>
          <cell r="O216" t="str">
            <v>COST</v>
          </cell>
          <cell r="P216" t="str">
            <v>U/P</v>
          </cell>
          <cell r="Q216" t="str">
            <v>COST</v>
          </cell>
          <cell r="R216" t="str">
            <v>U/P</v>
          </cell>
          <cell r="S216" t="str">
            <v>COST</v>
          </cell>
          <cell r="T216" t="str">
            <v>TOTAL</v>
          </cell>
          <cell r="U216" t="str">
            <v>TOTAL</v>
          </cell>
          <cell r="X216" t="str">
            <v>OPERATOR</v>
          </cell>
          <cell r="Y216" t="str">
            <v>OPERATOR</v>
          </cell>
          <cell r="AB216" t="str">
            <v>WORKER</v>
          </cell>
          <cell r="AC216" t="str">
            <v>BRICK/</v>
          </cell>
          <cell r="AD216" t="str">
            <v>WORKER</v>
          </cell>
          <cell r="AF216" t="str">
            <v>SCAFFOLDER</v>
          </cell>
          <cell r="AG216" t="str">
            <v>WORKER</v>
          </cell>
          <cell r="AH216" t="str">
            <v>WELDER</v>
          </cell>
          <cell r="AJ216" t="str">
            <v>P. FITTER</v>
          </cell>
          <cell r="AL216" t="str">
            <v>BREAKER</v>
          </cell>
          <cell r="AM216" t="str">
            <v>TRUCK</v>
          </cell>
          <cell r="AN216" t="str">
            <v>WHEEL</v>
          </cell>
          <cell r="AO216" t="str">
            <v>CRAWLER</v>
          </cell>
          <cell r="AP216" t="str">
            <v>PILE HAMMER</v>
          </cell>
          <cell r="AQ216" t="str">
            <v>HAMMER</v>
          </cell>
          <cell r="AR216" t="str">
            <v>BORING M/C</v>
          </cell>
          <cell r="AS216" t="str">
            <v>LOADER</v>
          </cell>
          <cell r="AW216" t="str">
            <v>ROLLER</v>
          </cell>
          <cell r="AX216" t="str">
            <v>PUMP CAR</v>
          </cell>
          <cell r="AY216" t="str">
            <v>TRUCK</v>
          </cell>
          <cell r="AZ216" t="str">
            <v>MIXER TRUCK</v>
          </cell>
          <cell r="BA216" t="str">
            <v>MIXER</v>
          </cell>
          <cell r="BB216" t="str">
            <v>CUTTER</v>
          </cell>
          <cell r="BC216" t="str">
            <v>DISTRIBUTOR</v>
          </cell>
          <cell r="BD216" t="str">
            <v>FINISHER</v>
          </cell>
          <cell r="BE216" t="str">
            <v>ROLLER</v>
          </cell>
          <cell r="BF216" t="str">
            <v>COMPRESSOR</v>
          </cell>
          <cell r="BG216" t="str">
            <v>TRUCK</v>
          </cell>
          <cell r="BH216" t="str">
            <v>LIFT</v>
          </cell>
          <cell r="BI216" t="str">
            <v>BATCH PLANT</v>
          </cell>
          <cell r="BJ216" t="str">
            <v xml:space="preserve">M/C </v>
          </cell>
          <cell r="BK216" t="str">
            <v xml:space="preserve">M/C </v>
          </cell>
          <cell r="BM216" t="str">
            <v>COMPRESSOR</v>
          </cell>
        </row>
        <row r="217">
          <cell r="H217" t="str">
            <v>CHANGE</v>
          </cell>
          <cell r="AC217" t="str">
            <v>W.PROOFER</v>
          </cell>
          <cell r="AK217" t="str">
            <v>0.7 M3</v>
          </cell>
          <cell r="AL217" t="str">
            <v>0.7 M3</v>
          </cell>
          <cell r="AM217" t="str">
            <v>15 TON</v>
          </cell>
          <cell r="AN217" t="str">
            <v>25 TON</v>
          </cell>
          <cell r="AO217" t="str">
            <v>50 TON</v>
          </cell>
          <cell r="AP217" t="str">
            <v>3.2 TON</v>
          </cell>
          <cell r="AQ217" t="str">
            <v>3.2 TON</v>
          </cell>
          <cell r="AR217" t="str">
            <v>50 TON</v>
          </cell>
          <cell r="AS217" t="str">
            <v>2.4 M3</v>
          </cell>
          <cell r="AT217" t="str">
            <v>19 TON</v>
          </cell>
          <cell r="AU217" t="str">
            <v>32 TON</v>
          </cell>
          <cell r="AV217" t="str">
            <v>3.6 M</v>
          </cell>
          <cell r="AW217" t="str">
            <v>10 TON</v>
          </cell>
          <cell r="AX217" t="str">
            <v>80 M3/HR</v>
          </cell>
          <cell r="AY217" t="str">
            <v>10 M3</v>
          </cell>
          <cell r="AZ217" t="str">
            <v>6 M3</v>
          </cell>
          <cell r="BA217" t="str">
            <v>0.3 M3</v>
          </cell>
          <cell r="BB217" t="str">
            <v>D32 MM</v>
          </cell>
          <cell r="BC217" t="str">
            <v>3800 L</v>
          </cell>
          <cell r="BD217" t="str">
            <v>3 M</v>
          </cell>
          <cell r="BE217" t="str">
            <v>15 TON</v>
          </cell>
          <cell r="BF217" t="str">
            <v>250 CFM</v>
          </cell>
          <cell r="BG217" t="str">
            <v>11 TON</v>
          </cell>
          <cell r="BH217" t="str">
            <v>2.5 TON</v>
          </cell>
          <cell r="BI217" t="str">
            <v>60 M3/HR</v>
          </cell>
          <cell r="BJ217" t="str">
            <v>200 A.</v>
          </cell>
          <cell r="BL217" t="str">
            <v>115 KW</v>
          </cell>
          <cell r="BM217" t="str">
            <v>125 CFM</v>
          </cell>
          <cell r="BN217" t="str">
            <v>SET</v>
          </cell>
        </row>
        <row r="218">
          <cell r="I218">
            <v>0</v>
          </cell>
          <cell r="T218">
            <v>0</v>
          </cell>
          <cell r="U218">
            <v>0</v>
          </cell>
        </row>
        <row r="219">
          <cell r="C219">
            <v>7000</v>
          </cell>
          <cell r="D219" t="str">
            <v>ANCHOR BOLT (D &lt;= 20)</v>
          </cell>
          <cell r="E219" t="str">
            <v>NOS</v>
          </cell>
          <cell r="F219">
            <v>0</v>
          </cell>
          <cell r="G219">
            <v>23</v>
          </cell>
          <cell r="H219">
            <v>1.183875</v>
          </cell>
          <cell r="I219">
            <v>1</v>
          </cell>
          <cell r="J219">
            <v>27.229125</v>
          </cell>
          <cell r="K219">
            <v>3.25</v>
          </cell>
          <cell r="L219">
            <v>0.11899999999999999</v>
          </cell>
          <cell r="M219">
            <v>0</v>
          </cell>
          <cell r="N219">
            <v>20.564880000000002</v>
          </cell>
          <cell r="O219">
            <v>0</v>
          </cell>
          <cell r="P219">
            <v>2.69</v>
          </cell>
          <cell r="Q219">
            <v>0</v>
          </cell>
          <cell r="R219">
            <v>0.11</v>
          </cell>
          <cell r="S219">
            <v>0</v>
          </cell>
          <cell r="T219">
            <v>23.364880000000003</v>
          </cell>
          <cell r="U219">
            <v>0</v>
          </cell>
          <cell r="V219">
            <v>0.25</v>
          </cell>
          <cell r="W219">
            <v>1</v>
          </cell>
          <cell r="AH219">
            <v>2</v>
          </cell>
          <cell r="BJ219">
            <v>0.02</v>
          </cell>
          <cell r="BL219">
            <v>0.02</v>
          </cell>
        </row>
        <row r="220">
          <cell r="C220">
            <v>7010</v>
          </cell>
          <cell r="D220" t="str">
            <v>ANCHOR BOLT (D &gt; 20)</v>
          </cell>
          <cell r="E220" t="str">
            <v>NOS</v>
          </cell>
          <cell r="F220">
            <v>0</v>
          </cell>
          <cell r="G220">
            <v>20</v>
          </cell>
          <cell r="H220">
            <v>1.183875</v>
          </cell>
          <cell r="I220">
            <v>1</v>
          </cell>
          <cell r="J220">
            <v>23.677500000000002</v>
          </cell>
          <cell r="K220">
            <v>3.25</v>
          </cell>
          <cell r="L220">
            <v>0.13700000000000001</v>
          </cell>
          <cell r="M220">
            <v>0</v>
          </cell>
          <cell r="N220">
            <v>24.2788</v>
          </cell>
          <cell r="O220">
            <v>0</v>
          </cell>
          <cell r="P220">
            <v>3.09</v>
          </cell>
          <cell r="Q220">
            <v>0</v>
          </cell>
          <cell r="R220">
            <v>0.12</v>
          </cell>
          <cell r="S220">
            <v>0</v>
          </cell>
          <cell r="T220">
            <v>27.488800000000001</v>
          </cell>
          <cell r="U220">
            <v>0</v>
          </cell>
          <cell r="V220">
            <v>0.25</v>
          </cell>
          <cell r="W220">
            <v>1</v>
          </cell>
          <cell r="AH220">
            <v>2</v>
          </cell>
          <cell r="BJ220">
            <v>0.02</v>
          </cell>
          <cell r="BL220">
            <v>0.02</v>
          </cell>
        </row>
        <row r="221">
          <cell r="C221">
            <v>7020</v>
          </cell>
          <cell r="D221" t="str">
            <v>ANCHOR BOLT (D=12 L=280 .3KG)</v>
          </cell>
          <cell r="E221" t="str">
            <v>NOS</v>
          </cell>
          <cell r="F221">
            <v>0</v>
          </cell>
          <cell r="G221">
            <v>25</v>
          </cell>
          <cell r="H221">
            <v>1.183875</v>
          </cell>
          <cell r="I221">
            <v>1</v>
          </cell>
          <cell r="J221">
            <v>29.596875000000001</v>
          </cell>
          <cell r="K221">
            <v>3.25</v>
          </cell>
          <cell r="L221">
            <v>0.11</v>
          </cell>
          <cell r="M221">
            <v>0</v>
          </cell>
          <cell r="N221">
            <v>2.0327999999999999</v>
          </cell>
          <cell r="O221">
            <v>0</v>
          </cell>
          <cell r="P221">
            <v>2.4700000000000002</v>
          </cell>
          <cell r="Q221">
            <v>0</v>
          </cell>
          <cell r="R221">
            <v>0.1</v>
          </cell>
          <cell r="S221">
            <v>0</v>
          </cell>
          <cell r="T221">
            <v>4.6028000000000002</v>
          </cell>
          <cell r="U221">
            <v>0</v>
          </cell>
          <cell r="V221">
            <v>0.25</v>
          </cell>
          <cell r="W221">
            <v>1</v>
          </cell>
          <cell r="AH221">
            <v>2</v>
          </cell>
          <cell r="BJ221">
            <v>0.02</v>
          </cell>
          <cell r="BL221">
            <v>0.02</v>
          </cell>
        </row>
        <row r="222">
          <cell r="C222">
            <v>7030</v>
          </cell>
          <cell r="D222" t="str">
            <v>ANCHOR BOLT (D=12 L=380 .41KG)</v>
          </cell>
          <cell r="E222" t="str">
            <v>NOS</v>
          </cell>
          <cell r="F222">
            <v>0</v>
          </cell>
          <cell r="G222">
            <v>25</v>
          </cell>
          <cell r="H222">
            <v>1.183875</v>
          </cell>
          <cell r="I222">
            <v>1</v>
          </cell>
          <cell r="J222">
            <v>29.596875000000001</v>
          </cell>
          <cell r="K222">
            <v>3.25</v>
          </cell>
          <cell r="L222">
            <v>0.11</v>
          </cell>
          <cell r="M222">
            <v>0</v>
          </cell>
          <cell r="N222">
            <v>2.7781599999999997</v>
          </cell>
          <cell r="O222">
            <v>0</v>
          </cell>
          <cell r="P222">
            <v>2.4700000000000002</v>
          </cell>
          <cell r="Q222">
            <v>0</v>
          </cell>
          <cell r="R222">
            <v>0.1</v>
          </cell>
          <cell r="S222">
            <v>0</v>
          </cell>
          <cell r="T222">
            <v>5.34816</v>
          </cell>
          <cell r="U222">
            <v>0</v>
          </cell>
          <cell r="V222">
            <v>0.25</v>
          </cell>
          <cell r="W222">
            <v>1</v>
          </cell>
          <cell r="AH222">
            <v>2</v>
          </cell>
          <cell r="BJ222">
            <v>0.02</v>
          </cell>
          <cell r="BL222">
            <v>0.02</v>
          </cell>
        </row>
        <row r="223">
          <cell r="C223">
            <v>7040</v>
          </cell>
          <cell r="D223" t="str">
            <v>ANCHOR BOLT (D=16 L=355 .67KG)</v>
          </cell>
          <cell r="E223" t="str">
            <v>NOS</v>
          </cell>
          <cell r="F223">
            <v>0</v>
          </cell>
          <cell r="G223">
            <v>23</v>
          </cell>
          <cell r="H223">
            <v>1.183875</v>
          </cell>
          <cell r="I223">
            <v>1</v>
          </cell>
          <cell r="J223">
            <v>27.229125</v>
          </cell>
          <cell r="K223">
            <v>3.25</v>
          </cell>
          <cell r="L223">
            <v>0.11899999999999999</v>
          </cell>
          <cell r="M223">
            <v>0</v>
          </cell>
          <cell r="N223">
            <v>4.5399200000000004</v>
          </cell>
          <cell r="O223">
            <v>0</v>
          </cell>
          <cell r="P223">
            <v>2.69</v>
          </cell>
          <cell r="Q223">
            <v>0</v>
          </cell>
          <cell r="R223">
            <v>0.11</v>
          </cell>
          <cell r="S223">
            <v>0</v>
          </cell>
          <cell r="T223">
            <v>7.3399200000000002</v>
          </cell>
          <cell r="U223">
            <v>0</v>
          </cell>
          <cell r="V223">
            <v>0.25</v>
          </cell>
          <cell r="W223">
            <v>1</v>
          </cell>
          <cell r="AH223">
            <v>2</v>
          </cell>
          <cell r="BJ223">
            <v>0.02</v>
          </cell>
          <cell r="BL223">
            <v>0.02</v>
          </cell>
        </row>
        <row r="224">
          <cell r="C224">
            <v>7050</v>
          </cell>
          <cell r="D224" t="str">
            <v>ANCHOR BOLT (D=16 L=510 .96KG)</v>
          </cell>
          <cell r="E224" t="str">
            <v>NOS</v>
          </cell>
          <cell r="F224">
            <v>0</v>
          </cell>
          <cell r="G224">
            <v>23</v>
          </cell>
          <cell r="H224">
            <v>1.183875</v>
          </cell>
          <cell r="I224">
            <v>1</v>
          </cell>
          <cell r="J224">
            <v>27.229125</v>
          </cell>
          <cell r="K224">
            <v>3.25</v>
          </cell>
          <cell r="L224">
            <v>0.11899999999999999</v>
          </cell>
          <cell r="M224">
            <v>0</v>
          </cell>
          <cell r="N224">
            <v>6.5049599999999996</v>
          </cell>
          <cell r="O224">
            <v>0</v>
          </cell>
          <cell r="P224">
            <v>2.69</v>
          </cell>
          <cell r="Q224">
            <v>0</v>
          </cell>
          <cell r="R224">
            <v>0.11</v>
          </cell>
          <cell r="S224">
            <v>0</v>
          </cell>
          <cell r="T224">
            <v>9.3049599999999995</v>
          </cell>
          <cell r="U224">
            <v>0</v>
          </cell>
          <cell r="V224">
            <v>0.25</v>
          </cell>
          <cell r="W224">
            <v>1</v>
          </cell>
          <cell r="AH224">
            <v>2</v>
          </cell>
          <cell r="BJ224">
            <v>0.02</v>
          </cell>
          <cell r="BL224">
            <v>0.02</v>
          </cell>
        </row>
        <row r="225">
          <cell r="C225">
            <v>7060</v>
          </cell>
          <cell r="D225" t="str">
            <v>ANCHOR BOLT (D=19 L=405 1.08KG)</v>
          </cell>
          <cell r="E225" t="str">
            <v>NOS</v>
          </cell>
          <cell r="F225">
            <v>0</v>
          </cell>
          <cell r="G225">
            <v>20</v>
          </cell>
          <cell r="H225">
            <v>1.183875</v>
          </cell>
          <cell r="I225">
            <v>1</v>
          </cell>
          <cell r="J225">
            <v>23.677500000000002</v>
          </cell>
          <cell r="K225">
            <v>3.25</v>
          </cell>
          <cell r="L225">
            <v>0.13700000000000001</v>
          </cell>
          <cell r="M225">
            <v>0</v>
          </cell>
          <cell r="N225">
            <v>7.318080000000001</v>
          </cell>
          <cell r="O225">
            <v>0</v>
          </cell>
          <cell r="P225">
            <v>3.09</v>
          </cell>
          <cell r="Q225">
            <v>0</v>
          </cell>
          <cell r="R225">
            <v>0.12</v>
          </cell>
          <cell r="S225">
            <v>0</v>
          </cell>
          <cell r="T225">
            <v>10.528080000000001</v>
          </cell>
          <cell r="U225">
            <v>0</v>
          </cell>
          <cell r="V225">
            <v>0.25</v>
          </cell>
          <cell r="W225">
            <v>1</v>
          </cell>
          <cell r="AH225">
            <v>2</v>
          </cell>
          <cell r="BJ225">
            <v>0.02</v>
          </cell>
          <cell r="BL225">
            <v>0.02</v>
          </cell>
        </row>
        <row r="226">
          <cell r="C226">
            <v>7070</v>
          </cell>
          <cell r="D226" t="str">
            <v>ANCHOR BOLT (D=19 L=760 1.94KG)</v>
          </cell>
          <cell r="E226" t="str">
            <v>NOS</v>
          </cell>
          <cell r="F226">
            <v>0</v>
          </cell>
          <cell r="G226">
            <v>20</v>
          </cell>
          <cell r="H226">
            <v>1.183875</v>
          </cell>
          <cell r="I226">
            <v>1</v>
          </cell>
          <cell r="J226">
            <v>23.677500000000002</v>
          </cell>
          <cell r="K226">
            <v>3.25</v>
          </cell>
          <cell r="L226">
            <v>0.13700000000000001</v>
          </cell>
          <cell r="M226">
            <v>0</v>
          </cell>
          <cell r="N226">
            <v>13.145440000000001</v>
          </cell>
          <cell r="O226">
            <v>0</v>
          </cell>
          <cell r="P226">
            <v>3.09</v>
          </cell>
          <cell r="Q226">
            <v>0</v>
          </cell>
          <cell r="R226">
            <v>0.12</v>
          </cell>
          <cell r="S226">
            <v>0</v>
          </cell>
          <cell r="T226">
            <v>16.355440000000002</v>
          </cell>
          <cell r="U226">
            <v>0</v>
          </cell>
          <cell r="V226">
            <v>0.25</v>
          </cell>
          <cell r="W226">
            <v>1</v>
          </cell>
          <cell r="AH226">
            <v>2</v>
          </cell>
          <cell r="BJ226">
            <v>0.02</v>
          </cell>
          <cell r="BL226">
            <v>0.02</v>
          </cell>
        </row>
        <row r="227">
          <cell r="C227">
            <v>7080</v>
          </cell>
          <cell r="D227" t="str">
            <v>ANCHOR BOLT (D=25 L=510 2.27KG)</v>
          </cell>
          <cell r="E227" t="str">
            <v>NOS</v>
          </cell>
          <cell r="F227">
            <v>0</v>
          </cell>
          <cell r="G227">
            <v>18</v>
          </cell>
          <cell r="H227">
            <v>1.183875</v>
          </cell>
          <cell r="I227">
            <v>1</v>
          </cell>
          <cell r="J227">
            <v>21.309750000000001</v>
          </cell>
          <cell r="K227">
            <v>3.25</v>
          </cell>
          <cell r="L227">
            <v>0.153</v>
          </cell>
          <cell r="M227">
            <v>0</v>
          </cell>
          <cell r="N227">
            <v>15.38152</v>
          </cell>
          <cell r="O227">
            <v>0</v>
          </cell>
          <cell r="P227">
            <v>3.44</v>
          </cell>
          <cell r="Q227">
            <v>0</v>
          </cell>
          <cell r="R227">
            <v>0.14000000000000001</v>
          </cell>
          <cell r="S227">
            <v>0</v>
          </cell>
          <cell r="T227">
            <v>18.96152</v>
          </cell>
          <cell r="U227">
            <v>0</v>
          </cell>
          <cell r="V227">
            <v>0.25</v>
          </cell>
          <cell r="W227">
            <v>1</v>
          </cell>
          <cell r="AH227">
            <v>2</v>
          </cell>
          <cell r="BJ227">
            <v>0.02</v>
          </cell>
          <cell r="BL227">
            <v>0.02</v>
          </cell>
        </row>
        <row r="228">
          <cell r="C228">
            <v>7090</v>
          </cell>
          <cell r="D228" t="str">
            <v>ANCHOR BOLT (D=25 L=915 4.06KG)</v>
          </cell>
          <cell r="E228" t="str">
            <v>NOS</v>
          </cell>
          <cell r="F228">
            <v>0</v>
          </cell>
          <cell r="G228">
            <v>18</v>
          </cell>
          <cell r="H228">
            <v>1.183875</v>
          </cell>
          <cell r="I228">
            <v>1</v>
          </cell>
          <cell r="J228">
            <v>21.309750000000001</v>
          </cell>
          <cell r="K228">
            <v>3.25</v>
          </cell>
          <cell r="L228">
            <v>0.153</v>
          </cell>
          <cell r="M228">
            <v>0</v>
          </cell>
          <cell r="N228">
            <v>27.510559999999998</v>
          </cell>
          <cell r="O228">
            <v>0</v>
          </cell>
          <cell r="P228">
            <v>3.44</v>
          </cell>
          <cell r="Q228">
            <v>0</v>
          </cell>
          <cell r="R228">
            <v>0.14000000000000001</v>
          </cell>
          <cell r="S228">
            <v>0</v>
          </cell>
          <cell r="T228">
            <v>31.09056</v>
          </cell>
          <cell r="U228">
            <v>0</v>
          </cell>
          <cell r="V228">
            <v>0.25</v>
          </cell>
          <cell r="W228">
            <v>1</v>
          </cell>
          <cell r="AH228">
            <v>2</v>
          </cell>
          <cell r="BJ228">
            <v>0.02</v>
          </cell>
          <cell r="BL228">
            <v>0.02</v>
          </cell>
        </row>
        <row r="229">
          <cell r="C229">
            <v>7100</v>
          </cell>
          <cell r="D229" t="str">
            <v>ANCHOR BOLT (D=32 L=635 4.6KG)</v>
          </cell>
          <cell r="E229" t="str">
            <v>NOS</v>
          </cell>
          <cell r="F229">
            <v>0</v>
          </cell>
          <cell r="G229">
            <v>15</v>
          </cell>
          <cell r="H229">
            <v>1.183875</v>
          </cell>
          <cell r="I229">
            <v>1</v>
          </cell>
          <cell r="J229">
            <v>17.758125</v>
          </cell>
          <cell r="K229">
            <v>3.25</v>
          </cell>
          <cell r="L229">
            <v>0.183</v>
          </cell>
          <cell r="M229">
            <v>0</v>
          </cell>
          <cell r="N229">
            <v>31.169599999999999</v>
          </cell>
          <cell r="O229">
            <v>0</v>
          </cell>
          <cell r="P229">
            <v>4.12</v>
          </cell>
          <cell r="Q229">
            <v>0</v>
          </cell>
          <cell r="R229">
            <v>0.16</v>
          </cell>
          <cell r="S229">
            <v>0</v>
          </cell>
          <cell r="T229">
            <v>35.449599999999997</v>
          </cell>
          <cell r="U229">
            <v>0</v>
          </cell>
          <cell r="V229">
            <v>0.25</v>
          </cell>
          <cell r="W229">
            <v>1</v>
          </cell>
          <cell r="AH229">
            <v>2</v>
          </cell>
          <cell r="BJ229">
            <v>0.02</v>
          </cell>
          <cell r="BL229">
            <v>0.02</v>
          </cell>
        </row>
        <row r="230">
          <cell r="C230">
            <v>7110</v>
          </cell>
          <cell r="D230" t="str">
            <v>ANCHOR BOLT (D=32 L=990 6.89KG)</v>
          </cell>
          <cell r="E230" t="str">
            <v>NOS</v>
          </cell>
          <cell r="F230">
            <v>0</v>
          </cell>
          <cell r="G230">
            <v>15</v>
          </cell>
          <cell r="H230">
            <v>1.183875</v>
          </cell>
          <cell r="I230">
            <v>1</v>
          </cell>
          <cell r="J230">
            <v>17.758125</v>
          </cell>
          <cell r="K230">
            <v>3.25</v>
          </cell>
          <cell r="L230">
            <v>0.183</v>
          </cell>
          <cell r="M230">
            <v>0</v>
          </cell>
          <cell r="N230">
            <v>46.686639999999997</v>
          </cell>
          <cell r="O230">
            <v>0</v>
          </cell>
          <cell r="P230">
            <v>4.12</v>
          </cell>
          <cell r="Q230">
            <v>0</v>
          </cell>
          <cell r="R230">
            <v>0.16</v>
          </cell>
          <cell r="S230">
            <v>0</v>
          </cell>
          <cell r="T230">
            <v>50.966639999999991</v>
          </cell>
          <cell r="U230">
            <v>0</v>
          </cell>
          <cell r="V230">
            <v>0.25</v>
          </cell>
          <cell r="W230">
            <v>1</v>
          </cell>
          <cell r="AH230">
            <v>2</v>
          </cell>
          <cell r="BJ230">
            <v>0.02</v>
          </cell>
          <cell r="BL230">
            <v>0.02</v>
          </cell>
        </row>
        <row r="231">
          <cell r="C231">
            <v>7120</v>
          </cell>
          <cell r="D231" t="str">
            <v>ANCHOR BOLT (D=38 L=735 7.2KG)</v>
          </cell>
          <cell r="E231" t="str">
            <v>NOS</v>
          </cell>
          <cell r="F231">
            <v>0</v>
          </cell>
          <cell r="G231">
            <v>12</v>
          </cell>
          <cell r="H231">
            <v>1.183875</v>
          </cell>
          <cell r="I231">
            <v>1</v>
          </cell>
          <cell r="J231">
            <v>14.2065</v>
          </cell>
          <cell r="K231">
            <v>3.25</v>
          </cell>
          <cell r="L231">
            <v>0.22900000000000001</v>
          </cell>
          <cell r="M231">
            <v>0</v>
          </cell>
          <cell r="N231">
            <v>48.787200000000006</v>
          </cell>
          <cell r="O231">
            <v>0</v>
          </cell>
          <cell r="P231">
            <v>5.15</v>
          </cell>
          <cell r="Q231">
            <v>0</v>
          </cell>
          <cell r="R231">
            <v>0.21</v>
          </cell>
          <cell r="S231">
            <v>0</v>
          </cell>
          <cell r="T231">
            <v>54.147200000000005</v>
          </cell>
          <cell r="U231">
            <v>0</v>
          </cell>
          <cell r="V231">
            <v>0.25</v>
          </cell>
          <cell r="W231">
            <v>1</v>
          </cell>
          <cell r="AH231">
            <v>2</v>
          </cell>
          <cell r="BJ231">
            <v>0.02</v>
          </cell>
          <cell r="BL231">
            <v>0.02</v>
          </cell>
        </row>
        <row r="232">
          <cell r="C232">
            <v>7130</v>
          </cell>
          <cell r="D232" t="str">
            <v>ANCHOR BOLT (D=38 L=1220 11.95KG)</v>
          </cell>
          <cell r="E232" t="str">
            <v>NOS</v>
          </cell>
          <cell r="F232">
            <v>0</v>
          </cell>
          <cell r="G232">
            <v>12</v>
          </cell>
          <cell r="H232">
            <v>1.183875</v>
          </cell>
          <cell r="I232">
            <v>1</v>
          </cell>
          <cell r="J232">
            <v>14.2065</v>
          </cell>
          <cell r="K232">
            <v>3.25</v>
          </cell>
          <cell r="L232">
            <v>0.22900000000000001</v>
          </cell>
          <cell r="M232">
            <v>0</v>
          </cell>
          <cell r="N232">
            <v>80.973199999999991</v>
          </cell>
          <cell r="O232">
            <v>0</v>
          </cell>
          <cell r="P232">
            <v>5.15</v>
          </cell>
          <cell r="Q232">
            <v>0</v>
          </cell>
          <cell r="R232">
            <v>0.21</v>
          </cell>
          <cell r="S232">
            <v>0</v>
          </cell>
          <cell r="T232">
            <v>86.333199999999991</v>
          </cell>
          <cell r="U232">
            <v>0</v>
          </cell>
          <cell r="V232">
            <v>0.25</v>
          </cell>
          <cell r="W232">
            <v>1</v>
          </cell>
          <cell r="AH232">
            <v>2</v>
          </cell>
          <cell r="BJ232">
            <v>0.02</v>
          </cell>
          <cell r="BL232">
            <v>0.02</v>
          </cell>
        </row>
        <row r="233">
          <cell r="C233">
            <v>7140</v>
          </cell>
          <cell r="D233" t="str">
            <v>ANCHOR BOLT (D=46 L=1320 18.94KG)</v>
          </cell>
          <cell r="E233" t="str">
            <v>NOS</v>
          </cell>
          <cell r="F233">
            <v>0</v>
          </cell>
          <cell r="G233">
            <v>10</v>
          </cell>
          <cell r="H233">
            <v>1.183875</v>
          </cell>
          <cell r="I233">
            <v>1</v>
          </cell>
          <cell r="J233">
            <v>11.838750000000001</v>
          </cell>
          <cell r="K233">
            <v>3.25</v>
          </cell>
          <cell r="L233">
            <v>0.27500000000000002</v>
          </cell>
          <cell r="M233">
            <v>0</v>
          </cell>
          <cell r="N233">
            <v>128.33744000000002</v>
          </cell>
          <cell r="O233">
            <v>0</v>
          </cell>
          <cell r="P233">
            <v>6.18</v>
          </cell>
          <cell r="Q233">
            <v>0</v>
          </cell>
          <cell r="R233">
            <v>0.25</v>
          </cell>
          <cell r="S233">
            <v>0</v>
          </cell>
          <cell r="T233">
            <v>134.76744000000002</v>
          </cell>
          <cell r="U233">
            <v>0</v>
          </cell>
          <cell r="V233">
            <v>0.25</v>
          </cell>
          <cell r="W233">
            <v>1</v>
          </cell>
          <cell r="AH233">
            <v>2</v>
          </cell>
          <cell r="BJ233">
            <v>0.02</v>
          </cell>
          <cell r="BL233">
            <v>0.02</v>
          </cell>
        </row>
        <row r="234">
          <cell r="C234">
            <v>7150</v>
          </cell>
          <cell r="D234" t="str">
            <v>ANCHOR BOLT (D=50 L=1525 25.85KG)</v>
          </cell>
          <cell r="E234" t="str">
            <v>NOS</v>
          </cell>
          <cell r="F234">
            <v>0</v>
          </cell>
          <cell r="G234">
            <v>8</v>
          </cell>
          <cell r="H234">
            <v>1.183875</v>
          </cell>
          <cell r="I234">
            <v>1</v>
          </cell>
          <cell r="J234">
            <v>9.4710000000000001</v>
          </cell>
          <cell r="K234">
            <v>3.25</v>
          </cell>
          <cell r="L234">
            <v>0.34300000000000003</v>
          </cell>
          <cell r="M234">
            <v>0</v>
          </cell>
          <cell r="N234">
            <v>175.15960000000001</v>
          </cell>
          <cell r="O234">
            <v>0</v>
          </cell>
          <cell r="P234">
            <v>7.73</v>
          </cell>
          <cell r="Q234">
            <v>0</v>
          </cell>
          <cell r="R234">
            <v>0.31</v>
          </cell>
          <cell r="S234">
            <v>0</v>
          </cell>
          <cell r="T234">
            <v>183.1996</v>
          </cell>
          <cell r="U234">
            <v>0</v>
          </cell>
          <cell r="V234">
            <v>0.25</v>
          </cell>
          <cell r="W234">
            <v>1</v>
          </cell>
          <cell r="AH234">
            <v>2</v>
          </cell>
          <cell r="BJ234">
            <v>0.02</v>
          </cell>
          <cell r="BL234">
            <v>0.02</v>
          </cell>
        </row>
        <row r="235">
          <cell r="C235">
            <v>7160</v>
          </cell>
          <cell r="D235" t="str">
            <v>ANCHOR BOLT (D=56 L=1650 35.08KG)</v>
          </cell>
          <cell r="E235" t="str">
            <v>NOS</v>
          </cell>
          <cell r="F235">
            <v>0</v>
          </cell>
          <cell r="G235">
            <v>7</v>
          </cell>
          <cell r="H235">
            <v>1.183875</v>
          </cell>
          <cell r="I235">
            <v>1</v>
          </cell>
          <cell r="J235">
            <v>8.2871249999999996</v>
          </cell>
          <cell r="K235">
            <v>3.25</v>
          </cell>
          <cell r="L235">
            <v>0.39200000000000002</v>
          </cell>
          <cell r="M235">
            <v>0</v>
          </cell>
          <cell r="N235">
            <v>237.70208</v>
          </cell>
          <cell r="O235">
            <v>0</v>
          </cell>
          <cell r="P235">
            <v>8.83</v>
          </cell>
          <cell r="Q235">
            <v>0</v>
          </cell>
          <cell r="R235">
            <v>0.35</v>
          </cell>
          <cell r="S235">
            <v>0</v>
          </cell>
          <cell r="T235">
            <v>246.88208</v>
          </cell>
          <cell r="U235">
            <v>0</v>
          </cell>
          <cell r="V235">
            <v>0.25</v>
          </cell>
          <cell r="W235">
            <v>1</v>
          </cell>
          <cell r="AH235">
            <v>2</v>
          </cell>
          <cell r="BJ235">
            <v>0.02</v>
          </cell>
          <cell r="BL235">
            <v>0.02</v>
          </cell>
        </row>
        <row r="236">
          <cell r="C236">
            <v>7170</v>
          </cell>
          <cell r="D236" t="str">
            <v>ANCHOR BOLT (D=64 L=1755 48.73KG)</v>
          </cell>
          <cell r="E236" t="str">
            <v>NOS</v>
          </cell>
          <cell r="F236">
            <v>0</v>
          </cell>
          <cell r="G236">
            <v>6</v>
          </cell>
          <cell r="H236">
            <v>1.183875</v>
          </cell>
          <cell r="I236">
            <v>1</v>
          </cell>
          <cell r="J236">
            <v>7.1032500000000001</v>
          </cell>
          <cell r="K236">
            <v>3.25</v>
          </cell>
          <cell r="L236">
            <v>0.45800000000000002</v>
          </cell>
          <cell r="M236">
            <v>0</v>
          </cell>
          <cell r="N236">
            <v>330.19448</v>
          </cell>
          <cell r="O236">
            <v>0</v>
          </cell>
          <cell r="P236">
            <v>10.31</v>
          </cell>
          <cell r="Q236">
            <v>0</v>
          </cell>
          <cell r="R236">
            <v>0.41</v>
          </cell>
          <cell r="S236">
            <v>0</v>
          </cell>
          <cell r="T236">
            <v>340.91448000000003</v>
          </cell>
          <cell r="U236">
            <v>0</v>
          </cell>
          <cell r="V236">
            <v>0.25</v>
          </cell>
          <cell r="W236">
            <v>1</v>
          </cell>
          <cell r="AH236">
            <v>2</v>
          </cell>
          <cell r="BJ236">
            <v>0.02</v>
          </cell>
          <cell r="BL236">
            <v>0.02</v>
          </cell>
        </row>
        <row r="237">
          <cell r="C237">
            <v>7180</v>
          </cell>
          <cell r="D237" t="str">
            <v>ANCHOR BOLT (D=70 L=1855 61.62KG)</v>
          </cell>
          <cell r="E237" t="str">
            <v>NOS</v>
          </cell>
          <cell r="F237">
            <v>0</v>
          </cell>
          <cell r="G237">
            <v>6</v>
          </cell>
          <cell r="H237">
            <v>1.183875</v>
          </cell>
          <cell r="I237">
            <v>1</v>
          </cell>
          <cell r="J237">
            <v>7.1032500000000001</v>
          </cell>
          <cell r="K237">
            <v>3.25</v>
          </cell>
          <cell r="L237">
            <v>0.45800000000000002</v>
          </cell>
          <cell r="M237">
            <v>0</v>
          </cell>
          <cell r="N237">
            <v>417.53712000000002</v>
          </cell>
          <cell r="O237">
            <v>0</v>
          </cell>
          <cell r="P237">
            <v>10.31</v>
          </cell>
          <cell r="Q237">
            <v>0</v>
          </cell>
          <cell r="R237">
            <v>0.41</v>
          </cell>
          <cell r="S237">
            <v>0</v>
          </cell>
          <cell r="T237">
            <v>428.25712000000004</v>
          </cell>
          <cell r="U237">
            <v>0</v>
          </cell>
          <cell r="V237">
            <v>0.25</v>
          </cell>
          <cell r="W237">
            <v>1</v>
          </cell>
          <cell r="AH237">
            <v>2</v>
          </cell>
          <cell r="BJ237">
            <v>0.02</v>
          </cell>
          <cell r="BL237">
            <v>0.02</v>
          </cell>
        </row>
        <row r="238">
          <cell r="C238">
            <v>7190</v>
          </cell>
          <cell r="D238" t="str">
            <v>ANCHOR BOLT (D=75 L=1955 74.55KG)</v>
          </cell>
          <cell r="E238" t="str">
            <v>NOS</v>
          </cell>
          <cell r="F238">
            <v>0</v>
          </cell>
          <cell r="G238">
            <v>5</v>
          </cell>
          <cell r="H238">
            <v>1.183875</v>
          </cell>
          <cell r="I238">
            <v>1</v>
          </cell>
          <cell r="J238">
            <v>5.9193750000000005</v>
          </cell>
          <cell r="K238">
            <v>3.25</v>
          </cell>
          <cell r="L238">
            <v>0.54900000000000004</v>
          </cell>
          <cell r="M238">
            <v>0</v>
          </cell>
          <cell r="N238">
            <v>505.1508</v>
          </cell>
          <cell r="O238">
            <v>0</v>
          </cell>
          <cell r="P238">
            <v>12.37</v>
          </cell>
          <cell r="Q238">
            <v>0</v>
          </cell>
          <cell r="R238">
            <v>0.49</v>
          </cell>
          <cell r="S238">
            <v>0</v>
          </cell>
          <cell r="T238">
            <v>518.01080000000002</v>
          </cell>
          <cell r="U238">
            <v>0</v>
          </cell>
          <cell r="V238">
            <v>0.25</v>
          </cell>
          <cell r="W238">
            <v>1</v>
          </cell>
          <cell r="AH238">
            <v>2</v>
          </cell>
          <cell r="BJ238">
            <v>0.02</v>
          </cell>
          <cell r="BL238">
            <v>0.02</v>
          </cell>
        </row>
        <row r="239">
          <cell r="C239">
            <v>7191</v>
          </cell>
          <cell r="D239" t="str">
            <v>ANCHOR BOLT (SUPPLY BY OWNER)</v>
          </cell>
          <cell r="E239" t="str">
            <v>TON</v>
          </cell>
          <cell r="F239">
            <v>0</v>
          </cell>
          <cell r="G239">
            <v>0.03</v>
          </cell>
          <cell r="H239">
            <v>1.183875</v>
          </cell>
          <cell r="I239">
            <v>1</v>
          </cell>
          <cell r="J239">
            <v>3.5516249999999999E-2</v>
          </cell>
          <cell r="K239">
            <v>3.25</v>
          </cell>
          <cell r="L239">
            <v>91.507000000000005</v>
          </cell>
          <cell r="M239">
            <v>0</v>
          </cell>
          <cell r="N239">
            <v>448.00000000000006</v>
          </cell>
          <cell r="O239">
            <v>0</v>
          </cell>
          <cell r="P239">
            <v>2061.2399999999998</v>
          </cell>
          <cell r="Q239">
            <v>0</v>
          </cell>
          <cell r="R239">
            <v>82.2</v>
          </cell>
          <cell r="S239">
            <v>0</v>
          </cell>
          <cell r="T239">
            <v>2591.4399999999996</v>
          </cell>
          <cell r="U239">
            <v>0</v>
          </cell>
          <cell r="V239">
            <v>0.25</v>
          </cell>
          <cell r="W239">
            <v>1</v>
          </cell>
          <cell r="AH239">
            <v>2</v>
          </cell>
          <cell r="BJ239">
            <v>0.02</v>
          </cell>
          <cell r="BL239">
            <v>0.02</v>
          </cell>
        </row>
        <row r="240">
          <cell r="C240">
            <v>7192</v>
          </cell>
          <cell r="D240" t="str">
            <v>ANCHOR BOLT (SUPPLY BY S/W)</v>
          </cell>
          <cell r="E240" t="str">
            <v>TON</v>
          </cell>
          <cell r="F240">
            <v>0</v>
          </cell>
          <cell r="G240">
            <v>0.03</v>
          </cell>
          <cell r="H240">
            <v>1.183875</v>
          </cell>
          <cell r="I240">
            <v>1</v>
          </cell>
          <cell r="J240">
            <v>3.5516249999999999E-2</v>
          </cell>
          <cell r="K240">
            <v>3.25</v>
          </cell>
          <cell r="L240">
            <v>91.507000000000005</v>
          </cell>
          <cell r="M240">
            <v>0</v>
          </cell>
          <cell r="N240">
            <v>6792.8</v>
          </cell>
          <cell r="O240">
            <v>0</v>
          </cell>
          <cell r="P240">
            <v>2061.2399999999998</v>
          </cell>
          <cell r="Q240">
            <v>0</v>
          </cell>
          <cell r="R240">
            <v>82.2</v>
          </cell>
          <cell r="S240">
            <v>0</v>
          </cell>
          <cell r="T240">
            <v>8936.2400000000016</v>
          </cell>
          <cell r="U240">
            <v>0</v>
          </cell>
          <cell r="V240">
            <v>0.25</v>
          </cell>
          <cell r="W240">
            <v>1</v>
          </cell>
          <cell r="AH240">
            <v>2</v>
          </cell>
          <cell r="BJ240">
            <v>0.02</v>
          </cell>
          <cell r="BL240">
            <v>0.02</v>
          </cell>
        </row>
        <row r="241">
          <cell r="C241">
            <v>7200</v>
          </cell>
          <cell r="D241" t="str">
            <v>WINDING PIPE DIAM.=100 (L=500 , 0.004 M3)</v>
          </cell>
          <cell r="E241" t="str">
            <v>NOS</v>
          </cell>
          <cell r="F241">
            <v>0</v>
          </cell>
          <cell r="G241">
            <v>40</v>
          </cell>
          <cell r="H241">
            <v>1.183875</v>
          </cell>
          <cell r="I241">
            <v>1</v>
          </cell>
          <cell r="J241">
            <v>47.355000000000004</v>
          </cell>
          <cell r="K241">
            <v>3.25</v>
          </cell>
          <cell r="L241">
            <v>6.9000000000000006E-2</v>
          </cell>
          <cell r="M241">
            <v>0</v>
          </cell>
          <cell r="N241">
            <v>7.9856000000000007</v>
          </cell>
          <cell r="O241">
            <v>0</v>
          </cell>
          <cell r="P241">
            <v>1.55</v>
          </cell>
          <cell r="Q241">
            <v>0</v>
          </cell>
          <cell r="R241">
            <v>0.06</v>
          </cell>
          <cell r="S241">
            <v>0</v>
          </cell>
          <cell r="T241">
            <v>9.595600000000001</v>
          </cell>
          <cell r="U241">
            <v>0</v>
          </cell>
          <cell r="V241">
            <v>0.25</v>
          </cell>
          <cell r="W241">
            <v>1</v>
          </cell>
          <cell r="AH241">
            <v>2</v>
          </cell>
          <cell r="BJ241">
            <v>0.02</v>
          </cell>
          <cell r="BL241">
            <v>0.02</v>
          </cell>
        </row>
        <row r="242">
          <cell r="C242">
            <v>7210</v>
          </cell>
          <cell r="D242" t="str">
            <v>WINDING PIPE DIAM.=200 (L=500 , 0.016 M3)</v>
          </cell>
          <cell r="E242" t="str">
            <v>NOS</v>
          </cell>
          <cell r="F242">
            <v>0</v>
          </cell>
          <cell r="G242">
            <v>32</v>
          </cell>
          <cell r="H242">
            <v>1.183875</v>
          </cell>
          <cell r="I242">
            <v>1</v>
          </cell>
          <cell r="J242">
            <v>37.884</v>
          </cell>
          <cell r="K242">
            <v>3.25</v>
          </cell>
          <cell r="L242">
            <v>8.5999999999999993E-2</v>
          </cell>
          <cell r="M242">
            <v>0</v>
          </cell>
          <cell r="N242">
            <v>13.5296</v>
          </cell>
          <cell r="O242">
            <v>0</v>
          </cell>
          <cell r="P242">
            <v>1.93</v>
          </cell>
          <cell r="Q242">
            <v>0</v>
          </cell>
          <cell r="R242">
            <v>0.08</v>
          </cell>
          <cell r="S242">
            <v>0</v>
          </cell>
          <cell r="T242">
            <v>15.5396</v>
          </cell>
          <cell r="U242">
            <v>0</v>
          </cell>
          <cell r="V242">
            <v>0.25</v>
          </cell>
          <cell r="W242">
            <v>1</v>
          </cell>
          <cell r="AH242">
            <v>2</v>
          </cell>
          <cell r="BJ242">
            <v>0.02</v>
          </cell>
          <cell r="BL242">
            <v>0.02</v>
          </cell>
        </row>
        <row r="243">
          <cell r="C243">
            <v>7220</v>
          </cell>
          <cell r="D243" t="str">
            <v>WINDING PIPE DIAM.=300 (L=500 , 0.036 M3)</v>
          </cell>
          <cell r="E243" t="str">
            <v>NOS</v>
          </cell>
          <cell r="F243">
            <v>0</v>
          </cell>
          <cell r="G243">
            <v>28</v>
          </cell>
          <cell r="H243">
            <v>1.183875</v>
          </cell>
          <cell r="I243">
            <v>1</v>
          </cell>
          <cell r="J243">
            <v>33.148499999999999</v>
          </cell>
          <cell r="K243">
            <v>3.25</v>
          </cell>
          <cell r="L243">
            <v>9.8000000000000004E-2</v>
          </cell>
          <cell r="M243">
            <v>0</v>
          </cell>
          <cell r="N243">
            <v>20.249600000000001</v>
          </cell>
          <cell r="O243">
            <v>0</v>
          </cell>
          <cell r="P243">
            <v>2.21</v>
          </cell>
          <cell r="Q243">
            <v>0</v>
          </cell>
          <cell r="R243">
            <v>0.09</v>
          </cell>
          <cell r="S243">
            <v>0</v>
          </cell>
          <cell r="T243">
            <v>22.549600000000002</v>
          </cell>
          <cell r="U243">
            <v>0</v>
          </cell>
          <cell r="V243">
            <v>0.25</v>
          </cell>
          <cell r="W243">
            <v>1</v>
          </cell>
          <cell r="AH243">
            <v>2</v>
          </cell>
          <cell r="BJ243">
            <v>0.02</v>
          </cell>
          <cell r="BL243">
            <v>0.02</v>
          </cell>
        </row>
        <row r="244">
          <cell r="C244">
            <v>7230</v>
          </cell>
          <cell r="D244" t="str">
            <v>WINDING PIPE DIAM.=400 (L=500 , 0.063 M3)</v>
          </cell>
          <cell r="E244" t="str">
            <v>NOS</v>
          </cell>
          <cell r="F244">
            <v>0</v>
          </cell>
          <cell r="G244">
            <v>25</v>
          </cell>
          <cell r="H244">
            <v>1.183875</v>
          </cell>
          <cell r="I244">
            <v>1</v>
          </cell>
          <cell r="J244">
            <v>29.596875000000001</v>
          </cell>
          <cell r="K244">
            <v>3.25</v>
          </cell>
          <cell r="L244">
            <v>0.11</v>
          </cell>
          <cell r="M244">
            <v>0</v>
          </cell>
          <cell r="N244">
            <v>28.504000000000001</v>
          </cell>
          <cell r="O244">
            <v>0</v>
          </cell>
          <cell r="P244">
            <v>2.4700000000000002</v>
          </cell>
          <cell r="Q244">
            <v>0</v>
          </cell>
          <cell r="R244">
            <v>0.1</v>
          </cell>
          <cell r="S244">
            <v>0</v>
          </cell>
          <cell r="T244">
            <v>31.074000000000002</v>
          </cell>
          <cell r="U244">
            <v>0</v>
          </cell>
          <cell r="V244">
            <v>0.25</v>
          </cell>
          <cell r="W244">
            <v>1</v>
          </cell>
          <cell r="AH244">
            <v>2</v>
          </cell>
          <cell r="BJ244">
            <v>0.02</v>
          </cell>
          <cell r="BL244">
            <v>0.02</v>
          </cell>
        </row>
        <row r="245">
          <cell r="C245">
            <v>7240</v>
          </cell>
          <cell r="D245" t="str">
            <v>HOLE IN ANCHOR (D&lt;20MM)</v>
          </cell>
          <cell r="E245" t="str">
            <v>NOS</v>
          </cell>
          <cell r="F245">
            <v>0</v>
          </cell>
          <cell r="G245">
            <v>20</v>
          </cell>
          <cell r="H245">
            <v>1.183875</v>
          </cell>
          <cell r="I245">
            <v>1</v>
          </cell>
          <cell r="J245">
            <v>23.677500000000002</v>
          </cell>
          <cell r="K245">
            <v>2.25</v>
          </cell>
          <cell r="L245">
            <v>9.5000000000000001E-2</v>
          </cell>
          <cell r="M245">
            <v>0</v>
          </cell>
          <cell r="N245">
            <v>1.0290000000000001</v>
          </cell>
          <cell r="O245">
            <v>0</v>
          </cell>
          <cell r="P245">
            <v>2.02</v>
          </cell>
          <cell r="Q245">
            <v>0</v>
          </cell>
          <cell r="R245">
            <v>0</v>
          </cell>
          <cell r="S245">
            <v>0</v>
          </cell>
          <cell r="T245">
            <v>3.0490000000000004</v>
          </cell>
          <cell r="U245">
            <v>0</v>
          </cell>
          <cell r="V245">
            <v>0.25</v>
          </cell>
          <cell r="W245">
            <v>1</v>
          </cell>
          <cell r="AH245">
            <v>1</v>
          </cell>
        </row>
        <row r="246">
          <cell r="C246">
            <v>7250</v>
          </cell>
          <cell r="D246" t="str">
            <v>HOLE IN ANCHOR (D&gt;20MM)</v>
          </cell>
          <cell r="E246" t="str">
            <v>NOS</v>
          </cell>
          <cell r="F246">
            <v>0</v>
          </cell>
          <cell r="G246">
            <v>15</v>
          </cell>
          <cell r="H246">
            <v>1.183875</v>
          </cell>
          <cell r="I246">
            <v>1</v>
          </cell>
          <cell r="J246">
            <v>17.758125</v>
          </cell>
          <cell r="K246">
            <v>2.25</v>
          </cell>
          <cell r="L246">
            <v>0.127</v>
          </cell>
          <cell r="M246">
            <v>0</v>
          </cell>
          <cell r="N246">
            <v>2.0580000000000003</v>
          </cell>
          <cell r="O246">
            <v>0</v>
          </cell>
          <cell r="P246">
            <v>2.69</v>
          </cell>
          <cell r="Q246">
            <v>0</v>
          </cell>
          <cell r="R246">
            <v>0</v>
          </cell>
          <cell r="S246">
            <v>0</v>
          </cell>
          <cell r="T246">
            <v>4.7480000000000002</v>
          </cell>
          <cell r="U246">
            <v>0</v>
          </cell>
          <cell r="V246">
            <v>0.25</v>
          </cell>
          <cell r="W246">
            <v>1</v>
          </cell>
          <cell r="AH246">
            <v>1</v>
          </cell>
        </row>
        <row r="247">
          <cell r="C247">
            <v>7260</v>
          </cell>
          <cell r="D247" t="str">
            <v>CHEMICAL ANCHOR (D &lt; 20MM)</v>
          </cell>
          <cell r="E247" t="str">
            <v>NOS</v>
          </cell>
          <cell r="F247">
            <v>0</v>
          </cell>
          <cell r="G247">
            <v>20</v>
          </cell>
          <cell r="H247">
            <v>1.183875</v>
          </cell>
          <cell r="I247">
            <v>1</v>
          </cell>
          <cell r="J247">
            <v>23.677500000000002</v>
          </cell>
          <cell r="K247">
            <v>2.25</v>
          </cell>
          <cell r="L247">
            <v>9.5000000000000001E-2</v>
          </cell>
          <cell r="M247">
            <v>0</v>
          </cell>
          <cell r="N247">
            <v>10.290000000000001</v>
          </cell>
          <cell r="O247">
            <v>0</v>
          </cell>
          <cell r="P247">
            <v>2.02</v>
          </cell>
          <cell r="Q247">
            <v>0</v>
          </cell>
          <cell r="R247">
            <v>0</v>
          </cell>
          <cell r="S247">
            <v>0</v>
          </cell>
          <cell r="T247">
            <v>12.31</v>
          </cell>
          <cell r="U247">
            <v>0</v>
          </cell>
          <cell r="V247">
            <v>0.25</v>
          </cell>
          <cell r="W247">
            <v>1</v>
          </cell>
          <cell r="AH247">
            <v>1</v>
          </cell>
        </row>
        <row r="248">
          <cell r="C248">
            <v>7270</v>
          </cell>
          <cell r="D248" t="str">
            <v>CHEMICAL ANCHOR (D &gt; 20MM)</v>
          </cell>
          <cell r="E248" t="str">
            <v>NOS</v>
          </cell>
          <cell r="F248">
            <v>0</v>
          </cell>
          <cell r="G248">
            <v>18</v>
          </cell>
          <cell r="H248">
            <v>1.183875</v>
          </cell>
          <cell r="I248">
            <v>1</v>
          </cell>
          <cell r="J248">
            <v>21.309750000000001</v>
          </cell>
          <cell r="K248">
            <v>2.25</v>
          </cell>
          <cell r="L248">
            <v>0.106</v>
          </cell>
          <cell r="M248">
            <v>0</v>
          </cell>
          <cell r="N248">
            <v>11.760000000000002</v>
          </cell>
          <cell r="O248">
            <v>0</v>
          </cell>
          <cell r="P248">
            <v>2.2400000000000002</v>
          </cell>
          <cell r="Q248">
            <v>0</v>
          </cell>
          <cell r="R248">
            <v>0</v>
          </cell>
          <cell r="S248">
            <v>0</v>
          </cell>
          <cell r="T248">
            <v>14.000000000000002</v>
          </cell>
          <cell r="U248">
            <v>0</v>
          </cell>
          <cell r="V248">
            <v>0.25</v>
          </cell>
          <cell r="W248">
            <v>1</v>
          </cell>
          <cell r="AH248">
            <v>1</v>
          </cell>
        </row>
        <row r="249">
          <cell r="C249">
            <v>7280</v>
          </cell>
          <cell r="D249" t="str">
            <v>STRUCTURAL STEEL(GAL. ELECTION)PIPE RACK</v>
          </cell>
          <cell r="E249" t="str">
            <v>TON</v>
          </cell>
          <cell r="F249">
            <v>0</v>
          </cell>
          <cell r="G249">
            <v>3.3</v>
          </cell>
          <cell r="H249">
            <v>1.183875</v>
          </cell>
          <cell r="I249">
            <v>1</v>
          </cell>
          <cell r="J249">
            <v>3.9067874999999996</v>
          </cell>
          <cell r="K249">
            <v>8.35</v>
          </cell>
          <cell r="L249">
            <v>2.137</v>
          </cell>
          <cell r="M249">
            <v>0</v>
          </cell>
          <cell r="N249">
            <v>2318.4</v>
          </cell>
          <cell r="O249">
            <v>0</v>
          </cell>
          <cell r="P249">
            <v>47.06</v>
          </cell>
          <cell r="Q249">
            <v>0</v>
          </cell>
          <cell r="R249">
            <v>42.5</v>
          </cell>
          <cell r="S249">
            <v>0</v>
          </cell>
          <cell r="T249">
            <v>2407.96</v>
          </cell>
          <cell r="U249">
            <v>0</v>
          </cell>
          <cell r="V249">
            <v>1</v>
          </cell>
          <cell r="W249">
            <v>2</v>
          </cell>
          <cell r="X249">
            <v>0.2</v>
          </cell>
          <cell r="Z249">
            <v>0.15</v>
          </cell>
          <cell r="AF249">
            <v>1</v>
          </cell>
          <cell r="AG249">
            <v>1</v>
          </cell>
          <cell r="AH249">
            <v>3</v>
          </cell>
          <cell r="AO249">
            <v>0.2</v>
          </cell>
          <cell r="BG249">
            <v>0.1</v>
          </cell>
          <cell r="BH249">
            <v>0.05</v>
          </cell>
          <cell r="BJ249">
            <v>0.2</v>
          </cell>
          <cell r="BK249">
            <v>1</v>
          </cell>
          <cell r="BL249">
            <v>0.2</v>
          </cell>
        </row>
        <row r="250">
          <cell r="C250">
            <v>7282</v>
          </cell>
          <cell r="D250" t="str">
            <v>STRUCTURAL STEEL(GAL. ELECTION)EQUIP.</v>
          </cell>
          <cell r="E250" t="str">
            <v>TON</v>
          </cell>
          <cell r="F250">
            <v>0</v>
          </cell>
          <cell r="G250">
            <v>2.4</v>
          </cell>
          <cell r="H250">
            <v>1.183875</v>
          </cell>
          <cell r="I250">
            <v>1</v>
          </cell>
          <cell r="J250">
            <v>2.8412999999999999</v>
          </cell>
          <cell r="K250">
            <v>8.35</v>
          </cell>
          <cell r="L250">
            <v>2.9390000000000001</v>
          </cell>
          <cell r="M250">
            <v>0</v>
          </cell>
          <cell r="N250">
            <v>2262.4</v>
          </cell>
          <cell r="O250">
            <v>0</v>
          </cell>
          <cell r="P250">
            <v>64.709999999999994</v>
          </cell>
          <cell r="Q250">
            <v>0</v>
          </cell>
          <cell r="R250">
            <v>58.43</v>
          </cell>
          <cell r="S250">
            <v>0</v>
          </cell>
          <cell r="T250">
            <v>2385.54</v>
          </cell>
          <cell r="U250">
            <v>0</v>
          </cell>
          <cell r="V250">
            <v>1</v>
          </cell>
          <cell r="W250">
            <v>2</v>
          </cell>
          <cell r="X250">
            <v>0.2</v>
          </cell>
          <cell r="Z250">
            <v>0.15</v>
          </cell>
          <cell r="AF250">
            <v>1</v>
          </cell>
          <cell r="AG250">
            <v>1</v>
          </cell>
          <cell r="AH250">
            <v>3</v>
          </cell>
          <cell r="AO250">
            <v>0.2</v>
          </cell>
          <cell r="BG250">
            <v>0.1</v>
          </cell>
          <cell r="BH250">
            <v>0.05</v>
          </cell>
          <cell r="BJ250">
            <v>0.2</v>
          </cell>
          <cell r="BK250">
            <v>1</v>
          </cell>
          <cell r="BL250">
            <v>0.2</v>
          </cell>
        </row>
        <row r="251">
          <cell r="C251">
            <v>7284</v>
          </cell>
          <cell r="D251" t="str">
            <v>STRUCTURAL STEEL(PAINT ELECTION)BUILDING</v>
          </cell>
          <cell r="E251" t="str">
            <v>TON</v>
          </cell>
          <cell r="F251">
            <v>0</v>
          </cell>
          <cell r="G251">
            <v>2</v>
          </cell>
          <cell r="H251">
            <v>1.183875</v>
          </cell>
          <cell r="I251">
            <v>1</v>
          </cell>
          <cell r="J251">
            <v>2.36775</v>
          </cell>
          <cell r="K251">
            <v>8.35</v>
          </cell>
          <cell r="L251">
            <v>3.5270000000000001</v>
          </cell>
          <cell r="M251">
            <v>0</v>
          </cell>
          <cell r="N251">
            <v>1282.4000000000001</v>
          </cell>
          <cell r="O251">
            <v>0</v>
          </cell>
          <cell r="P251">
            <v>77.650000000000006</v>
          </cell>
          <cell r="Q251">
            <v>0</v>
          </cell>
          <cell r="R251">
            <v>70.12</v>
          </cell>
          <cell r="S251">
            <v>0</v>
          </cell>
          <cell r="T251">
            <v>1430.17</v>
          </cell>
          <cell r="U251">
            <v>0</v>
          </cell>
          <cell r="V251">
            <v>1</v>
          </cell>
          <cell r="W251">
            <v>2</v>
          </cell>
          <cell r="X251">
            <v>0.2</v>
          </cell>
          <cell r="Z251">
            <v>0.15</v>
          </cell>
          <cell r="AF251">
            <v>1</v>
          </cell>
          <cell r="AG251">
            <v>1</v>
          </cell>
          <cell r="AH251">
            <v>3</v>
          </cell>
          <cell r="AO251">
            <v>0.2</v>
          </cell>
          <cell r="BG251">
            <v>0.1</v>
          </cell>
          <cell r="BH251">
            <v>0.05</v>
          </cell>
          <cell r="BJ251">
            <v>0.2</v>
          </cell>
          <cell r="BK251">
            <v>1</v>
          </cell>
          <cell r="BL251">
            <v>0.2</v>
          </cell>
        </row>
        <row r="252">
          <cell r="C252">
            <v>7286</v>
          </cell>
          <cell r="D252" t="str">
            <v>STRUCTURAL STEEL  FABR'T EXPT.PAINT</v>
          </cell>
          <cell r="E252" t="str">
            <v>TON</v>
          </cell>
          <cell r="F252">
            <v>0</v>
          </cell>
          <cell r="G252">
            <v>1</v>
          </cell>
          <cell r="H252">
            <v>1.183875</v>
          </cell>
          <cell r="I252">
            <v>1</v>
          </cell>
          <cell r="J252">
            <v>1.183875</v>
          </cell>
          <cell r="K252">
            <v>8.35</v>
          </cell>
          <cell r="L252">
            <v>7.0529999999999999</v>
          </cell>
          <cell r="M252">
            <v>0</v>
          </cell>
          <cell r="N252">
            <v>754.5440000000001</v>
          </cell>
          <cell r="O252">
            <v>0</v>
          </cell>
          <cell r="P252">
            <v>155.29</v>
          </cell>
          <cell r="Q252">
            <v>0</v>
          </cell>
          <cell r="R252">
            <v>140.24</v>
          </cell>
          <cell r="S252">
            <v>0</v>
          </cell>
          <cell r="T252">
            <v>1050.0740000000001</v>
          </cell>
          <cell r="U252">
            <v>0</v>
          </cell>
          <cell r="V252">
            <v>1</v>
          </cell>
          <cell r="W252">
            <v>2</v>
          </cell>
          <cell r="X252">
            <v>0.2</v>
          </cell>
          <cell r="Z252">
            <v>0.15</v>
          </cell>
          <cell r="AF252">
            <v>1</v>
          </cell>
          <cell r="AG252">
            <v>1</v>
          </cell>
          <cell r="AH252">
            <v>3</v>
          </cell>
          <cell r="AO252">
            <v>0.2</v>
          </cell>
          <cell r="BG252">
            <v>0.1</v>
          </cell>
          <cell r="BH252">
            <v>0.05</v>
          </cell>
          <cell r="BJ252">
            <v>0.2</v>
          </cell>
          <cell r="BK252">
            <v>1</v>
          </cell>
          <cell r="BL252">
            <v>0.2</v>
          </cell>
        </row>
        <row r="253">
          <cell r="C253">
            <v>7290</v>
          </cell>
          <cell r="D253" t="str">
            <v>EMBEDDED STEEL</v>
          </cell>
          <cell r="E253" t="str">
            <v>TON</v>
          </cell>
          <cell r="F253">
            <v>0</v>
          </cell>
          <cell r="G253">
            <v>0.32</v>
          </cell>
          <cell r="H253">
            <v>1.183875</v>
          </cell>
          <cell r="I253">
            <v>1</v>
          </cell>
          <cell r="J253">
            <v>0.37884000000000001</v>
          </cell>
          <cell r="K253">
            <v>5.5</v>
          </cell>
          <cell r="L253">
            <v>14.518000000000001</v>
          </cell>
          <cell r="M253">
            <v>0</v>
          </cell>
          <cell r="N253">
            <v>739.19999999999993</v>
          </cell>
          <cell r="O253">
            <v>0</v>
          </cell>
          <cell r="P253">
            <v>308.27</v>
          </cell>
          <cell r="Q253">
            <v>0</v>
          </cell>
          <cell r="R253">
            <v>18.04</v>
          </cell>
          <cell r="S253">
            <v>0</v>
          </cell>
          <cell r="T253">
            <v>1065.5099999999998</v>
          </cell>
          <cell r="U253">
            <v>0</v>
          </cell>
          <cell r="V253">
            <v>0.5</v>
          </cell>
          <cell r="W253">
            <v>2</v>
          </cell>
          <cell r="AG253">
            <v>1</v>
          </cell>
          <cell r="AH253">
            <v>2</v>
          </cell>
          <cell r="BJ253">
            <v>0.02</v>
          </cell>
          <cell r="BK253">
            <v>0.05</v>
          </cell>
          <cell r="BL253">
            <v>0.03</v>
          </cell>
        </row>
        <row r="254">
          <cell r="C254">
            <v>7300</v>
          </cell>
          <cell r="D254" t="str">
            <v>CHECKERED PLATE COVER (4.5t)</v>
          </cell>
          <cell r="E254" t="str">
            <v>M2</v>
          </cell>
          <cell r="F254">
            <v>0</v>
          </cell>
          <cell r="G254">
            <v>6.5</v>
          </cell>
          <cell r="H254">
            <v>1.183875</v>
          </cell>
          <cell r="I254">
            <v>1</v>
          </cell>
          <cell r="J254">
            <v>7.6951875000000003</v>
          </cell>
          <cell r="K254">
            <v>3.2</v>
          </cell>
          <cell r="L254">
            <v>0.41599999999999998</v>
          </cell>
          <cell r="M254">
            <v>0</v>
          </cell>
          <cell r="N254">
            <v>29.120000000000005</v>
          </cell>
          <cell r="O254">
            <v>0</v>
          </cell>
          <cell r="P254">
            <v>9.35</v>
          </cell>
          <cell r="Q254">
            <v>0</v>
          </cell>
          <cell r="R254">
            <v>1.1499999999999999</v>
          </cell>
          <cell r="S254">
            <v>0</v>
          </cell>
          <cell r="T254">
            <v>39.620000000000005</v>
          </cell>
          <cell r="U254">
            <v>0</v>
          </cell>
          <cell r="V254">
            <v>0.2</v>
          </cell>
          <cell r="W254">
            <v>1</v>
          </cell>
          <cell r="AH254">
            <v>2</v>
          </cell>
          <cell r="BJ254">
            <v>0.05</v>
          </cell>
          <cell r="BK254">
            <v>0.2</v>
          </cell>
          <cell r="BL254">
            <v>0.02</v>
          </cell>
        </row>
        <row r="255">
          <cell r="C255">
            <v>7310</v>
          </cell>
          <cell r="D255" t="str">
            <v>CHECKERED PLATE COVER (T=6)</v>
          </cell>
          <cell r="E255" t="str">
            <v>M2</v>
          </cell>
          <cell r="F255">
            <v>0</v>
          </cell>
          <cell r="G255">
            <v>5.8</v>
          </cell>
          <cell r="H255">
            <v>1.183875</v>
          </cell>
          <cell r="I255">
            <v>1</v>
          </cell>
          <cell r="J255">
            <v>6.8664749999999994</v>
          </cell>
          <cell r="K255">
            <v>3.2</v>
          </cell>
          <cell r="L255">
            <v>0.46600000000000003</v>
          </cell>
          <cell r="M255">
            <v>0</v>
          </cell>
          <cell r="N255">
            <v>36.96</v>
          </cell>
          <cell r="O255">
            <v>0</v>
          </cell>
          <cell r="P255">
            <v>10.48</v>
          </cell>
          <cell r="Q255">
            <v>0</v>
          </cell>
          <cell r="R255">
            <v>1.32</v>
          </cell>
          <cell r="S255">
            <v>0</v>
          </cell>
          <cell r="T255">
            <v>48.76</v>
          </cell>
          <cell r="U255">
            <v>0</v>
          </cell>
          <cell r="V255">
            <v>0.2</v>
          </cell>
          <cell r="W255">
            <v>1</v>
          </cell>
          <cell r="AH255">
            <v>2</v>
          </cell>
          <cell r="BJ255">
            <v>0.05</v>
          </cell>
          <cell r="BK255">
            <v>0.2</v>
          </cell>
          <cell r="BL255">
            <v>0.02</v>
          </cell>
        </row>
        <row r="256">
          <cell r="C256">
            <v>7320</v>
          </cell>
          <cell r="D256" t="str">
            <v>CHECKERED PLATE COVER (T=6)</v>
          </cell>
          <cell r="E256" t="str">
            <v>TON</v>
          </cell>
          <cell r="F256">
            <v>0</v>
          </cell>
          <cell r="G256">
            <v>0.32</v>
          </cell>
          <cell r="H256">
            <v>1.183875</v>
          </cell>
          <cell r="I256">
            <v>1</v>
          </cell>
          <cell r="J256">
            <v>0.37884000000000001</v>
          </cell>
          <cell r="K256">
            <v>3.2</v>
          </cell>
          <cell r="L256">
            <v>8.4469999999999992</v>
          </cell>
          <cell r="M256">
            <v>0</v>
          </cell>
          <cell r="N256">
            <v>784</v>
          </cell>
          <cell r="O256">
            <v>0</v>
          </cell>
          <cell r="P256">
            <v>189.89</v>
          </cell>
          <cell r="Q256">
            <v>0</v>
          </cell>
          <cell r="R256">
            <v>97.79</v>
          </cell>
          <cell r="S256">
            <v>0</v>
          </cell>
          <cell r="T256">
            <v>1071.68</v>
          </cell>
          <cell r="U256">
            <v>0</v>
          </cell>
          <cell r="V256">
            <v>0.2</v>
          </cell>
          <cell r="W256">
            <v>1</v>
          </cell>
          <cell r="AH256">
            <v>2</v>
          </cell>
          <cell r="BJ256">
            <v>0.2</v>
          </cell>
          <cell r="BK256">
            <v>1</v>
          </cell>
          <cell r="BL256">
            <v>0.05</v>
          </cell>
        </row>
        <row r="257">
          <cell r="C257">
            <v>7330</v>
          </cell>
          <cell r="D257" t="str">
            <v>I-32 GRATING COVER</v>
          </cell>
          <cell r="E257" t="str">
            <v>M2</v>
          </cell>
          <cell r="F257">
            <v>0</v>
          </cell>
          <cell r="G257">
            <v>28</v>
          </cell>
          <cell r="H257">
            <v>1.183875</v>
          </cell>
          <cell r="I257">
            <v>1</v>
          </cell>
          <cell r="J257">
            <v>33.148499999999999</v>
          </cell>
          <cell r="K257">
            <v>3.2</v>
          </cell>
          <cell r="L257">
            <v>9.7000000000000003E-2</v>
          </cell>
          <cell r="M257">
            <v>0</v>
          </cell>
          <cell r="N257">
            <v>80.472000000000008</v>
          </cell>
          <cell r="O257">
            <v>0</v>
          </cell>
          <cell r="P257">
            <v>2.17</v>
          </cell>
          <cell r="Q257">
            <v>0</v>
          </cell>
          <cell r="R257">
            <v>0.27</v>
          </cell>
          <cell r="S257">
            <v>0</v>
          </cell>
          <cell r="T257">
            <v>82.912000000000006</v>
          </cell>
          <cell r="U257">
            <v>0</v>
          </cell>
          <cell r="V257">
            <v>0.2</v>
          </cell>
          <cell r="W257">
            <v>1</v>
          </cell>
          <cell r="AH257">
            <v>2</v>
          </cell>
          <cell r="BJ257">
            <v>0.01</v>
          </cell>
          <cell r="BK257">
            <v>0.2</v>
          </cell>
          <cell r="BL257">
            <v>0.02</v>
          </cell>
        </row>
        <row r="258">
          <cell r="C258">
            <v>7340</v>
          </cell>
          <cell r="D258" t="str">
            <v>I-32 GRATING COVER</v>
          </cell>
          <cell r="E258" t="str">
            <v>TON</v>
          </cell>
          <cell r="F258">
            <v>0</v>
          </cell>
          <cell r="G258">
            <v>1.25</v>
          </cell>
          <cell r="H258">
            <v>1.183875</v>
          </cell>
          <cell r="I258">
            <v>1</v>
          </cell>
          <cell r="J258">
            <v>1.4798437500000001</v>
          </cell>
          <cell r="K258">
            <v>3.2</v>
          </cell>
          <cell r="L258">
            <v>2.1619999999999999</v>
          </cell>
          <cell r="M258">
            <v>0</v>
          </cell>
          <cell r="N258">
            <v>1924.4400000000003</v>
          </cell>
          <cell r="O258">
            <v>0</v>
          </cell>
          <cell r="P258">
            <v>48.61</v>
          </cell>
          <cell r="Q258">
            <v>0</v>
          </cell>
          <cell r="R258">
            <v>25.23</v>
          </cell>
          <cell r="S258">
            <v>0</v>
          </cell>
          <cell r="T258">
            <v>1998.2800000000002</v>
          </cell>
          <cell r="U258">
            <v>0</v>
          </cell>
          <cell r="V258">
            <v>0.2</v>
          </cell>
          <cell r="W258">
            <v>1</v>
          </cell>
          <cell r="AH258">
            <v>2</v>
          </cell>
          <cell r="BJ258">
            <v>0.1</v>
          </cell>
          <cell r="BK258">
            <v>1</v>
          </cell>
          <cell r="BL258">
            <v>0.05</v>
          </cell>
        </row>
        <row r="259">
          <cell r="C259">
            <v>7350</v>
          </cell>
          <cell r="D259" t="str">
            <v>I-38 GRATING COVER</v>
          </cell>
          <cell r="E259" t="str">
            <v>M2</v>
          </cell>
          <cell r="F259">
            <v>0</v>
          </cell>
          <cell r="G259">
            <v>25</v>
          </cell>
          <cell r="H259">
            <v>1.183875</v>
          </cell>
          <cell r="I259">
            <v>1</v>
          </cell>
          <cell r="J259">
            <v>29.596875000000001</v>
          </cell>
          <cell r="K259">
            <v>3.2</v>
          </cell>
          <cell r="L259">
            <v>0.108</v>
          </cell>
          <cell r="M259">
            <v>0</v>
          </cell>
          <cell r="N259">
            <v>87.360672000000008</v>
          </cell>
          <cell r="O259">
            <v>0</v>
          </cell>
          <cell r="P259">
            <v>2.4300000000000002</v>
          </cell>
          <cell r="Q259">
            <v>0</v>
          </cell>
          <cell r="R259">
            <v>0.3</v>
          </cell>
          <cell r="S259">
            <v>0</v>
          </cell>
          <cell r="T259">
            <v>90.090672000000012</v>
          </cell>
          <cell r="U259">
            <v>0</v>
          </cell>
          <cell r="V259">
            <v>0.2</v>
          </cell>
          <cell r="W259">
            <v>1</v>
          </cell>
          <cell r="AH259">
            <v>2</v>
          </cell>
          <cell r="BJ259">
            <v>0.01</v>
          </cell>
          <cell r="BK259">
            <v>0.2</v>
          </cell>
          <cell r="BL259">
            <v>0.02</v>
          </cell>
        </row>
        <row r="260">
          <cell r="C260">
            <v>7355</v>
          </cell>
          <cell r="D260" t="str">
            <v>STAIR(B=1200MM  83KG/M)</v>
          </cell>
          <cell r="E260" t="str">
            <v>M</v>
          </cell>
          <cell r="F260">
            <v>0</v>
          </cell>
          <cell r="G260">
            <v>2.2000000000000002</v>
          </cell>
          <cell r="H260">
            <v>1.183875</v>
          </cell>
          <cell r="I260">
            <v>1</v>
          </cell>
          <cell r="J260">
            <v>2.6045250000000002</v>
          </cell>
          <cell r="K260">
            <v>3.2</v>
          </cell>
          <cell r="L260">
            <v>1.2290000000000001</v>
          </cell>
          <cell r="M260">
            <v>0</v>
          </cell>
          <cell r="N260">
            <v>44.049599999999998</v>
          </cell>
          <cell r="O260">
            <v>0</v>
          </cell>
          <cell r="P260">
            <v>27.62</v>
          </cell>
          <cell r="Q260">
            <v>0</v>
          </cell>
          <cell r="R260">
            <v>3.38</v>
          </cell>
          <cell r="S260">
            <v>0</v>
          </cell>
          <cell r="T260">
            <v>75.049599999999998</v>
          </cell>
          <cell r="U260">
            <v>0</v>
          </cell>
          <cell r="V260">
            <v>0.2</v>
          </cell>
          <cell r="W260">
            <v>1</v>
          </cell>
          <cell r="AH260">
            <v>2</v>
          </cell>
          <cell r="BJ260">
            <v>0.01</v>
          </cell>
          <cell r="BK260">
            <v>0.2</v>
          </cell>
          <cell r="BL260">
            <v>0.02</v>
          </cell>
        </row>
        <row r="261">
          <cell r="C261">
            <v>7356</v>
          </cell>
          <cell r="D261" t="str">
            <v>STAIR(B=1200MM) MAT.SUB CON</v>
          </cell>
          <cell r="E261" t="str">
            <v>TON</v>
          </cell>
          <cell r="F261">
            <v>0</v>
          </cell>
          <cell r="G261">
            <v>0.8</v>
          </cell>
          <cell r="H261">
            <v>1.183875</v>
          </cell>
          <cell r="I261">
            <v>1</v>
          </cell>
          <cell r="J261">
            <v>0.94710000000000005</v>
          </cell>
          <cell r="K261">
            <v>3.2</v>
          </cell>
          <cell r="L261">
            <v>3.379</v>
          </cell>
          <cell r="M261">
            <v>0</v>
          </cell>
          <cell r="N261">
            <v>1484</v>
          </cell>
          <cell r="O261">
            <v>0</v>
          </cell>
          <cell r="P261">
            <v>75.959999999999994</v>
          </cell>
          <cell r="Q261">
            <v>0</v>
          </cell>
          <cell r="R261">
            <v>9.3000000000000007</v>
          </cell>
          <cell r="S261">
            <v>0</v>
          </cell>
          <cell r="T261">
            <v>1569.26</v>
          </cell>
          <cell r="U261">
            <v>0</v>
          </cell>
          <cell r="V261">
            <v>0.2</v>
          </cell>
          <cell r="W261">
            <v>1</v>
          </cell>
          <cell r="AH261">
            <v>2</v>
          </cell>
          <cell r="BJ261">
            <v>0.01</v>
          </cell>
          <cell r="BK261">
            <v>0.2</v>
          </cell>
          <cell r="BL261">
            <v>0.02</v>
          </cell>
        </row>
        <row r="262">
          <cell r="C262">
            <v>7360</v>
          </cell>
          <cell r="D262" t="str">
            <v>HAND RAIL(14.4KG/M)</v>
          </cell>
          <cell r="E262" t="str">
            <v>M</v>
          </cell>
          <cell r="F262">
            <v>0</v>
          </cell>
          <cell r="G262">
            <v>3.2</v>
          </cell>
          <cell r="H262">
            <v>1.183875</v>
          </cell>
          <cell r="I262">
            <v>1</v>
          </cell>
          <cell r="J262">
            <v>3.7884000000000002</v>
          </cell>
          <cell r="K262">
            <v>3.2</v>
          </cell>
          <cell r="L262">
            <v>0.84499999999999997</v>
          </cell>
          <cell r="M262">
            <v>0</v>
          </cell>
          <cell r="N262">
            <v>6.756120000000001</v>
          </cell>
          <cell r="O262">
            <v>0</v>
          </cell>
          <cell r="P262">
            <v>18.989999999999998</v>
          </cell>
          <cell r="Q262">
            <v>0</v>
          </cell>
          <cell r="R262">
            <v>1.2</v>
          </cell>
          <cell r="S262">
            <v>0</v>
          </cell>
          <cell r="T262">
            <v>26.946119999999997</v>
          </cell>
          <cell r="U262">
            <v>0</v>
          </cell>
          <cell r="V262">
            <v>0.2</v>
          </cell>
          <cell r="W262">
            <v>1</v>
          </cell>
          <cell r="AH262">
            <v>2</v>
          </cell>
          <cell r="BJ262">
            <v>0.03</v>
          </cell>
          <cell r="BK262">
            <v>0.1</v>
          </cell>
          <cell r="BL262">
            <v>0.01</v>
          </cell>
        </row>
        <row r="263">
          <cell r="C263">
            <v>7370</v>
          </cell>
          <cell r="D263" t="str">
            <v>HAND RAIL</v>
          </cell>
          <cell r="E263" t="str">
            <v>TON</v>
          </cell>
          <cell r="F263">
            <v>0</v>
          </cell>
          <cell r="G263">
            <v>0.17</v>
          </cell>
          <cell r="H263">
            <v>1.183875</v>
          </cell>
          <cell r="I263">
            <v>1</v>
          </cell>
          <cell r="J263">
            <v>0.20125875000000001</v>
          </cell>
          <cell r="K263">
            <v>3.2</v>
          </cell>
          <cell r="L263">
            <v>15.9</v>
          </cell>
          <cell r="M263">
            <v>0</v>
          </cell>
          <cell r="N263">
            <v>2282</v>
          </cell>
          <cell r="O263">
            <v>0</v>
          </cell>
          <cell r="P263">
            <v>357.44</v>
          </cell>
          <cell r="Q263">
            <v>0</v>
          </cell>
          <cell r="R263">
            <v>132.34</v>
          </cell>
          <cell r="S263">
            <v>0</v>
          </cell>
          <cell r="T263">
            <v>2771.78</v>
          </cell>
          <cell r="U263">
            <v>0</v>
          </cell>
          <cell r="V263">
            <v>0.2</v>
          </cell>
          <cell r="W263">
            <v>1</v>
          </cell>
          <cell r="AH263">
            <v>2</v>
          </cell>
          <cell r="BJ263">
            <v>3.5000000000000003E-2</v>
          </cell>
          <cell r="BK263">
            <v>0.7</v>
          </cell>
          <cell r="BL263">
            <v>0.04</v>
          </cell>
        </row>
        <row r="264">
          <cell r="C264">
            <v>7380</v>
          </cell>
          <cell r="D264" t="str">
            <v>GUARD RAIL ON CULVERT</v>
          </cell>
          <cell r="E264" t="str">
            <v>M</v>
          </cell>
          <cell r="F264">
            <v>0</v>
          </cell>
          <cell r="G264">
            <v>15</v>
          </cell>
          <cell r="H264">
            <v>1.183875</v>
          </cell>
          <cell r="I264">
            <v>1</v>
          </cell>
          <cell r="J264">
            <v>17.758125</v>
          </cell>
          <cell r="K264">
            <v>2</v>
          </cell>
          <cell r="L264">
            <v>0.113</v>
          </cell>
          <cell r="M264">
            <v>0</v>
          </cell>
          <cell r="N264">
            <v>26.532800000000002</v>
          </cell>
          <cell r="O264">
            <v>0</v>
          </cell>
          <cell r="P264">
            <v>2.86</v>
          </cell>
          <cell r="Q264">
            <v>0</v>
          </cell>
          <cell r="R264">
            <v>0.76</v>
          </cell>
          <cell r="S264">
            <v>0</v>
          </cell>
          <cell r="T264">
            <v>30.152800000000003</v>
          </cell>
          <cell r="U264">
            <v>0</v>
          </cell>
          <cell r="AH264">
            <v>2</v>
          </cell>
          <cell r="BJ264">
            <v>0.1</v>
          </cell>
          <cell r="BK264">
            <v>0.2</v>
          </cell>
          <cell r="BL264">
            <v>0.05</v>
          </cell>
        </row>
        <row r="265">
          <cell r="C265">
            <v>7390</v>
          </cell>
          <cell r="D265" t="str">
            <v xml:space="preserve">GUARD RAIL </v>
          </cell>
          <cell r="E265" t="str">
            <v>M</v>
          </cell>
          <cell r="F265">
            <v>0</v>
          </cell>
          <cell r="G265">
            <v>15</v>
          </cell>
          <cell r="H265">
            <v>1.183875</v>
          </cell>
          <cell r="I265">
            <v>1</v>
          </cell>
          <cell r="J265">
            <v>17.758125</v>
          </cell>
          <cell r="K265">
            <v>2</v>
          </cell>
          <cell r="L265">
            <v>0.113</v>
          </cell>
          <cell r="M265">
            <v>0</v>
          </cell>
          <cell r="N265">
            <v>26.532800000000002</v>
          </cell>
          <cell r="O265">
            <v>0</v>
          </cell>
          <cell r="P265">
            <v>2.86</v>
          </cell>
          <cell r="Q265">
            <v>0</v>
          </cell>
          <cell r="R265">
            <v>0.76</v>
          </cell>
          <cell r="S265">
            <v>0</v>
          </cell>
          <cell r="T265">
            <v>30.152800000000003</v>
          </cell>
          <cell r="U265">
            <v>0</v>
          </cell>
          <cell r="AH265">
            <v>2</v>
          </cell>
          <cell r="BJ265">
            <v>0.1</v>
          </cell>
          <cell r="BK265">
            <v>0.2</v>
          </cell>
          <cell r="BL265">
            <v>0.05</v>
          </cell>
        </row>
        <row r="266">
          <cell r="C266">
            <v>7400</v>
          </cell>
          <cell r="D266" t="str">
            <v>LADDER (H&lt;3 M)</v>
          </cell>
          <cell r="E266" t="str">
            <v>M</v>
          </cell>
          <cell r="F266">
            <v>0</v>
          </cell>
          <cell r="G266">
            <v>2.2000000000000002</v>
          </cell>
          <cell r="H266">
            <v>1.183875</v>
          </cell>
          <cell r="I266">
            <v>1</v>
          </cell>
          <cell r="J266">
            <v>2.6045250000000002</v>
          </cell>
          <cell r="K266">
            <v>3.2</v>
          </cell>
          <cell r="L266">
            <v>1.2290000000000001</v>
          </cell>
          <cell r="M266">
            <v>0</v>
          </cell>
          <cell r="N266">
            <v>15.232000000000001</v>
          </cell>
          <cell r="O266">
            <v>0</v>
          </cell>
          <cell r="P266">
            <v>27.62</v>
          </cell>
          <cell r="Q266">
            <v>0</v>
          </cell>
          <cell r="R266">
            <v>3.11</v>
          </cell>
          <cell r="S266">
            <v>0</v>
          </cell>
          <cell r="T266">
            <v>45.962000000000003</v>
          </cell>
          <cell r="U266">
            <v>0</v>
          </cell>
          <cell r="V266">
            <v>0.2</v>
          </cell>
          <cell r="W266">
            <v>1</v>
          </cell>
          <cell r="AH266">
            <v>2</v>
          </cell>
          <cell r="BJ266">
            <v>0.01</v>
          </cell>
          <cell r="BK266">
            <v>0.2</v>
          </cell>
          <cell r="BL266">
            <v>1.4999999999999999E-2</v>
          </cell>
        </row>
        <row r="267">
          <cell r="C267">
            <v>7410</v>
          </cell>
          <cell r="D267" t="str">
            <v>LADDER (H&lt;3 M)</v>
          </cell>
          <cell r="E267" t="str">
            <v>TON</v>
          </cell>
          <cell r="F267">
            <v>0</v>
          </cell>
          <cell r="G267">
            <v>0.17</v>
          </cell>
          <cell r="H267">
            <v>1.183875</v>
          </cell>
          <cell r="I267">
            <v>1</v>
          </cell>
          <cell r="J267">
            <v>0.20125875000000001</v>
          </cell>
          <cell r="K267">
            <v>3.2</v>
          </cell>
          <cell r="L267">
            <v>15.9</v>
          </cell>
          <cell r="M267">
            <v>0</v>
          </cell>
          <cell r="N267">
            <v>772.8</v>
          </cell>
          <cell r="O267">
            <v>0</v>
          </cell>
          <cell r="P267">
            <v>357.44</v>
          </cell>
          <cell r="Q267">
            <v>0</v>
          </cell>
          <cell r="R267">
            <v>53.29</v>
          </cell>
          <cell r="S267">
            <v>0</v>
          </cell>
          <cell r="T267">
            <v>1183.53</v>
          </cell>
          <cell r="U267">
            <v>0</v>
          </cell>
          <cell r="V267">
            <v>0.2</v>
          </cell>
          <cell r="W267">
            <v>1</v>
          </cell>
          <cell r="AH267">
            <v>2</v>
          </cell>
          <cell r="BJ267">
            <v>7.0000000000000007E-2</v>
          </cell>
          <cell r="BK267">
            <v>0.3</v>
          </cell>
          <cell r="BL267">
            <v>0.01</v>
          </cell>
        </row>
        <row r="268">
          <cell r="C268">
            <v>7420</v>
          </cell>
          <cell r="D268" t="str">
            <v>LADDER (H&lt;3 M) GAL</v>
          </cell>
          <cell r="E268" t="str">
            <v>TON</v>
          </cell>
          <cell r="F268">
            <v>0</v>
          </cell>
          <cell r="G268">
            <v>0.17</v>
          </cell>
          <cell r="H268">
            <v>1.183875</v>
          </cell>
          <cell r="I268">
            <v>1</v>
          </cell>
          <cell r="J268">
            <v>0.20125875000000001</v>
          </cell>
          <cell r="K268">
            <v>3.2</v>
          </cell>
          <cell r="L268">
            <v>15.9</v>
          </cell>
          <cell r="M268">
            <v>0</v>
          </cell>
          <cell r="N268">
            <v>772.8</v>
          </cell>
          <cell r="O268">
            <v>0</v>
          </cell>
          <cell r="P268">
            <v>357.44</v>
          </cell>
          <cell r="Q268">
            <v>0</v>
          </cell>
          <cell r="R268">
            <v>53.29</v>
          </cell>
          <cell r="S268">
            <v>0</v>
          </cell>
          <cell r="T268">
            <v>1183.53</v>
          </cell>
          <cell r="U268">
            <v>0</v>
          </cell>
          <cell r="V268">
            <v>0.2</v>
          </cell>
          <cell r="W268">
            <v>1</v>
          </cell>
          <cell r="AH268">
            <v>2</v>
          </cell>
          <cell r="BJ268">
            <v>7.0000000000000007E-2</v>
          </cell>
          <cell r="BK268">
            <v>0.3</v>
          </cell>
          <cell r="BL268">
            <v>0.01</v>
          </cell>
        </row>
        <row r="269">
          <cell r="C269">
            <v>7430</v>
          </cell>
          <cell r="D269" t="str">
            <v>STEP IRON (ROUND BAR ,  DIA.=19)</v>
          </cell>
          <cell r="E269" t="str">
            <v>M</v>
          </cell>
          <cell r="F269">
            <v>0</v>
          </cell>
          <cell r="G269">
            <v>25</v>
          </cell>
          <cell r="H269">
            <v>1.183875</v>
          </cell>
          <cell r="I269">
            <v>1</v>
          </cell>
          <cell r="J269">
            <v>29.596875000000001</v>
          </cell>
          <cell r="K269">
            <v>3.2</v>
          </cell>
          <cell r="L269">
            <v>0.108</v>
          </cell>
          <cell r="M269">
            <v>0</v>
          </cell>
          <cell r="N269">
            <v>2.2400000000000002</v>
          </cell>
          <cell r="O269">
            <v>0</v>
          </cell>
          <cell r="P269">
            <v>2.4300000000000002</v>
          </cell>
          <cell r="Q269">
            <v>0</v>
          </cell>
          <cell r="R269">
            <v>0.4</v>
          </cell>
          <cell r="S269">
            <v>0</v>
          </cell>
          <cell r="T269">
            <v>5.07</v>
          </cell>
          <cell r="U269">
            <v>0</v>
          </cell>
          <cell r="V269">
            <v>0.2</v>
          </cell>
          <cell r="W269">
            <v>1</v>
          </cell>
          <cell r="AH269">
            <v>2</v>
          </cell>
          <cell r="BK269">
            <v>0.4</v>
          </cell>
        </row>
        <row r="270">
          <cell r="C270">
            <v>7440</v>
          </cell>
          <cell r="D270" t="str">
            <v>CAST IRON MANHOLE COVER (LIGHT , D=600)</v>
          </cell>
          <cell r="E270" t="str">
            <v>NOS</v>
          </cell>
          <cell r="F270">
            <v>0</v>
          </cell>
          <cell r="G270">
            <v>10</v>
          </cell>
          <cell r="H270">
            <v>1.183875</v>
          </cell>
          <cell r="I270">
            <v>1</v>
          </cell>
          <cell r="J270">
            <v>11.838750000000001</v>
          </cell>
          <cell r="K270">
            <v>3.2</v>
          </cell>
          <cell r="L270">
            <v>0.27</v>
          </cell>
          <cell r="M270">
            <v>0</v>
          </cell>
          <cell r="N270">
            <v>77.817599999999999</v>
          </cell>
          <cell r="O270">
            <v>0</v>
          </cell>
          <cell r="P270">
            <v>6.08</v>
          </cell>
          <cell r="Q270">
            <v>0</v>
          </cell>
          <cell r="R270">
            <v>0.02</v>
          </cell>
          <cell r="S270">
            <v>0</v>
          </cell>
          <cell r="T270">
            <v>83.917599999999993</v>
          </cell>
          <cell r="U270">
            <v>0</v>
          </cell>
          <cell r="V270">
            <v>0.2</v>
          </cell>
          <cell r="W270">
            <v>1</v>
          </cell>
          <cell r="AH270">
            <v>2</v>
          </cell>
          <cell r="BJ270">
            <v>0.05</v>
          </cell>
        </row>
        <row r="271">
          <cell r="C271">
            <v>7450</v>
          </cell>
          <cell r="D271" t="str">
            <v>CAST IRON MANHOLE COVER (HEAVY , D=600)</v>
          </cell>
          <cell r="E271" t="str">
            <v>NOS</v>
          </cell>
          <cell r="F271">
            <v>0</v>
          </cell>
          <cell r="G271">
            <v>9</v>
          </cell>
          <cell r="H271">
            <v>1.183875</v>
          </cell>
          <cell r="I271">
            <v>1</v>
          </cell>
          <cell r="J271">
            <v>10.654875000000001</v>
          </cell>
          <cell r="K271">
            <v>3.2</v>
          </cell>
          <cell r="L271">
            <v>0.3</v>
          </cell>
          <cell r="M271">
            <v>0</v>
          </cell>
          <cell r="N271">
            <v>224.81760000000003</v>
          </cell>
          <cell r="O271">
            <v>0</v>
          </cell>
          <cell r="P271">
            <v>6.75</v>
          </cell>
          <cell r="Q271">
            <v>0</v>
          </cell>
          <cell r="R271">
            <v>0.03</v>
          </cell>
          <cell r="S271">
            <v>0</v>
          </cell>
          <cell r="T271">
            <v>231.59760000000003</v>
          </cell>
          <cell r="U271">
            <v>0</v>
          </cell>
          <cell r="V271">
            <v>0.2</v>
          </cell>
          <cell r="W271">
            <v>1</v>
          </cell>
          <cell r="AH271">
            <v>2</v>
          </cell>
          <cell r="BJ271">
            <v>0.05</v>
          </cell>
        </row>
        <row r="272">
          <cell r="C272">
            <v>7460</v>
          </cell>
          <cell r="D272" t="str">
            <v>C. BASIN COVER(560*560MM)LIGHT</v>
          </cell>
          <cell r="E272" t="str">
            <v>NOS</v>
          </cell>
          <cell r="F272">
            <v>0</v>
          </cell>
          <cell r="G272">
            <v>20</v>
          </cell>
          <cell r="H272">
            <v>1.183875</v>
          </cell>
          <cell r="I272">
            <v>1</v>
          </cell>
          <cell r="J272">
            <v>23.677500000000002</v>
          </cell>
          <cell r="K272">
            <v>3.2</v>
          </cell>
          <cell r="L272">
            <v>0.13500000000000001</v>
          </cell>
          <cell r="M272">
            <v>0</v>
          </cell>
          <cell r="N272">
            <v>24.192000000000004</v>
          </cell>
          <cell r="O272">
            <v>0</v>
          </cell>
          <cell r="P272">
            <v>3.04</v>
          </cell>
          <cell r="Q272">
            <v>0</v>
          </cell>
          <cell r="R272">
            <v>0</v>
          </cell>
          <cell r="S272">
            <v>0</v>
          </cell>
          <cell r="T272">
            <v>27.232000000000003</v>
          </cell>
          <cell r="U272">
            <v>0</v>
          </cell>
          <cell r="V272">
            <v>0.2</v>
          </cell>
          <cell r="W272">
            <v>1</v>
          </cell>
          <cell r="AH272">
            <v>2</v>
          </cell>
          <cell r="BJ272">
            <v>0.02</v>
          </cell>
        </row>
        <row r="273">
          <cell r="C273">
            <v>7470</v>
          </cell>
          <cell r="D273" t="str">
            <v>C. BASIN COVER(560*560MM)HEAVY</v>
          </cell>
          <cell r="E273" t="str">
            <v>NOS</v>
          </cell>
          <cell r="F273">
            <v>0</v>
          </cell>
          <cell r="G273">
            <v>18</v>
          </cell>
          <cell r="H273">
            <v>1.183875</v>
          </cell>
          <cell r="I273">
            <v>1</v>
          </cell>
          <cell r="J273">
            <v>21.309750000000001</v>
          </cell>
          <cell r="K273">
            <v>3.2</v>
          </cell>
          <cell r="L273">
            <v>0.15</v>
          </cell>
          <cell r="M273">
            <v>0</v>
          </cell>
          <cell r="N273">
            <v>501.23315200000002</v>
          </cell>
          <cell r="O273">
            <v>0</v>
          </cell>
          <cell r="P273">
            <v>3.38</v>
          </cell>
          <cell r="Q273">
            <v>0</v>
          </cell>
          <cell r="R273">
            <v>0.01</v>
          </cell>
          <cell r="S273">
            <v>0</v>
          </cell>
          <cell r="T273">
            <v>504.623152</v>
          </cell>
          <cell r="U273">
            <v>0</v>
          </cell>
          <cell r="V273">
            <v>0.2</v>
          </cell>
          <cell r="W273">
            <v>1</v>
          </cell>
          <cell r="AH273">
            <v>2</v>
          </cell>
          <cell r="BJ273">
            <v>0.02</v>
          </cell>
        </row>
        <row r="274">
          <cell r="C274">
            <v>7480</v>
          </cell>
          <cell r="D274" t="str">
            <v>FUNNEL (8"x6")</v>
          </cell>
          <cell r="E274" t="str">
            <v>NOS</v>
          </cell>
          <cell r="F274">
            <v>0</v>
          </cell>
          <cell r="G274">
            <v>5</v>
          </cell>
          <cell r="H274">
            <v>1.183875</v>
          </cell>
          <cell r="I274">
            <v>1</v>
          </cell>
          <cell r="J274">
            <v>5.9193750000000005</v>
          </cell>
          <cell r="K274">
            <v>3.2</v>
          </cell>
          <cell r="L274">
            <v>0.54100000000000004</v>
          </cell>
          <cell r="M274">
            <v>0</v>
          </cell>
          <cell r="N274">
            <v>116.80200000000001</v>
          </cell>
          <cell r="O274">
            <v>0</v>
          </cell>
          <cell r="P274">
            <v>12.15</v>
          </cell>
          <cell r="Q274">
            <v>0</v>
          </cell>
          <cell r="R274">
            <v>0.05</v>
          </cell>
          <cell r="S274">
            <v>0</v>
          </cell>
          <cell r="T274">
            <v>129.00200000000001</v>
          </cell>
          <cell r="U274">
            <v>0</v>
          </cell>
          <cell r="V274">
            <v>0.2</v>
          </cell>
          <cell r="W274">
            <v>1</v>
          </cell>
          <cell r="AH274">
            <v>2</v>
          </cell>
          <cell r="BJ274">
            <v>0.05</v>
          </cell>
        </row>
        <row r="275">
          <cell r="C275">
            <v>7490</v>
          </cell>
          <cell r="D275" t="str">
            <v>FUNNEL (4"x6")</v>
          </cell>
          <cell r="E275" t="str">
            <v>NOS</v>
          </cell>
          <cell r="F275">
            <v>0</v>
          </cell>
          <cell r="G275">
            <v>6</v>
          </cell>
          <cell r="H275">
            <v>1.183875</v>
          </cell>
          <cell r="I275">
            <v>1</v>
          </cell>
          <cell r="J275">
            <v>7.1032500000000001</v>
          </cell>
          <cell r="K275">
            <v>3.2</v>
          </cell>
          <cell r="L275">
            <v>0.45</v>
          </cell>
          <cell r="M275">
            <v>0</v>
          </cell>
          <cell r="N275">
            <v>43.26</v>
          </cell>
          <cell r="O275">
            <v>0</v>
          </cell>
          <cell r="P275">
            <v>10.130000000000001</v>
          </cell>
          <cell r="Q275">
            <v>0</v>
          </cell>
          <cell r="R275">
            <v>0.04</v>
          </cell>
          <cell r="S275">
            <v>0</v>
          </cell>
          <cell r="T275">
            <v>53.43</v>
          </cell>
          <cell r="U275">
            <v>0</v>
          </cell>
          <cell r="V275">
            <v>0.2</v>
          </cell>
          <cell r="W275">
            <v>1</v>
          </cell>
          <cell r="AH275">
            <v>2</v>
          </cell>
          <cell r="BJ275">
            <v>0.05</v>
          </cell>
        </row>
        <row r="276">
          <cell r="C276">
            <v>7500</v>
          </cell>
          <cell r="D276" t="str">
            <v>CLEAN OUT (D=6")</v>
          </cell>
          <cell r="E276" t="str">
            <v>NOS</v>
          </cell>
          <cell r="F276">
            <v>0</v>
          </cell>
          <cell r="G276">
            <v>6</v>
          </cell>
          <cell r="H276">
            <v>1.183875</v>
          </cell>
          <cell r="I276">
            <v>1</v>
          </cell>
          <cell r="J276">
            <v>7.1032500000000001</v>
          </cell>
          <cell r="K276">
            <v>3.2</v>
          </cell>
          <cell r="L276">
            <v>0.45</v>
          </cell>
          <cell r="M276">
            <v>0</v>
          </cell>
          <cell r="N276">
            <v>276.86400000000003</v>
          </cell>
          <cell r="O276">
            <v>0</v>
          </cell>
          <cell r="P276">
            <v>10.130000000000001</v>
          </cell>
          <cell r="Q276">
            <v>0</v>
          </cell>
          <cell r="R276">
            <v>0.04</v>
          </cell>
          <cell r="S276">
            <v>0</v>
          </cell>
          <cell r="T276">
            <v>287.03400000000005</v>
          </cell>
          <cell r="U276">
            <v>0</v>
          </cell>
          <cell r="V276">
            <v>0.2</v>
          </cell>
          <cell r="W276">
            <v>1</v>
          </cell>
          <cell r="AH276">
            <v>2</v>
          </cell>
          <cell r="BJ276">
            <v>0.05</v>
          </cell>
        </row>
        <row r="277">
          <cell r="C277">
            <v>7510</v>
          </cell>
          <cell r="D277" t="str">
            <v>CLEAN OUT(4")</v>
          </cell>
          <cell r="E277" t="str">
            <v>NOS</v>
          </cell>
          <cell r="F277">
            <v>0</v>
          </cell>
          <cell r="G277">
            <v>8</v>
          </cell>
          <cell r="H277">
            <v>1.183875</v>
          </cell>
          <cell r="I277">
            <v>1</v>
          </cell>
          <cell r="J277">
            <v>9.4710000000000001</v>
          </cell>
          <cell r="K277">
            <v>3.2</v>
          </cell>
          <cell r="L277">
            <v>0.33800000000000002</v>
          </cell>
          <cell r="M277">
            <v>0</v>
          </cell>
          <cell r="N277">
            <v>227.83600000000001</v>
          </cell>
          <cell r="O277">
            <v>0</v>
          </cell>
          <cell r="P277">
            <v>7.6</v>
          </cell>
          <cell r="Q277">
            <v>0</v>
          </cell>
          <cell r="R277">
            <v>0.03</v>
          </cell>
          <cell r="S277">
            <v>0</v>
          </cell>
          <cell r="T277">
            <v>235.46600000000001</v>
          </cell>
          <cell r="U277">
            <v>0</v>
          </cell>
          <cell r="V277">
            <v>0.2</v>
          </cell>
          <cell r="W277">
            <v>1</v>
          </cell>
          <cell r="AH277">
            <v>2</v>
          </cell>
          <cell r="BJ277">
            <v>0.05</v>
          </cell>
        </row>
        <row r="278">
          <cell r="C278">
            <v>7520</v>
          </cell>
          <cell r="D278" t="str">
            <v>STRAINER</v>
          </cell>
          <cell r="E278" t="str">
            <v>NOS</v>
          </cell>
          <cell r="F278">
            <v>0</v>
          </cell>
          <cell r="G278">
            <v>6</v>
          </cell>
          <cell r="H278">
            <v>1.183875</v>
          </cell>
          <cell r="I278">
            <v>1</v>
          </cell>
          <cell r="J278">
            <v>7.1032500000000001</v>
          </cell>
          <cell r="K278">
            <v>3.2</v>
          </cell>
          <cell r="L278">
            <v>0.45</v>
          </cell>
          <cell r="M278">
            <v>0</v>
          </cell>
          <cell r="N278">
            <v>43.26</v>
          </cell>
          <cell r="O278">
            <v>0</v>
          </cell>
          <cell r="P278">
            <v>10.130000000000001</v>
          </cell>
          <cell r="Q278">
            <v>0</v>
          </cell>
          <cell r="R278">
            <v>0.04</v>
          </cell>
          <cell r="S278">
            <v>0</v>
          </cell>
          <cell r="T278">
            <v>53.43</v>
          </cell>
          <cell r="U278">
            <v>0</v>
          </cell>
          <cell r="V278">
            <v>0.2</v>
          </cell>
          <cell r="W278">
            <v>1</v>
          </cell>
          <cell r="AH278">
            <v>2</v>
          </cell>
          <cell r="BJ278">
            <v>0.05</v>
          </cell>
        </row>
        <row r="279">
          <cell r="G279" t="str">
            <v>BASE</v>
          </cell>
          <cell r="H279" t="str">
            <v>SITE</v>
          </cell>
          <cell r="I279" t="str">
            <v>UNIT</v>
          </cell>
          <cell r="J279" t="str">
            <v>BASE</v>
          </cell>
          <cell r="K279" t="str">
            <v>BASE</v>
          </cell>
          <cell r="L279" t="str">
            <v>UNIT M/D</v>
          </cell>
          <cell r="M279" t="str">
            <v>SUB-TOT.</v>
          </cell>
          <cell r="N279" t="str">
            <v>MAT</v>
          </cell>
          <cell r="O279" t="str">
            <v>MAT</v>
          </cell>
          <cell r="P279" t="str">
            <v>LABOUR</v>
          </cell>
          <cell r="Q279" t="str">
            <v>LABOUR</v>
          </cell>
          <cell r="R279" t="str">
            <v>EQUIP.</v>
          </cell>
          <cell r="S279" t="str">
            <v>EQUIP.</v>
          </cell>
          <cell r="T279" t="str">
            <v>UNIT</v>
          </cell>
          <cell r="V279" t="str">
            <v>FOREMAN</v>
          </cell>
          <cell r="W279" t="str">
            <v>LABOUR</v>
          </cell>
          <cell r="X279" t="str">
            <v>EQUIP.</v>
          </cell>
          <cell r="Y279" t="str">
            <v>M/C</v>
          </cell>
          <cell r="Z279" t="str">
            <v>DRIVER</v>
          </cell>
          <cell r="AA279" t="str">
            <v>PAVIOR</v>
          </cell>
          <cell r="AB279" t="str">
            <v>CONC.</v>
          </cell>
          <cell r="AC279" t="str">
            <v>PLASTER/</v>
          </cell>
          <cell r="AD279" t="str">
            <v>REBAR</v>
          </cell>
          <cell r="AE279" t="str">
            <v>CARPENTER</v>
          </cell>
          <cell r="AF279" t="str">
            <v>RIGGER/</v>
          </cell>
          <cell r="AG279" t="str">
            <v>STEEL</v>
          </cell>
          <cell r="AH279" t="str">
            <v>A/C</v>
          </cell>
          <cell r="AI279" t="str">
            <v>PAINTER</v>
          </cell>
          <cell r="AJ279" t="str">
            <v>PLUMBER/</v>
          </cell>
          <cell r="AK279" t="str">
            <v>BACKHOE</v>
          </cell>
          <cell r="AL279" t="str">
            <v>HYDRO</v>
          </cell>
          <cell r="AM279" t="str">
            <v>DUMP</v>
          </cell>
          <cell r="AN279" t="str">
            <v>CRANE</v>
          </cell>
          <cell r="AO279" t="str">
            <v>CRANE</v>
          </cell>
          <cell r="AP279" t="str">
            <v>DIESEL</v>
          </cell>
          <cell r="AQ279" t="str">
            <v>VIB.</v>
          </cell>
          <cell r="AR279" t="str">
            <v>AUGER</v>
          </cell>
          <cell r="AS279" t="str">
            <v>PAY</v>
          </cell>
          <cell r="AT279" t="str">
            <v>DOZER</v>
          </cell>
          <cell r="AU279" t="str">
            <v>DOZER</v>
          </cell>
          <cell r="AV279" t="str">
            <v>GRADER</v>
          </cell>
          <cell r="AW279" t="str">
            <v>VIB.</v>
          </cell>
          <cell r="AX279" t="str">
            <v>CONC.</v>
          </cell>
          <cell r="AY279" t="str">
            <v>WATER</v>
          </cell>
          <cell r="AZ279" t="str">
            <v>CONC</v>
          </cell>
          <cell r="BA279" t="str">
            <v>CONC.</v>
          </cell>
          <cell r="BB279" t="str">
            <v>BAR BENDER/</v>
          </cell>
          <cell r="BC279" t="str">
            <v>ASPHALT</v>
          </cell>
          <cell r="BD279" t="str">
            <v>ASPHALT</v>
          </cell>
          <cell r="BE279" t="str">
            <v>TIRE</v>
          </cell>
          <cell r="BF279" t="str">
            <v>AIR</v>
          </cell>
          <cell r="BG279" t="str">
            <v>CARGO</v>
          </cell>
          <cell r="BH279" t="str">
            <v>FORK</v>
          </cell>
          <cell r="BI279" t="str">
            <v>CONC</v>
          </cell>
          <cell r="BJ279" t="str">
            <v>WELDING</v>
          </cell>
          <cell r="BK279" t="str">
            <v>WELDING</v>
          </cell>
          <cell r="BL279" t="str">
            <v>GENERATOR</v>
          </cell>
          <cell r="BM279" t="str">
            <v>AIR</v>
          </cell>
          <cell r="BN279" t="str">
            <v>GUNNITE</v>
          </cell>
        </row>
        <row r="280">
          <cell r="C280" t="str">
            <v>CODE NO.</v>
          </cell>
          <cell r="D280" t="str">
            <v>WORK ITEM</v>
          </cell>
          <cell r="E280" t="str">
            <v>UNIT</v>
          </cell>
          <cell r="F280" t="str">
            <v>Q'TY</v>
          </cell>
          <cell r="G280" t="str">
            <v>VOL.</v>
          </cell>
          <cell r="H280" t="str">
            <v>CONDITION</v>
          </cell>
          <cell r="I280" t="str">
            <v>CHANGE</v>
          </cell>
          <cell r="J280" t="str">
            <v>VOL.</v>
          </cell>
          <cell r="K280" t="str">
            <v>M/D</v>
          </cell>
          <cell r="L280" t="str">
            <v>BASE</v>
          </cell>
          <cell r="M280" t="str">
            <v>M/D</v>
          </cell>
          <cell r="N280" t="str">
            <v>U/P</v>
          </cell>
          <cell r="O280" t="str">
            <v>COST</v>
          </cell>
          <cell r="P280" t="str">
            <v>U/P</v>
          </cell>
          <cell r="Q280" t="str">
            <v>COST</v>
          </cell>
          <cell r="R280" t="str">
            <v>U/P</v>
          </cell>
          <cell r="S280" t="str">
            <v>COST</v>
          </cell>
          <cell r="T280" t="str">
            <v>TOTAL</v>
          </cell>
          <cell r="U280" t="str">
            <v>TOTAL</v>
          </cell>
          <cell r="X280" t="str">
            <v>OPERATOR</v>
          </cell>
          <cell r="Y280" t="str">
            <v>OPERATOR</v>
          </cell>
          <cell r="AB280" t="str">
            <v>WORKER</v>
          </cell>
          <cell r="AC280" t="str">
            <v>BRICK/</v>
          </cell>
          <cell r="AD280" t="str">
            <v>WORKER</v>
          </cell>
          <cell r="AF280" t="str">
            <v>SCAFFOLDER</v>
          </cell>
          <cell r="AG280" t="str">
            <v>WORKER</v>
          </cell>
          <cell r="AH280" t="str">
            <v>WELDER</v>
          </cell>
          <cell r="AJ280" t="str">
            <v>P. FITTER</v>
          </cell>
          <cell r="AL280" t="str">
            <v>BREAKER</v>
          </cell>
          <cell r="AM280" t="str">
            <v>TRUCK</v>
          </cell>
          <cell r="AN280" t="str">
            <v>WHEEL</v>
          </cell>
          <cell r="AO280" t="str">
            <v>CRAWLER</v>
          </cell>
          <cell r="AP280" t="str">
            <v>PILE HAMMER</v>
          </cell>
          <cell r="AQ280" t="str">
            <v>HAMMER</v>
          </cell>
          <cell r="AR280" t="str">
            <v>BORING M/C</v>
          </cell>
          <cell r="AS280" t="str">
            <v>LOADER</v>
          </cell>
          <cell r="AW280" t="str">
            <v>ROLLER</v>
          </cell>
          <cell r="AX280" t="str">
            <v>PUMP CAR</v>
          </cell>
          <cell r="AY280" t="str">
            <v>TRUCK</v>
          </cell>
          <cell r="AZ280" t="str">
            <v>MIXER TRUCK</v>
          </cell>
          <cell r="BA280" t="str">
            <v>MIXER</v>
          </cell>
          <cell r="BB280" t="str">
            <v>CUTTER</v>
          </cell>
          <cell r="BC280" t="str">
            <v>DISTRIBUTOR</v>
          </cell>
          <cell r="BD280" t="str">
            <v>FINISHER</v>
          </cell>
          <cell r="BE280" t="str">
            <v>ROLLER</v>
          </cell>
          <cell r="BF280" t="str">
            <v>COMPRESSOR</v>
          </cell>
          <cell r="BG280" t="str">
            <v>TRUCK</v>
          </cell>
          <cell r="BH280" t="str">
            <v>LIFT</v>
          </cell>
          <cell r="BI280" t="str">
            <v>BATCH PLANT</v>
          </cell>
          <cell r="BJ280" t="str">
            <v xml:space="preserve">M/C </v>
          </cell>
          <cell r="BK280" t="str">
            <v xml:space="preserve">M/C </v>
          </cell>
          <cell r="BM280" t="str">
            <v>COMPRESSOR</v>
          </cell>
        </row>
        <row r="281">
          <cell r="H281" t="str">
            <v>CHANGE</v>
          </cell>
          <cell r="AC281" t="str">
            <v>W.PROOFER</v>
          </cell>
          <cell r="AK281" t="str">
            <v>0.7 M3</v>
          </cell>
          <cell r="AL281" t="str">
            <v>0.7 M3</v>
          </cell>
          <cell r="AM281" t="str">
            <v>15 TON</v>
          </cell>
          <cell r="AN281" t="str">
            <v>25 TON</v>
          </cell>
          <cell r="AO281" t="str">
            <v>50 TON</v>
          </cell>
          <cell r="AP281" t="str">
            <v>3.2 TON</v>
          </cell>
          <cell r="AQ281" t="str">
            <v>3.2 TON</v>
          </cell>
          <cell r="AR281" t="str">
            <v>50 TON</v>
          </cell>
          <cell r="AS281" t="str">
            <v>2.4 M3</v>
          </cell>
          <cell r="AT281" t="str">
            <v>19 TON</v>
          </cell>
          <cell r="AU281" t="str">
            <v>32 TON</v>
          </cell>
          <cell r="AV281" t="str">
            <v>3.6 M</v>
          </cell>
          <cell r="AW281" t="str">
            <v>10 TON</v>
          </cell>
          <cell r="AX281" t="str">
            <v>80 M3/HR</v>
          </cell>
          <cell r="AY281" t="str">
            <v>10 M3</v>
          </cell>
          <cell r="AZ281" t="str">
            <v>6 M3</v>
          </cell>
          <cell r="BA281" t="str">
            <v>0.3 M3</v>
          </cell>
          <cell r="BB281" t="str">
            <v>D32 MM</v>
          </cell>
          <cell r="BC281" t="str">
            <v>3800 L</v>
          </cell>
          <cell r="BD281" t="str">
            <v>3 M</v>
          </cell>
          <cell r="BE281" t="str">
            <v>15 TON</v>
          </cell>
          <cell r="BF281" t="str">
            <v>250 CFM</v>
          </cell>
          <cell r="BG281" t="str">
            <v>11 TON</v>
          </cell>
          <cell r="BH281" t="str">
            <v>2.5 TON</v>
          </cell>
          <cell r="BI281" t="str">
            <v>60 M3/HR</v>
          </cell>
          <cell r="BJ281" t="str">
            <v>200 A.</v>
          </cell>
          <cell r="BL281" t="str">
            <v>115 KW</v>
          </cell>
          <cell r="BM281" t="str">
            <v>125 CFM</v>
          </cell>
          <cell r="BN281" t="str">
            <v>SET</v>
          </cell>
        </row>
        <row r="282">
          <cell r="I282">
            <v>0</v>
          </cell>
          <cell r="T282">
            <v>0</v>
          </cell>
          <cell r="U282">
            <v>0</v>
          </cell>
        </row>
        <row r="283">
          <cell r="C283">
            <v>8000</v>
          </cell>
          <cell r="D283" t="str">
            <v>SUB GRADE COMPACTION OF LARGE AREA</v>
          </cell>
          <cell r="E283" t="str">
            <v>M2</v>
          </cell>
          <cell r="F283">
            <v>0</v>
          </cell>
          <cell r="G283">
            <v>1600</v>
          </cell>
          <cell r="H283">
            <v>1.183875</v>
          </cell>
          <cell r="I283">
            <v>1</v>
          </cell>
          <cell r="J283">
            <v>1894.2</v>
          </cell>
          <cell r="K283">
            <v>6</v>
          </cell>
          <cell r="L283">
            <v>3.0000000000000001E-3</v>
          </cell>
          <cell r="M283">
            <v>0</v>
          </cell>
          <cell r="N283">
            <v>0</v>
          </cell>
          <cell r="O283">
            <v>0</v>
          </cell>
          <cell r="P283">
            <v>0.06</v>
          </cell>
          <cell r="Q283">
            <v>0</v>
          </cell>
          <cell r="R283">
            <v>0.21</v>
          </cell>
          <cell r="S283">
            <v>0</v>
          </cell>
          <cell r="T283">
            <v>0.27</v>
          </cell>
          <cell r="U283">
            <v>0</v>
          </cell>
          <cell r="V283">
            <v>0.5</v>
          </cell>
          <cell r="W283">
            <v>3</v>
          </cell>
          <cell r="X283">
            <v>0.5</v>
          </cell>
          <cell r="Z283">
            <v>2</v>
          </cell>
          <cell r="AV283">
            <v>0.5</v>
          </cell>
          <cell r="AW283">
            <v>1</v>
          </cell>
          <cell r="AY283">
            <v>1</v>
          </cell>
        </row>
        <row r="284">
          <cell r="C284">
            <v>8010</v>
          </cell>
          <cell r="D284" t="str">
            <v>SUB GRADE COURSE (T=200,CRUSHED STONE)</v>
          </cell>
          <cell r="E284" t="str">
            <v>M3</v>
          </cell>
          <cell r="F284">
            <v>0</v>
          </cell>
          <cell r="G284">
            <v>200</v>
          </cell>
          <cell r="H284">
            <v>1.183875</v>
          </cell>
          <cell r="I284">
            <v>1</v>
          </cell>
          <cell r="J284">
            <v>236.77500000000001</v>
          </cell>
          <cell r="K284">
            <v>11.25</v>
          </cell>
          <cell r="L284">
            <v>4.8000000000000001E-2</v>
          </cell>
          <cell r="M284">
            <v>0</v>
          </cell>
          <cell r="N284">
            <v>14.000000000000002</v>
          </cell>
          <cell r="O284">
            <v>0</v>
          </cell>
          <cell r="P284">
            <v>0.91</v>
          </cell>
          <cell r="Q284">
            <v>0</v>
          </cell>
          <cell r="R284">
            <v>2.06</v>
          </cell>
          <cell r="S284">
            <v>0</v>
          </cell>
          <cell r="T284">
            <v>16.970000000000002</v>
          </cell>
          <cell r="U284">
            <v>0</v>
          </cell>
          <cell r="V284">
            <v>0.25</v>
          </cell>
          <cell r="W284">
            <v>5</v>
          </cell>
          <cell r="X284">
            <v>1</v>
          </cell>
          <cell r="Z284">
            <v>2</v>
          </cell>
          <cell r="AA284">
            <v>3</v>
          </cell>
          <cell r="AS284">
            <v>0.5</v>
          </cell>
          <cell r="AV284">
            <v>1</v>
          </cell>
          <cell r="AW284">
            <v>0.5</v>
          </cell>
          <cell r="AY284">
            <v>1</v>
          </cell>
        </row>
        <row r="285">
          <cell r="C285">
            <v>8020</v>
          </cell>
          <cell r="D285" t="str">
            <v>SUB GRADE COURSE (T=200,WHITE MAR'L)</v>
          </cell>
          <cell r="E285" t="str">
            <v>M3</v>
          </cell>
          <cell r="F285">
            <v>0</v>
          </cell>
          <cell r="G285">
            <v>230</v>
          </cell>
          <cell r="H285">
            <v>1.183875</v>
          </cell>
          <cell r="I285">
            <v>1</v>
          </cell>
          <cell r="J285">
            <v>272.29124999999999</v>
          </cell>
          <cell r="K285">
            <v>11.25</v>
          </cell>
          <cell r="L285">
            <v>4.1000000000000002E-2</v>
          </cell>
          <cell r="M285">
            <v>0</v>
          </cell>
          <cell r="N285">
            <v>10.5</v>
          </cell>
          <cell r="O285">
            <v>0</v>
          </cell>
          <cell r="P285">
            <v>0.79</v>
          </cell>
          <cell r="Q285">
            <v>0</v>
          </cell>
          <cell r="R285">
            <v>1.79</v>
          </cell>
          <cell r="S285">
            <v>0</v>
          </cell>
          <cell r="T285">
            <v>13.079999999999998</v>
          </cell>
          <cell r="U285">
            <v>0</v>
          </cell>
          <cell r="V285">
            <v>0.25</v>
          </cell>
          <cell r="W285">
            <v>5</v>
          </cell>
          <cell r="X285">
            <v>1</v>
          </cell>
          <cell r="Z285">
            <v>2</v>
          </cell>
          <cell r="AA285">
            <v>3</v>
          </cell>
          <cell r="AS285">
            <v>0.5</v>
          </cell>
          <cell r="AV285">
            <v>1</v>
          </cell>
          <cell r="AW285">
            <v>0.5</v>
          </cell>
          <cell r="AY285">
            <v>1</v>
          </cell>
        </row>
        <row r="286">
          <cell r="C286">
            <v>8030</v>
          </cell>
          <cell r="D286" t="str">
            <v>SUB GRADE COURSE  SUBCON.</v>
          </cell>
          <cell r="E286" t="str">
            <v>M3</v>
          </cell>
          <cell r="F286">
            <v>0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5.0000000000000001E-3</v>
          </cell>
          <cell r="L286">
            <v>5.0000000000000001E-3</v>
          </cell>
          <cell r="M286">
            <v>0</v>
          </cell>
          <cell r="N286">
            <v>9.3333333333333339</v>
          </cell>
          <cell r="O286">
            <v>0</v>
          </cell>
          <cell r="P286">
            <v>0.08</v>
          </cell>
          <cell r="Q286">
            <v>0</v>
          </cell>
          <cell r="R286">
            <v>0</v>
          </cell>
          <cell r="S286">
            <v>0</v>
          </cell>
          <cell r="T286">
            <v>9.413333333333334</v>
          </cell>
          <cell r="U286">
            <v>0</v>
          </cell>
          <cell r="W286">
            <v>5.0000000000000001E-3</v>
          </cell>
        </row>
        <row r="287">
          <cell r="C287">
            <v>8040</v>
          </cell>
          <cell r="D287" t="str">
            <v>BASE COURSE (T=100MM)</v>
          </cell>
          <cell r="E287" t="str">
            <v>M3</v>
          </cell>
          <cell r="F287">
            <v>0</v>
          </cell>
          <cell r="G287">
            <v>160</v>
          </cell>
          <cell r="H287">
            <v>1.183875</v>
          </cell>
          <cell r="I287">
            <v>1</v>
          </cell>
          <cell r="J287">
            <v>189.42000000000002</v>
          </cell>
          <cell r="K287">
            <v>11.25</v>
          </cell>
          <cell r="L287">
            <v>5.8999999999999997E-2</v>
          </cell>
          <cell r="M287">
            <v>0</v>
          </cell>
          <cell r="N287">
            <v>14.000000000000002</v>
          </cell>
          <cell r="O287">
            <v>0</v>
          </cell>
          <cell r="P287">
            <v>1.1399999999999999</v>
          </cell>
          <cell r="Q287">
            <v>0</v>
          </cell>
          <cell r="R287">
            <v>2.57</v>
          </cell>
          <cell r="S287">
            <v>0</v>
          </cell>
          <cell r="T287">
            <v>17.71</v>
          </cell>
          <cell r="U287">
            <v>0</v>
          </cell>
          <cell r="V287">
            <v>0.25</v>
          </cell>
          <cell r="W287">
            <v>5</v>
          </cell>
          <cell r="X287">
            <v>1</v>
          </cell>
          <cell r="Z287">
            <v>2</v>
          </cell>
          <cell r="AA287">
            <v>3</v>
          </cell>
          <cell r="AS287">
            <v>0.5</v>
          </cell>
          <cell r="AV287">
            <v>1</v>
          </cell>
          <cell r="AW287">
            <v>0.5</v>
          </cell>
          <cell r="AY287">
            <v>1</v>
          </cell>
        </row>
        <row r="288">
          <cell r="C288">
            <v>8050</v>
          </cell>
          <cell r="D288" t="str">
            <v>ROAD SHULDER(T=100MM)</v>
          </cell>
          <cell r="E288" t="str">
            <v>M3</v>
          </cell>
          <cell r="F288">
            <v>0</v>
          </cell>
          <cell r="G288">
            <v>150</v>
          </cell>
          <cell r="H288">
            <v>1.183875</v>
          </cell>
          <cell r="I288">
            <v>1</v>
          </cell>
          <cell r="J288">
            <v>177.58125000000001</v>
          </cell>
          <cell r="K288">
            <v>11.25</v>
          </cell>
          <cell r="L288">
            <v>6.3E-2</v>
          </cell>
          <cell r="M288">
            <v>0</v>
          </cell>
          <cell r="N288">
            <v>14.000000000000002</v>
          </cell>
          <cell r="O288">
            <v>0</v>
          </cell>
          <cell r="P288">
            <v>1.22</v>
          </cell>
          <cell r="Q288">
            <v>0</v>
          </cell>
          <cell r="R288">
            <v>2.74</v>
          </cell>
          <cell r="S288">
            <v>0</v>
          </cell>
          <cell r="T288">
            <v>17.96</v>
          </cell>
          <cell r="U288">
            <v>0</v>
          </cell>
          <cell r="V288">
            <v>0.25</v>
          </cell>
          <cell r="W288">
            <v>5</v>
          </cell>
          <cell r="X288">
            <v>1</v>
          </cell>
          <cell r="Z288">
            <v>2</v>
          </cell>
          <cell r="AA288">
            <v>3</v>
          </cell>
          <cell r="AS288">
            <v>0.5</v>
          </cell>
          <cell r="AV288">
            <v>1</v>
          </cell>
          <cell r="AW288">
            <v>0.5</v>
          </cell>
          <cell r="AY288">
            <v>1</v>
          </cell>
        </row>
        <row r="289">
          <cell r="C289">
            <v>8055</v>
          </cell>
          <cell r="D289" t="str">
            <v>BASE COURSE (T=100MM)SUBCON.</v>
          </cell>
          <cell r="E289" t="str">
            <v>M3</v>
          </cell>
          <cell r="F289">
            <v>0</v>
          </cell>
          <cell r="G289">
            <v>1</v>
          </cell>
          <cell r="H289">
            <v>1</v>
          </cell>
          <cell r="I289">
            <v>1</v>
          </cell>
          <cell r="J289">
            <v>1</v>
          </cell>
          <cell r="K289">
            <v>8.0000000000000002E-3</v>
          </cell>
          <cell r="L289">
            <v>8.0000000000000002E-3</v>
          </cell>
          <cell r="M289">
            <v>0</v>
          </cell>
          <cell r="N289">
            <v>7.4666666666666668</v>
          </cell>
          <cell r="O289">
            <v>0</v>
          </cell>
          <cell r="P289">
            <v>0.13</v>
          </cell>
          <cell r="Q289">
            <v>0</v>
          </cell>
          <cell r="R289">
            <v>0</v>
          </cell>
          <cell r="S289">
            <v>0</v>
          </cell>
          <cell r="T289">
            <v>7.5966666666666667</v>
          </cell>
          <cell r="U289">
            <v>0</v>
          </cell>
          <cell r="W289">
            <v>8.0000000000000002E-3</v>
          </cell>
        </row>
        <row r="290">
          <cell r="C290">
            <v>8060</v>
          </cell>
          <cell r="D290" t="str">
            <v>PRIME COAT (2KG)</v>
          </cell>
          <cell r="E290" t="str">
            <v>M2</v>
          </cell>
          <cell r="F290">
            <v>0</v>
          </cell>
          <cell r="G290">
            <v>1250</v>
          </cell>
          <cell r="H290">
            <v>1.183875</v>
          </cell>
          <cell r="I290">
            <v>1</v>
          </cell>
          <cell r="J290">
            <v>1479.84375</v>
          </cell>
          <cell r="K290">
            <v>5.5</v>
          </cell>
          <cell r="L290">
            <v>4.0000000000000001E-3</v>
          </cell>
          <cell r="M290">
            <v>0</v>
          </cell>
          <cell r="N290">
            <v>1.0371666666666668</v>
          </cell>
          <cell r="O290">
            <v>0</v>
          </cell>
          <cell r="P290">
            <v>7.0000000000000007E-2</v>
          </cell>
          <cell r="Q290">
            <v>0</v>
          </cell>
          <cell r="R290">
            <v>7.0000000000000007E-2</v>
          </cell>
          <cell r="S290">
            <v>0</v>
          </cell>
          <cell r="T290">
            <v>1.1771666666666669</v>
          </cell>
          <cell r="U290">
            <v>0</v>
          </cell>
          <cell r="V290">
            <v>0.5</v>
          </cell>
          <cell r="W290">
            <v>2</v>
          </cell>
          <cell r="Z290">
            <v>1</v>
          </cell>
          <cell r="AA290">
            <v>2</v>
          </cell>
          <cell r="BC290">
            <v>1</v>
          </cell>
        </row>
        <row r="291">
          <cell r="C291">
            <v>8070</v>
          </cell>
          <cell r="D291" t="str">
            <v>A/C BINDER COURSE (T=70MM)</v>
          </cell>
          <cell r="E291" t="str">
            <v>M3</v>
          </cell>
          <cell r="F291">
            <v>0</v>
          </cell>
          <cell r="G291">
            <v>125</v>
          </cell>
          <cell r="H291">
            <v>1.183875</v>
          </cell>
          <cell r="I291">
            <v>1</v>
          </cell>
          <cell r="J291">
            <v>147.984375</v>
          </cell>
          <cell r="K291">
            <v>16</v>
          </cell>
          <cell r="L291">
            <v>0.108</v>
          </cell>
          <cell r="M291">
            <v>0</v>
          </cell>
          <cell r="N291">
            <v>46.569600000000001</v>
          </cell>
          <cell r="O291">
            <v>0</v>
          </cell>
          <cell r="P291">
            <v>2.2599999999999998</v>
          </cell>
          <cell r="Q291">
            <v>0</v>
          </cell>
          <cell r="R291">
            <v>7.86</v>
          </cell>
          <cell r="S291">
            <v>0</v>
          </cell>
          <cell r="T291">
            <v>56.689599999999999</v>
          </cell>
          <cell r="U291">
            <v>0</v>
          </cell>
          <cell r="V291">
            <v>0.5</v>
          </cell>
          <cell r="W291">
            <v>2</v>
          </cell>
          <cell r="X291">
            <v>2</v>
          </cell>
          <cell r="Z291">
            <v>4.5</v>
          </cell>
          <cell r="AA291">
            <v>7</v>
          </cell>
          <cell r="AM291">
            <v>3</v>
          </cell>
          <cell r="AW291">
            <v>1</v>
          </cell>
          <cell r="AY291">
            <v>0.5</v>
          </cell>
          <cell r="BD291">
            <v>1</v>
          </cell>
          <cell r="BE291">
            <v>1</v>
          </cell>
        </row>
        <row r="292">
          <cell r="C292">
            <v>8080</v>
          </cell>
          <cell r="D292" t="str">
            <v>TACK COAT (1.5KG)</v>
          </cell>
          <cell r="E292" t="str">
            <v>M2</v>
          </cell>
          <cell r="F292">
            <v>0</v>
          </cell>
          <cell r="G292">
            <v>1600</v>
          </cell>
          <cell r="H292">
            <v>1.183875</v>
          </cell>
          <cell r="I292">
            <v>1</v>
          </cell>
          <cell r="J292">
            <v>1894.2</v>
          </cell>
          <cell r="K292">
            <v>5.5</v>
          </cell>
          <cell r="L292">
            <v>3.0000000000000001E-3</v>
          </cell>
          <cell r="M292">
            <v>0</v>
          </cell>
          <cell r="N292">
            <v>0.78034444444444451</v>
          </cell>
          <cell r="O292">
            <v>0</v>
          </cell>
          <cell r="P292">
            <v>0.06</v>
          </cell>
          <cell r="Q292">
            <v>0</v>
          </cell>
          <cell r="R292">
            <v>0.06</v>
          </cell>
          <cell r="S292">
            <v>0</v>
          </cell>
          <cell r="T292">
            <v>0.90034444444444461</v>
          </cell>
          <cell r="U292">
            <v>0</v>
          </cell>
          <cell r="V292">
            <v>0.5</v>
          </cell>
          <cell r="W292">
            <v>2</v>
          </cell>
          <cell r="Z292">
            <v>1</v>
          </cell>
          <cell r="AA292">
            <v>2</v>
          </cell>
          <cell r="BC292">
            <v>1</v>
          </cell>
        </row>
        <row r="293">
          <cell r="C293">
            <v>8090</v>
          </cell>
          <cell r="D293" t="str">
            <v>A/C WEARING COURSE (T=30MM)</v>
          </cell>
          <cell r="E293" t="str">
            <v>M3</v>
          </cell>
          <cell r="F293">
            <v>0</v>
          </cell>
          <cell r="G293">
            <v>65</v>
          </cell>
          <cell r="H293">
            <v>1.183875</v>
          </cell>
          <cell r="I293">
            <v>1</v>
          </cell>
          <cell r="J293">
            <v>76.951875000000001</v>
          </cell>
          <cell r="K293">
            <v>16</v>
          </cell>
          <cell r="L293">
            <v>0.20799999999999999</v>
          </cell>
          <cell r="M293">
            <v>0</v>
          </cell>
          <cell r="N293">
            <v>46.569600000000001</v>
          </cell>
          <cell r="O293">
            <v>0</v>
          </cell>
          <cell r="P293">
            <v>4.3499999999999996</v>
          </cell>
          <cell r="Q293">
            <v>0</v>
          </cell>
          <cell r="R293">
            <v>15.12</v>
          </cell>
          <cell r="S293">
            <v>0</v>
          </cell>
          <cell r="T293">
            <v>66.039600000000007</v>
          </cell>
          <cell r="U293">
            <v>0</v>
          </cell>
          <cell r="V293">
            <v>0.5</v>
          </cell>
          <cell r="W293">
            <v>2</v>
          </cell>
          <cell r="X293">
            <v>2</v>
          </cell>
          <cell r="Z293">
            <v>4.5</v>
          </cell>
          <cell r="AA293">
            <v>7</v>
          </cell>
          <cell r="AM293">
            <v>3</v>
          </cell>
          <cell r="AW293">
            <v>1</v>
          </cell>
          <cell r="AY293">
            <v>0.5</v>
          </cell>
          <cell r="BD293">
            <v>1</v>
          </cell>
          <cell r="BE293">
            <v>1</v>
          </cell>
        </row>
        <row r="294">
          <cell r="C294">
            <v>8100</v>
          </cell>
          <cell r="D294" t="str">
            <v>ASPHALT PAVING     SUBCON.</v>
          </cell>
          <cell r="E294" t="str">
            <v>M3</v>
          </cell>
          <cell r="F294">
            <v>0</v>
          </cell>
          <cell r="G294">
            <v>1</v>
          </cell>
          <cell r="H294">
            <v>1</v>
          </cell>
          <cell r="I294">
            <v>1</v>
          </cell>
          <cell r="J294">
            <v>1</v>
          </cell>
          <cell r="K294">
            <v>4.0000000000000001E-3</v>
          </cell>
          <cell r="L294">
            <v>4.0000000000000001E-3</v>
          </cell>
          <cell r="M294">
            <v>0</v>
          </cell>
          <cell r="N294">
            <v>50.93333333333333</v>
          </cell>
          <cell r="O294">
            <v>0</v>
          </cell>
          <cell r="P294">
            <v>0.06</v>
          </cell>
          <cell r="Q294">
            <v>0</v>
          </cell>
          <cell r="R294">
            <v>0</v>
          </cell>
          <cell r="S294">
            <v>0</v>
          </cell>
          <cell r="T294">
            <v>50.993333333333332</v>
          </cell>
          <cell r="U294">
            <v>0</v>
          </cell>
          <cell r="W294">
            <v>4.0000000000000001E-3</v>
          </cell>
        </row>
        <row r="295">
          <cell r="C295">
            <v>8110</v>
          </cell>
          <cell r="D295" t="str">
            <v>LINE MARKING OF A/C ROAD</v>
          </cell>
          <cell r="E295" t="str">
            <v>M2</v>
          </cell>
          <cell r="F295">
            <v>0</v>
          </cell>
          <cell r="G295">
            <v>20</v>
          </cell>
          <cell r="H295">
            <v>1.183875</v>
          </cell>
          <cell r="I295">
            <v>1</v>
          </cell>
          <cell r="J295">
            <v>23.677500000000002</v>
          </cell>
          <cell r="K295">
            <v>2</v>
          </cell>
          <cell r="L295">
            <v>8.4000000000000005E-2</v>
          </cell>
          <cell r="M295">
            <v>0</v>
          </cell>
          <cell r="N295">
            <v>1.9998222222222224</v>
          </cell>
          <cell r="O295">
            <v>0</v>
          </cell>
          <cell r="P295">
            <v>1.57</v>
          </cell>
          <cell r="Q295">
            <v>0</v>
          </cell>
          <cell r="R295">
            <v>0</v>
          </cell>
          <cell r="S295">
            <v>0</v>
          </cell>
          <cell r="T295">
            <v>3.5698222222222222</v>
          </cell>
          <cell r="U295">
            <v>0</v>
          </cell>
          <cell r="W295">
            <v>1</v>
          </cell>
          <cell r="AI295">
            <v>1</v>
          </cell>
        </row>
        <row r="296">
          <cell r="C296">
            <v>8120</v>
          </cell>
          <cell r="D296" t="str">
            <v>LINE MARKING  B=120MM DASH</v>
          </cell>
          <cell r="E296" t="str">
            <v>M</v>
          </cell>
          <cell r="F296">
            <v>0</v>
          </cell>
          <cell r="G296">
            <v>20</v>
          </cell>
          <cell r="H296">
            <v>1.183875</v>
          </cell>
          <cell r="I296">
            <v>1</v>
          </cell>
          <cell r="J296">
            <v>23.677500000000002</v>
          </cell>
          <cell r="K296">
            <v>2</v>
          </cell>
          <cell r="L296">
            <v>8.4000000000000005E-2</v>
          </cell>
          <cell r="M296">
            <v>0</v>
          </cell>
          <cell r="N296">
            <v>0.37582222222222228</v>
          </cell>
          <cell r="O296">
            <v>0</v>
          </cell>
          <cell r="P296">
            <v>1.57</v>
          </cell>
          <cell r="Q296">
            <v>0</v>
          </cell>
          <cell r="R296">
            <v>0</v>
          </cell>
          <cell r="S296">
            <v>0</v>
          </cell>
          <cell r="T296">
            <v>1.9458222222222223</v>
          </cell>
          <cell r="U296">
            <v>0</v>
          </cell>
          <cell r="W296">
            <v>1</v>
          </cell>
          <cell r="AI296">
            <v>1</v>
          </cell>
        </row>
        <row r="297">
          <cell r="C297">
            <v>8130</v>
          </cell>
          <cell r="D297" t="str">
            <v>LINE MARKING  B=120MM SOLID</v>
          </cell>
          <cell r="E297" t="str">
            <v>M</v>
          </cell>
          <cell r="F297">
            <v>0</v>
          </cell>
          <cell r="G297">
            <v>20</v>
          </cell>
          <cell r="H297">
            <v>1.183875</v>
          </cell>
          <cell r="I297">
            <v>1</v>
          </cell>
          <cell r="J297">
            <v>23.677500000000002</v>
          </cell>
          <cell r="K297">
            <v>2</v>
          </cell>
          <cell r="L297">
            <v>8.4000000000000005E-2</v>
          </cell>
          <cell r="M297">
            <v>0</v>
          </cell>
          <cell r="N297">
            <v>0.19911111111111113</v>
          </cell>
          <cell r="O297">
            <v>0</v>
          </cell>
          <cell r="P297">
            <v>1.57</v>
          </cell>
          <cell r="Q297">
            <v>0</v>
          </cell>
          <cell r="R297">
            <v>0</v>
          </cell>
          <cell r="S297">
            <v>0</v>
          </cell>
          <cell r="T297">
            <v>1.7691111111111111</v>
          </cell>
          <cell r="U297">
            <v>0</v>
          </cell>
          <cell r="W297">
            <v>1</v>
          </cell>
          <cell r="AI297">
            <v>1</v>
          </cell>
        </row>
        <row r="298">
          <cell r="C298">
            <v>8140</v>
          </cell>
          <cell r="D298" t="str">
            <v>LINE MARKING  B=200MM SOLID</v>
          </cell>
          <cell r="E298" t="str">
            <v>M</v>
          </cell>
          <cell r="F298">
            <v>0</v>
          </cell>
          <cell r="G298">
            <v>20</v>
          </cell>
          <cell r="H298">
            <v>1.183875</v>
          </cell>
          <cell r="I298">
            <v>1</v>
          </cell>
          <cell r="J298">
            <v>23.677500000000002</v>
          </cell>
          <cell r="K298">
            <v>2</v>
          </cell>
          <cell r="L298">
            <v>8.4000000000000005E-2</v>
          </cell>
          <cell r="M298">
            <v>0</v>
          </cell>
          <cell r="N298">
            <v>0.43928888888888895</v>
          </cell>
          <cell r="O298">
            <v>0</v>
          </cell>
          <cell r="P298">
            <v>1.57</v>
          </cell>
          <cell r="Q298">
            <v>0</v>
          </cell>
          <cell r="R298">
            <v>0</v>
          </cell>
          <cell r="S298">
            <v>0</v>
          </cell>
          <cell r="T298">
            <v>2.0092888888888889</v>
          </cell>
          <cell r="U298">
            <v>0</v>
          </cell>
          <cell r="W298">
            <v>1</v>
          </cell>
          <cell r="AI298">
            <v>1</v>
          </cell>
        </row>
        <row r="299">
          <cell r="C299">
            <v>8150</v>
          </cell>
          <cell r="D299" t="str">
            <v>LINE MARKING OF 400MM ROAD</v>
          </cell>
          <cell r="E299" t="str">
            <v>M</v>
          </cell>
          <cell r="F299">
            <v>0</v>
          </cell>
          <cell r="G299">
            <v>20</v>
          </cell>
          <cell r="H299">
            <v>1.183875</v>
          </cell>
          <cell r="I299">
            <v>1</v>
          </cell>
          <cell r="J299">
            <v>23.677500000000002</v>
          </cell>
          <cell r="K299">
            <v>2</v>
          </cell>
          <cell r="L299">
            <v>8.4000000000000005E-2</v>
          </cell>
          <cell r="M299">
            <v>0</v>
          </cell>
          <cell r="N299">
            <v>0.74666666666666681</v>
          </cell>
          <cell r="O299">
            <v>0</v>
          </cell>
          <cell r="P299">
            <v>1.57</v>
          </cell>
          <cell r="Q299">
            <v>0</v>
          </cell>
          <cell r="R299">
            <v>0</v>
          </cell>
          <cell r="S299">
            <v>0</v>
          </cell>
          <cell r="T299">
            <v>2.3166666666666669</v>
          </cell>
          <cell r="U299">
            <v>0</v>
          </cell>
          <cell r="W299">
            <v>1</v>
          </cell>
          <cell r="AI299">
            <v>1</v>
          </cell>
        </row>
        <row r="300">
          <cell r="C300">
            <v>8160</v>
          </cell>
          <cell r="D300" t="str">
            <v>LINE MARKING OF ARROWS</v>
          </cell>
          <cell r="E300" t="str">
            <v>M</v>
          </cell>
          <cell r="F300">
            <v>0</v>
          </cell>
          <cell r="G300">
            <v>10</v>
          </cell>
          <cell r="H300">
            <v>1.183875</v>
          </cell>
          <cell r="I300">
            <v>1</v>
          </cell>
          <cell r="J300">
            <v>11.838750000000001</v>
          </cell>
          <cell r="K300">
            <v>2</v>
          </cell>
          <cell r="L300">
            <v>0.16900000000000001</v>
          </cell>
          <cell r="M300">
            <v>0</v>
          </cell>
          <cell r="N300">
            <v>1.3191111111111113</v>
          </cell>
          <cell r="O300">
            <v>0</v>
          </cell>
          <cell r="P300">
            <v>3.14</v>
          </cell>
          <cell r="Q300">
            <v>0</v>
          </cell>
          <cell r="R300">
            <v>0</v>
          </cell>
          <cell r="S300">
            <v>0</v>
          </cell>
          <cell r="T300">
            <v>4.4591111111111115</v>
          </cell>
          <cell r="U300">
            <v>0</v>
          </cell>
          <cell r="W300">
            <v>1</v>
          </cell>
          <cell r="AI300">
            <v>1</v>
          </cell>
        </row>
        <row r="301">
          <cell r="C301">
            <v>8170</v>
          </cell>
          <cell r="D301" t="str">
            <v>GRAVEL PAVING(T=50MM)</v>
          </cell>
          <cell r="E301" t="str">
            <v>M3</v>
          </cell>
          <cell r="F301">
            <v>0</v>
          </cell>
          <cell r="G301">
            <v>80</v>
          </cell>
          <cell r="H301">
            <v>1.183875</v>
          </cell>
          <cell r="I301">
            <v>1</v>
          </cell>
          <cell r="J301">
            <v>94.710000000000008</v>
          </cell>
          <cell r="K301">
            <v>6.6</v>
          </cell>
          <cell r="L301">
            <v>7.0000000000000007E-2</v>
          </cell>
          <cell r="M301">
            <v>0</v>
          </cell>
          <cell r="N301">
            <v>12.25</v>
          </cell>
          <cell r="O301">
            <v>0</v>
          </cell>
          <cell r="P301">
            <v>1.24</v>
          </cell>
          <cell r="Q301">
            <v>0</v>
          </cell>
          <cell r="R301">
            <v>3.06</v>
          </cell>
          <cell r="S301">
            <v>0</v>
          </cell>
          <cell r="T301">
            <v>16.55</v>
          </cell>
          <cell r="U301">
            <v>0</v>
          </cell>
          <cell r="V301">
            <v>0.25</v>
          </cell>
          <cell r="W301">
            <v>5</v>
          </cell>
          <cell r="X301">
            <v>1</v>
          </cell>
          <cell r="Z301">
            <v>0.35</v>
          </cell>
          <cell r="AS301">
            <v>1</v>
          </cell>
          <cell r="AW301">
            <v>0.25</v>
          </cell>
          <cell r="AY301">
            <v>0.1</v>
          </cell>
        </row>
        <row r="302">
          <cell r="C302">
            <v>8180</v>
          </cell>
          <cell r="D302" t="str">
            <v>GRAVEL PAVING (T=75MM)</v>
          </cell>
          <cell r="E302" t="str">
            <v>M2</v>
          </cell>
          <cell r="F302">
            <v>0</v>
          </cell>
          <cell r="G302">
            <v>830</v>
          </cell>
          <cell r="H302">
            <v>1.183875</v>
          </cell>
          <cell r="I302">
            <v>1</v>
          </cell>
          <cell r="J302">
            <v>982.61625000000004</v>
          </cell>
          <cell r="K302">
            <v>6.6</v>
          </cell>
          <cell r="L302">
            <v>7.0000000000000001E-3</v>
          </cell>
          <cell r="M302">
            <v>0</v>
          </cell>
          <cell r="N302">
            <v>0.92120000000000002</v>
          </cell>
          <cell r="O302">
            <v>0</v>
          </cell>
          <cell r="P302">
            <v>0.12</v>
          </cell>
          <cell r="Q302">
            <v>0</v>
          </cell>
          <cell r="R302">
            <v>0.3</v>
          </cell>
          <cell r="S302">
            <v>0</v>
          </cell>
          <cell r="T302">
            <v>1.3411999999999999</v>
          </cell>
          <cell r="U302">
            <v>0</v>
          </cell>
          <cell r="V302">
            <v>0.25</v>
          </cell>
          <cell r="W302">
            <v>5</v>
          </cell>
          <cell r="X302">
            <v>1</v>
          </cell>
          <cell r="Z302">
            <v>0.35</v>
          </cell>
          <cell r="AS302">
            <v>1</v>
          </cell>
          <cell r="AW302">
            <v>0.25</v>
          </cell>
          <cell r="AY302">
            <v>0.1</v>
          </cell>
        </row>
        <row r="303">
          <cell r="C303">
            <v>8190</v>
          </cell>
          <cell r="D303" t="str">
            <v>GRAVEL PAVING (T=100MM)</v>
          </cell>
          <cell r="E303" t="str">
            <v>M2</v>
          </cell>
          <cell r="F303">
            <v>0</v>
          </cell>
          <cell r="G303">
            <v>900</v>
          </cell>
          <cell r="H303">
            <v>1.183875</v>
          </cell>
          <cell r="I303">
            <v>1</v>
          </cell>
          <cell r="J303">
            <v>1065.4875</v>
          </cell>
          <cell r="K303">
            <v>6.6</v>
          </cell>
          <cell r="L303">
            <v>6.0000000000000001E-3</v>
          </cell>
          <cell r="M303">
            <v>0</v>
          </cell>
          <cell r="N303">
            <v>1.2250000000000001</v>
          </cell>
          <cell r="O303">
            <v>0</v>
          </cell>
          <cell r="P303">
            <v>0.11</v>
          </cell>
          <cell r="Q303">
            <v>0</v>
          </cell>
          <cell r="R303">
            <v>0.27</v>
          </cell>
          <cell r="S303">
            <v>0</v>
          </cell>
          <cell r="T303">
            <v>1.6050000000000002</v>
          </cell>
          <cell r="U303">
            <v>0</v>
          </cell>
          <cell r="V303">
            <v>0.25</v>
          </cell>
          <cell r="W303">
            <v>5</v>
          </cell>
          <cell r="X303">
            <v>1</v>
          </cell>
          <cell r="Z303">
            <v>0.35</v>
          </cell>
          <cell r="AS303">
            <v>1</v>
          </cell>
          <cell r="AW303">
            <v>0.25</v>
          </cell>
          <cell r="AY303">
            <v>0.1</v>
          </cell>
        </row>
        <row r="304">
          <cell r="C304">
            <v>8200</v>
          </cell>
          <cell r="D304" t="str">
            <v>CRUSHED STONE PAVING T=100MM</v>
          </cell>
          <cell r="E304" t="str">
            <v>M2</v>
          </cell>
          <cell r="F304">
            <v>0</v>
          </cell>
          <cell r="G304">
            <v>900</v>
          </cell>
          <cell r="H304">
            <v>1.183875</v>
          </cell>
          <cell r="I304">
            <v>1</v>
          </cell>
          <cell r="J304">
            <v>1065.4875</v>
          </cell>
          <cell r="K304">
            <v>6.6</v>
          </cell>
          <cell r="L304">
            <v>6.0000000000000001E-3</v>
          </cell>
          <cell r="M304">
            <v>0</v>
          </cell>
          <cell r="N304">
            <v>1.1200000000000001</v>
          </cell>
          <cell r="O304">
            <v>0</v>
          </cell>
          <cell r="P304">
            <v>0.11</v>
          </cell>
          <cell r="Q304">
            <v>0</v>
          </cell>
          <cell r="R304">
            <v>0.27</v>
          </cell>
          <cell r="S304">
            <v>0</v>
          </cell>
          <cell r="T304">
            <v>1.5000000000000002</v>
          </cell>
          <cell r="U304">
            <v>0</v>
          </cell>
          <cell r="V304">
            <v>0.25</v>
          </cell>
          <cell r="W304">
            <v>5</v>
          </cell>
          <cell r="X304">
            <v>1</v>
          </cell>
          <cell r="Z304">
            <v>0.35</v>
          </cell>
          <cell r="AS304">
            <v>1</v>
          </cell>
          <cell r="AW304">
            <v>0.25</v>
          </cell>
          <cell r="AY304">
            <v>0.1</v>
          </cell>
        </row>
        <row r="305">
          <cell r="C305">
            <v>8210</v>
          </cell>
          <cell r="D305" t="str">
            <v>CURB STONE (150x170x200)</v>
          </cell>
          <cell r="E305" t="str">
            <v>M</v>
          </cell>
          <cell r="F305">
            <v>0</v>
          </cell>
          <cell r="G305">
            <v>32</v>
          </cell>
          <cell r="H305">
            <v>1.183875</v>
          </cell>
          <cell r="I305">
            <v>1</v>
          </cell>
          <cell r="J305">
            <v>37.884</v>
          </cell>
          <cell r="K305">
            <v>5.7</v>
          </cell>
          <cell r="L305">
            <v>0.15</v>
          </cell>
          <cell r="M305">
            <v>0</v>
          </cell>
          <cell r="N305">
            <v>5.2337600000000011</v>
          </cell>
          <cell r="O305">
            <v>0</v>
          </cell>
          <cell r="P305">
            <v>2.57</v>
          </cell>
          <cell r="Q305">
            <v>0</v>
          </cell>
          <cell r="R305">
            <v>0.34</v>
          </cell>
          <cell r="S305">
            <v>0</v>
          </cell>
          <cell r="T305">
            <v>8.1437600000000003</v>
          </cell>
          <cell r="U305">
            <v>0</v>
          </cell>
          <cell r="V305">
            <v>0.5</v>
          </cell>
          <cell r="W305">
            <v>5</v>
          </cell>
          <cell r="Z305">
            <v>0.2</v>
          </cell>
          <cell r="BH305">
            <v>0.2</v>
          </cell>
        </row>
        <row r="306">
          <cell r="C306">
            <v>8220</v>
          </cell>
          <cell r="D306" t="str">
            <v>CURB STONE (180x200x250)</v>
          </cell>
          <cell r="E306" t="str">
            <v>M</v>
          </cell>
          <cell r="F306">
            <v>0</v>
          </cell>
          <cell r="G306">
            <v>28</v>
          </cell>
          <cell r="H306">
            <v>1.183875</v>
          </cell>
          <cell r="I306">
            <v>1</v>
          </cell>
          <cell r="J306">
            <v>33.148499999999999</v>
          </cell>
          <cell r="K306">
            <v>5.7</v>
          </cell>
          <cell r="L306">
            <v>0.17199999999999999</v>
          </cell>
          <cell r="M306">
            <v>0</v>
          </cell>
          <cell r="N306">
            <v>5.551000000000001</v>
          </cell>
          <cell r="O306">
            <v>0</v>
          </cell>
          <cell r="P306">
            <v>2.94</v>
          </cell>
          <cell r="Q306">
            <v>0</v>
          </cell>
          <cell r="R306">
            <v>0.39</v>
          </cell>
          <cell r="S306">
            <v>0</v>
          </cell>
          <cell r="T306">
            <v>8.881000000000002</v>
          </cell>
          <cell r="U306">
            <v>0</v>
          </cell>
          <cell r="V306">
            <v>0.5</v>
          </cell>
          <cell r="W306">
            <v>5</v>
          </cell>
          <cell r="Z306">
            <v>0.2</v>
          </cell>
          <cell r="BH306">
            <v>0.2</v>
          </cell>
        </row>
        <row r="307">
          <cell r="C307">
            <v>8230</v>
          </cell>
          <cell r="D307" t="str">
            <v>CONC. PAV (T=100)</v>
          </cell>
          <cell r="E307" t="str">
            <v>M3</v>
          </cell>
          <cell r="F307">
            <v>0</v>
          </cell>
          <cell r="G307">
            <v>75</v>
          </cell>
          <cell r="H307">
            <v>1.183875</v>
          </cell>
          <cell r="I307">
            <v>1</v>
          </cell>
          <cell r="J307">
            <v>88.790625000000006</v>
          </cell>
          <cell r="K307">
            <v>12.75</v>
          </cell>
          <cell r="L307">
            <v>0.14399999999999999</v>
          </cell>
          <cell r="M307">
            <v>0</v>
          </cell>
          <cell r="N307">
            <v>52.94380000000001</v>
          </cell>
          <cell r="O307">
            <v>0</v>
          </cell>
          <cell r="P307">
            <v>2.9</v>
          </cell>
          <cell r="Q307">
            <v>0</v>
          </cell>
          <cell r="R307">
            <v>1.74</v>
          </cell>
          <cell r="S307">
            <v>0</v>
          </cell>
          <cell r="T307">
            <v>57.583800000000011</v>
          </cell>
          <cell r="U307">
            <v>0</v>
          </cell>
          <cell r="V307">
            <v>0.5</v>
          </cell>
          <cell r="W307">
            <v>3</v>
          </cell>
          <cell r="X307">
            <v>0.25</v>
          </cell>
          <cell r="Z307">
            <v>1</v>
          </cell>
          <cell r="AB307">
            <v>5</v>
          </cell>
          <cell r="AC307">
            <v>3</v>
          </cell>
          <cell r="AX307">
            <v>0.25</v>
          </cell>
          <cell r="AY307">
            <v>0.1</v>
          </cell>
        </row>
        <row r="308">
          <cell r="C308">
            <v>8240</v>
          </cell>
          <cell r="D308" t="str">
            <v>CONC. PAV (T=150)</v>
          </cell>
          <cell r="E308" t="str">
            <v>M3</v>
          </cell>
          <cell r="F308">
            <v>0</v>
          </cell>
          <cell r="G308">
            <v>80</v>
          </cell>
          <cell r="H308">
            <v>1.183875</v>
          </cell>
          <cell r="I308">
            <v>1</v>
          </cell>
          <cell r="J308">
            <v>94.710000000000008</v>
          </cell>
          <cell r="K308">
            <v>12.75</v>
          </cell>
          <cell r="L308">
            <v>0.13500000000000001</v>
          </cell>
          <cell r="M308">
            <v>0</v>
          </cell>
          <cell r="N308">
            <v>49.708120000000008</v>
          </cell>
          <cell r="O308">
            <v>0</v>
          </cell>
          <cell r="P308">
            <v>2.71</v>
          </cell>
          <cell r="Q308">
            <v>0</v>
          </cell>
          <cell r="R308">
            <v>1.63</v>
          </cell>
          <cell r="S308">
            <v>0</v>
          </cell>
          <cell r="T308">
            <v>54.048120000000011</v>
          </cell>
          <cell r="U308">
            <v>0</v>
          </cell>
          <cell r="V308">
            <v>0.5</v>
          </cell>
          <cell r="W308">
            <v>3</v>
          </cell>
          <cell r="X308">
            <v>0.25</v>
          </cell>
          <cell r="Z308">
            <v>1</v>
          </cell>
          <cell r="AB308">
            <v>5</v>
          </cell>
          <cell r="AC308">
            <v>3</v>
          </cell>
          <cell r="AX308">
            <v>0.25</v>
          </cell>
          <cell r="AY308">
            <v>0.1</v>
          </cell>
        </row>
        <row r="309">
          <cell r="C309">
            <v>8250</v>
          </cell>
          <cell r="D309" t="str">
            <v>CONC. PAV (T=200)</v>
          </cell>
          <cell r="E309" t="str">
            <v>M3</v>
          </cell>
          <cell r="F309">
            <v>0</v>
          </cell>
          <cell r="G309">
            <v>90</v>
          </cell>
          <cell r="H309">
            <v>1.183875</v>
          </cell>
          <cell r="I309">
            <v>1</v>
          </cell>
          <cell r="J309">
            <v>106.54875</v>
          </cell>
          <cell r="K309">
            <v>12.75</v>
          </cell>
          <cell r="L309">
            <v>0.12</v>
          </cell>
          <cell r="M309">
            <v>0</v>
          </cell>
          <cell r="N309">
            <v>48.079360000000001</v>
          </cell>
          <cell r="O309">
            <v>0</v>
          </cell>
          <cell r="P309">
            <v>2.41</v>
          </cell>
          <cell r="Q309">
            <v>0</v>
          </cell>
          <cell r="R309">
            <v>1.45</v>
          </cell>
          <cell r="S309">
            <v>0</v>
          </cell>
          <cell r="T309">
            <v>51.939360000000008</v>
          </cell>
          <cell r="U309">
            <v>0</v>
          </cell>
          <cell r="V309">
            <v>0.5</v>
          </cell>
          <cell r="W309">
            <v>3</v>
          </cell>
          <cell r="X309">
            <v>0.25</v>
          </cell>
          <cell r="Z309">
            <v>1</v>
          </cell>
          <cell r="AB309">
            <v>5</v>
          </cell>
          <cell r="AC309">
            <v>3</v>
          </cell>
          <cell r="AX309">
            <v>0.25</v>
          </cell>
          <cell r="AY309">
            <v>0.1</v>
          </cell>
        </row>
        <row r="310">
          <cell r="C310">
            <v>8260</v>
          </cell>
          <cell r="D310" t="str">
            <v>VAPOR BARRIER</v>
          </cell>
          <cell r="E310" t="str">
            <v>M2</v>
          </cell>
          <cell r="F310">
            <v>0</v>
          </cell>
          <cell r="G310">
            <v>1000</v>
          </cell>
          <cell r="H310">
            <v>1.183875</v>
          </cell>
          <cell r="I310">
            <v>1</v>
          </cell>
          <cell r="J310">
            <v>1183.875</v>
          </cell>
          <cell r="K310">
            <v>4</v>
          </cell>
          <cell r="L310">
            <v>3.0000000000000001E-3</v>
          </cell>
          <cell r="M310">
            <v>0</v>
          </cell>
          <cell r="N310">
            <v>0.54660493827160495</v>
          </cell>
          <cell r="O310">
            <v>0</v>
          </cell>
          <cell r="P310">
            <v>0.05</v>
          </cell>
          <cell r="Q310">
            <v>0</v>
          </cell>
          <cell r="R310">
            <v>0</v>
          </cell>
          <cell r="S310">
            <v>0</v>
          </cell>
          <cell r="T310">
            <v>0.59660493827160499</v>
          </cell>
          <cell r="U310">
            <v>0</v>
          </cell>
          <cell r="W310">
            <v>4</v>
          </cell>
        </row>
        <row r="311">
          <cell r="C311">
            <v>8270</v>
          </cell>
          <cell r="D311" t="str">
            <v>SURFACE BLUSH</v>
          </cell>
          <cell r="E311" t="str">
            <v>M2</v>
          </cell>
          <cell r="F311">
            <v>0</v>
          </cell>
          <cell r="G311">
            <v>750</v>
          </cell>
          <cell r="H311">
            <v>1.183875</v>
          </cell>
          <cell r="I311">
            <v>1</v>
          </cell>
          <cell r="J311">
            <v>887.90625</v>
          </cell>
          <cell r="K311">
            <v>4.5</v>
          </cell>
          <cell r="L311">
            <v>5.0000000000000001E-3</v>
          </cell>
          <cell r="M311">
            <v>0</v>
          </cell>
          <cell r="N311">
            <v>0</v>
          </cell>
          <cell r="O311">
            <v>0</v>
          </cell>
          <cell r="P311">
            <v>0.1</v>
          </cell>
          <cell r="Q311">
            <v>0</v>
          </cell>
          <cell r="R311">
            <v>0</v>
          </cell>
          <cell r="S311">
            <v>0</v>
          </cell>
          <cell r="T311">
            <v>0.1</v>
          </cell>
          <cell r="U311">
            <v>0</v>
          </cell>
          <cell r="V311">
            <v>0.5</v>
          </cell>
          <cell r="W311">
            <v>2</v>
          </cell>
          <cell r="AC311">
            <v>2</v>
          </cell>
        </row>
        <row r="312">
          <cell r="C312">
            <v>8280</v>
          </cell>
          <cell r="D312" t="str">
            <v>SINGLE WIRE MESH</v>
          </cell>
          <cell r="E312" t="str">
            <v>M2</v>
          </cell>
          <cell r="F312">
            <v>0</v>
          </cell>
          <cell r="G312">
            <v>290</v>
          </cell>
          <cell r="H312">
            <v>1.183875</v>
          </cell>
          <cell r="I312">
            <v>1</v>
          </cell>
          <cell r="J312">
            <v>343.32375000000002</v>
          </cell>
          <cell r="K312">
            <v>5</v>
          </cell>
          <cell r="L312">
            <v>1.4999999999999999E-2</v>
          </cell>
          <cell r="M312">
            <v>0</v>
          </cell>
          <cell r="N312">
            <v>2.6459999999999999</v>
          </cell>
          <cell r="O312">
            <v>0</v>
          </cell>
          <cell r="P312">
            <v>0.28000000000000003</v>
          </cell>
          <cell r="Q312">
            <v>0</v>
          </cell>
          <cell r="R312">
            <v>0</v>
          </cell>
          <cell r="S312">
            <v>0</v>
          </cell>
          <cell r="T312">
            <v>2.9260000000000002</v>
          </cell>
          <cell r="U312">
            <v>0</v>
          </cell>
          <cell r="W312">
            <v>2</v>
          </cell>
          <cell r="AD312">
            <v>3</v>
          </cell>
        </row>
        <row r="313">
          <cell r="C313">
            <v>8290</v>
          </cell>
          <cell r="D313" t="str">
            <v>DOUBLE WIRE MESH</v>
          </cell>
          <cell r="E313" t="str">
            <v>M2</v>
          </cell>
          <cell r="F313">
            <v>0</v>
          </cell>
          <cell r="G313">
            <v>125</v>
          </cell>
          <cell r="H313">
            <v>1.183875</v>
          </cell>
          <cell r="I313">
            <v>1</v>
          </cell>
          <cell r="J313">
            <v>147.984375</v>
          </cell>
          <cell r="K313">
            <v>5</v>
          </cell>
          <cell r="L313">
            <v>3.4000000000000002E-2</v>
          </cell>
          <cell r="M313">
            <v>0</v>
          </cell>
          <cell r="N313">
            <v>5.2696000000000005</v>
          </cell>
          <cell r="O313">
            <v>0</v>
          </cell>
          <cell r="P313">
            <v>0.65</v>
          </cell>
          <cell r="Q313">
            <v>0</v>
          </cell>
          <cell r="R313">
            <v>0</v>
          </cell>
          <cell r="S313">
            <v>0</v>
          </cell>
          <cell r="T313">
            <v>5.9196000000000009</v>
          </cell>
          <cell r="U313">
            <v>0</v>
          </cell>
          <cell r="W313">
            <v>2</v>
          </cell>
          <cell r="AD313">
            <v>3</v>
          </cell>
        </row>
        <row r="314">
          <cell r="C314">
            <v>8300</v>
          </cell>
          <cell r="D314" t="str">
            <v>EXP JOINT FOR CONC STRUCTURE</v>
          </cell>
          <cell r="E314" t="str">
            <v>M2</v>
          </cell>
          <cell r="F314">
            <v>0</v>
          </cell>
          <cell r="G314">
            <v>80</v>
          </cell>
          <cell r="H314">
            <v>1.183875</v>
          </cell>
          <cell r="I314">
            <v>1</v>
          </cell>
          <cell r="J314">
            <v>94.710000000000008</v>
          </cell>
          <cell r="K314">
            <v>2</v>
          </cell>
          <cell r="L314">
            <v>2.1000000000000001E-2</v>
          </cell>
          <cell r="M314">
            <v>0</v>
          </cell>
          <cell r="N314">
            <v>19.14001594349142</v>
          </cell>
          <cell r="O314">
            <v>0</v>
          </cell>
          <cell r="P314">
            <v>0.34</v>
          </cell>
          <cell r="Q314">
            <v>0</v>
          </cell>
          <cell r="R314">
            <v>0</v>
          </cell>
          <cell r="S314">
            <v>0</v>
          </cell>
          <cell r="T314">
            <v>19.48001594349142</v>
          </cell>
          <cell r="U314">
            <v>0</v>
          </cell>
          <cell r="W314">
            <v>2</v>
          </cell>
        </row>
        <row r="315">
          <cell r="C315">
            <v>8310</v>
          </cell>
          <cell r="D315" t="str">
            <v>EPANSION JOINT(B=150)</v>
          </cell>
          <cell r="E315" t="str">
            <v>M</v>
          </cell>
          <cell r="F315">
            <v>0</v>
          </cell>
          <cell r="G315">
            <v>75</v>
          </cell>
          <cell r="H315">
            <v>1.183875</v>
          </cell>
          <cell r="I315">
            <v>1</v>
          </cell>
          <cell r="J315">
            <v>88.790625000000006</v>
          </cell>
          <cell r="K315">
            <v>3</v>
          </cell>
          <cell r="L315">
            <v>3.4000000000000002E-2</v>
          </cell>
          <cell r="M315">
            <v>0</v>
          </cell>
          <cell r="N315">
            <v>9.0171043094517334</v>
          </cell>
          <cell r="O315">
            <v>0</v>
          </cell>
          <cell r="P315">
            <v>0.66</v>
          </cell>
          <cell r="Q315">
            <v>0</v>
          </cell>
          <cell r="R315">
            <v>0</v>
          </cell>
          <cell r="S315">
            <v>0</v>
          </cell>
          <cell r="T315">
            <v>9.6771043094517335</v>
          </cell>
          <cell r="U315">
            <v>0</v>
          </cell>
          <cell r="W315">
            <v>1</v>
          </cell>
          <cell r="AD315">
            <v>1</v>
          </cell>
          <cell r="AE315">
            <v>1</v>
          </cell>
        </row>
        <row r="316">
          <cell r="C316">
            <v>8320</v>
          </cell>
          <cell r="D316" t="str">
            <v>EPANSION JOINT(B=200)</v>
          </cell>
          <cell r="E316" t="str">
            <v>M</v>
          </cell>
          <cell r="F316">
            <v>0</v>
          </cell>
          <cell r="G316">
            <v>70</v>
          </cell>
          <cell r="H316">
            <v>1.183875</v>
          </cell>
          <cell r="I316">
            <v>1</v>
          </cell>
          <cell r="J316">
            <v>82.871250000000003</v>
          </cell>
          <cell r="K316">
            <v>3</v>
          </cell>
          <cell r="L316">
            <v>3.5999999999999997E-2</v>
          </cell>
          <cell r="M316">
            <v>0</v>
          </cell>
          <cell r="N316">
            <v>9.2502021903800884</v>
          </cell>
          <cell r="O316">
            <v>0</v>
          </cell>
          <cell r="P316">
            <v>0.7</v>
          </cell>
          <cell r="Q316">
            <v>0</v>
          </cell>
          <cell r="R316">
            <v>0</v>
          </cell>
          <cell r="S316">
            <v>0</v>
          </cell>
          <cell r="T316">
            <v>9.9502021903800877</v>
          </cell>
          <cell r="U316">
            <v>0</v>
          </cell>
          <cell r="W316">
            <v>1</v>
          </cell>
          <cell r="AD316">
            <v>1</v>
          </cell>
          <cell r="AE316">
            <v>1</v>
          </cell>
        </row>
        <row r="317">
          <cell r="C317">
            <v>8330</v>
          </cell>
          <cell r="D317" t="str">
            <v>CONTROL JOINT(12*25)</v>
          </cell>
          <cell r="E317" t="str">
            <v>M</v>
          </cell>
          <cell r="F317">
            <v>0</v>
          </cell>
          <cell r="G317">
            <v>80</v>
          </cell>
          <cell r="H317">
            <v>1.183875</v>
          </cell>
          <cell r="I317">
            <v>1</v>
          </cell>
          <cell r="J317">
            <v>94.710000000000008</v>
          </cell>
          <cell r="K317">
            <v>3</v>
          </cell>
          <cell r="L317">
            <v>3.2000000000000001E-2</v>
          </cell>
          <cell r="M317">
            <v>0</v>
          </cell>
          <cell r="N317">
            <v>2.8938000000000001</v>
          </cell>
          <cell r="O317">
            <v>0</v>
          </cell>
          <cell r="P317">
            <v>0.62</v>
          </cell>
          <cell r="Q317">
            <v>0</v>
          </cell>
          <cell r="R317">
            <v>0</v>
          </cell>
          <cell r="S317">
            <v>0</v>
          </cell>
          <cell r="T317">
            <v>3.5138000000000003</v>
          </cell>
          <cell r="U317">
            <v>0</v>
          </cell>
          <cell r="W317">
            <v>1</v>
          </cell>
          <cell r="Y317">
            <v>2</v>
          </cell>
        </row>
        <row r="318">
          <cell r="C318">
            <v>8340</v>
          </cell>
          <cell r="D318" t="str">
            <v>TRAFFIC SIGN(D.900)</v>
          </cell>
          <cell r="E318" t="str">
            <v>NOS</v>
          </cell>
          <cell r="F318">
            <v>0</v>
          </cell>
          <cell r="G318">
            <v>8</v>
          </cell>
          <cell r="H318">
            <v>1.183875</v>
          </cell>
          <cell r="I318">
            <v>1</v>
          </cell>
          <cell r="J318">
            <v>9.4710000000000001</v>
          </cell>
          <cell r="K318">
            <v>2.2000000000000002</v>
          </cell>
          <cell r="L318">
            <v>0.23200000000000001</v>
          </cell>
          <cell r="M318">
            <v>0</v>
          </cell>
          <cell r="N318">
            <v>126.00000000000001</v>
          </cell>
          <cell r="O318">
            <v>0</v>
          </cell>
          <cell r="P318">
            <v>3.84</v>
          </cell>
          <cell r="Q318">
            <v>0</v>
          </cell>
          <cell r="R318">
            <v>1.36</v>
          </cell>
          <cell r="S318">
            <v>0</v>
          </cell>
          <cell r="T318">
            <v>131.20000000000002</v>
          </cell>
          <cell r="U318">
            <v>0</v>
          </cell>
          <cell r="W318">
            <v>2</v>
          </cell>
          <cell r="Z318">
            <v>0.2</v>
          </cell>
          <cell r="BH318">
            <v>0.2</v>
          </cell>
        </row>
        <row r="319">
          <cell r="C319">
            <v>8350</v>
          </cell>
          <cell r="D319" t="str">
            <v>ROAD NAME SIGN(1500*750)</v>
          </cell>
          <cell r="E319" t="str">
            <v>NOS</v>
          </cell>
          <cell r="F319">
            <v>0</v>
          </cell>
          <cell r="G319">
            <v>8</v>
          </cell>
          <cell r="H319">
            <v>1.183875</v>
          </cell>
          <cell r="I319">
            <v>1</v>
          </cell>
          <cell r="J319">
            <v>9.4710000000000001</v>
          </cell>
          <cell r="K319">
            <v>2.2000000000000002</v>
          </cell>
          <cell r="L319">
            <v>0.23200000000000001</v>
          </cell>
          <cell r="M319">
            <v>0</v>
          </cell>
          <cell r="N319">
            <v>120.4</v>
          </cell>
          <cell r="O319">
            <v>0</v>
          </cell>
          <cell r="P319">
            <v>3.84</v>
          </cell>
          <cell r="Q319">
            <v>0</v>
          </cell>
          <cell r="R319">
            <v>1.36</v>
          </cell>
          <cell r="S319">
            <v>0</v>
          </cell>
          <cell r="T319">
            <v>125.60000000000001</v>
          </cell>
          <cell r="U319">
            <v>0</v>
          </cell>
          <cell r="W319">
            <v>2</v>
          </cell>
          <cell r="Z319">
            <v>0.2</v>
          </cell>
          <cell r="BH319">
            <v>0.2</v>
          </cell>
        </row>
        <row r="320">
          <cell r="C320">
            <v>8360</v>
          </cell>
          <cell r="D320" t="str">
            <v>BLOCK OF WALKWAY(300*300*60)</v>
          </cell>
          <cell r="E320" t="str">
            <v>M2</v>
          </cell>
          <cell r="F320">
            <v>0</v>
          </cell>
          <cell r="G320">
            <v>50</v>
          </cell>
          <cell r="H320">
            <v>1.183875</v>
          </cell>
          <cell r="I320">
            <v>1</v>
          </cell>
          <cell r="J320">
            <v>59.193750000000001</v>
          </cell>
          <cell r="K320">
            <v>5.7</v>
          </cell>
          <cell r="L320">
            <v>9.6000000000000002E-2</v>
          </cell>
          <cell r="M320">
            <v>0</v>
          </cell>
          <cell r="N320">
            <v>12.089</v>
          </cell>
          <cell r="O320">
            <v>0</v>
          </cell>
          <cell r="P320">
            <v>1.82</v>
          </cell>
          <cell r="Q320">
            <v>0</v>
          </cell>
          <cell r="R320">
            <v>0.22</v>
          </cell>
          <cell r="S320">
            <v>0</v>
          </cell>
          <cell r="T320">
            <v>14.129000000000001</v>
          </cell>
          <cell r="U320">
            <v>0</v>
          </cell>
          <cell r="V320">
            <v>0.5</v>
          </cell>
          <cell r="W320">
            <v>3</v>
          </cell>
          <cell r="Z320">
            <v>0.2</v>
          </cell>
          <cell r="AC320">
            <v>2</v>
          </cell>
          <cell r="BH320">
            <v>0.2</v>
          </cell>
        </row>
        <row r="321">
          <cell r="C321">
            <v>9000</v>
          </cell>
          <cell r="D321" t="str">
            <v>COL. FIRE FROOFING (H 150x150/31.5 KG)</v>
          </cell>
          <cell r="E321" t="str">
            <v>M3</v>
          </cell>
          <cell r="F321">
            <v>0</v>
          </cell>
          <cell r="G321">
            <v>2.2000000000000002</v>
          </cell>
          <cell r="H321">
            <v>1.183875</v>
          </cell>
          <cell r="I321">
            <v>1</v>
          </cell>
          <cell r="J321">
            <v>2.6045250000000002</v>
          </cell>
          <cell r="K321">
            <v>25.6</v>
          </cell>
          <cell r="L321">
            <v>9.8290000000000006</v>
          </cell>
          <cell r="M321">
            <v>0</v>
          </cell>
          <cell r="N321">
            <v>301.87312517098331</v>
          </cell>
          <cell r="O321">
            <v>0</v>
          </cell>
          <cell r="P321">
            <v>200.77</v>
          </cell>
          <cell r="Q321">
            <v>0</v>
          </cell>
          <cell r="R321">
            <v>2.95</v>
          </cell>
          <cell r="S321">
            <v>0</v>
          </cell>
          <cell r="T321">
            <v>505.59312517098334</v>
          </cell>
          <cell r="U321">
            <v>0</v>
          </cell>
          <cell r="V321">
            <v>2</v>
          </cell>
          <cell r="W321">
            <v>7</v>
          </cell>
          <cell r="Z321">
            <v>0.6</v>
          </cell>
          <cell r="AB321">
            <v>4</v>
          </cell>
          <cell r="AC321">
            <v>1</v>
          </cell>
          <cell r="AD321">
            <v>2</v>
          </cell>
          <cell r="AE321">
            <v>5</v>
          </cell>
          <cell r="AH321">
            <v>2</v>
          </cell>
          <cell r="AI321">
            <v>2</v>
          </cell>
          <cell r="AY321">
            <v>0.05</v>
          </cell>
          <cell r="BH321">
            <v>0.05</v>
          </cell>
          <cell r="BJ321">
            <v>0.02</v>
          </cell>
        </row>
        <row r="322">
          <cell r="C322">
            <v>9010</v>
          </cell>
          <cell r="D322" t="str">
            <v>COL. FIRE FROOFING (H 200x200/49.9 KG)</v>
          </cell>
          <cell r="E322" t="str">
            <v>M3</v>
          </cell>
          <cell r="F322">
            <v>0</v>
          </cell>
          <cell r="G322">
            <v>2.5</v>
          </cell>
          <cell r="H322">
            <v>1.183875</v>
          </cell>
          <cell r="I322">
            <v>1</v>
          </cell>
          <cell r="J322">
            <v>2.9596875000000002</v>
          </cell>
          <cell r="K322">
            <v>25.6</v>
          </cell>
          <cell r="L322">
            <v>8.65</v>
          </cell>
          <cell r="M322">
            <v>0</v>
          </cell>
          <cell r="N322">
            <v>248.34508267743024</v>
          </cell>
          <cell r="O322">
            <v>0</v>
          </cell>
          <cell r="P322">
            <v>176.68</v>
          </cell>
          <cell r="Q322">
            <v>0</v>
          </cell>
          <cell r="R322">
            <v>2.6</v>
          </cell>
          <cell r="S322">
            <v>0</v>
          </cell>
          <cell r="T322">
            <v>427.62508267743027</v>
          </cell>
          <cell r="U322">
            <v>0</v>
          </cell>
          <cell r="V322">
            <v>2</v>
          </cell>
          <cell r="W322">
            <v>7</v>
          </cell>
          <cell r="Z322">
            <v>0.6</v>
          </cell>
          <cell r="AB322">
            <v>4</v>
          </cell>
          <cell r="AC322">
            <v>1</v>
          </cell>
          <cell r="AD322">
            <v>2</v>
          </cell>
          <cell r="AE322">
            <v>5</v>
          </cell>
          <cell r="AH322">
            <v>2</v>
          </cell>
          <cell r="AI322">
            <v>2</v>
          </cell>
          <cell r="AY322">
            <v>0.05</v>
          </cell>
          <cell r="BH322">
            <v>0.05</v>
          </cell>
          <cell r="BJ322">
            <v>0.02</v>
          </cell>
        </row>
        <row r="323">
          <cell r="C323">
            <v>9020</v>
          </cell>
          <cell r="D323" t="str">
            <v>COL. FIRE FROOFING (H 300x300/94 KG)</v>
          </cell>
          <cell r="E323" t="str">
            <v>M3</v>
          </cell>
          <cell r="F323">
            <v>0</v>
          </cell>
          <cell r="G323">
            <v>2.6</v>
          </cell>
          <cell r="H323">
            <v>1.183875</v>
          </cell>
          <cell r="I323">
            <v>1</v>
          </cell>
          <cell r="J323">
            <v>3.0780750000000001</v>
          </cell>
          <cell r="K323">
            <v>25.6</v>
          </cell>
          <cell r="L323">
            <v>8.3170000000000002</v>
          </cell>
          <cell r="M323">
            <v>0</v>
          </cell>
          <cell r="N323">
            <v>193.7935235564525</v>
          </cell>
          <cell r="O323">
            <v>0</v>
          </cell>
          <cell r="P323">
            <v>169.88</v>
          </cell>
          <cell r="Q323">
            <v>0</v>
          </cell>
          <cell r="R323">
            <v>2.5</v>
          </cell>
          <cell r="S323">
            <v>0</v>
          </cell>
          <cell r="T323">
            <v>366.17352355645249</v>
          </cell>
          <cell r="U323">
            <v>0</v>
          </cell>
          <cell r="V323">
            <v>2</v>
          </cell>
          <cell r="W323">
            <v>7</v>
          </cell>
          <cell r="Z323">
            <v>0.6</v>
          </cell>
          <cell r="AB323">
            <v>4</v>
          </cell>
          <cell r="AC323">
            <v>1</v>
          </cell>
          <cell r="AD323">
            <v>2</v>
          </cell>
          <cell r="AE323">
            <v>5</v>
          </cell>
          <cell r="AH323">
            <v>2</v>
          </cell>
          <cell r="AI323">
            <v>2</v>
          </cell>
          <cell r="AY323">
            <v>0.05</v>
          </cell>
          <cell r="BH323">
            <v>0.05</v>
          </cell>
          <cell r="BJ323">
            <v>0.02</v>
          </cell>
        </row>
        <row r="324">
          <cell r="C324">
            <v>9030</v>
          </cell>
          <cell r="D324" t="str">
            <v>COL. FIRE FROOFING (H 400x400/147 KG)</v>
          </cell>
          <cell r="E324" t="str">
            <v>M3</v>
          </cell>
          <cell r="F324">
            <v>0</v>
          </cell>
          <cell r="G324">
            <v>2.7</v>
          </cell>
          <cell r="H324">
            <v>1.183875</v>
          </cell>
          <cell r="I324">
            <v>1</v>
          </cell>
          <cell r="J324">
            <v>3.1964625000000004</v>
          </cell>
          <cell r="K324">
            <v>25.6</v>
          </cell>
          <cell r="L324">
            <v>8.0090000000000003</v>
          </cell>
          <cell r="M324">
            <v>0</v>
          </cell>
          <cell r="N324">
            <v>158.90238968494222</v>
          </cell>
          <cell r="O324">
            <v>0</v>
          </cell>
          <cell r="P324">
            <v>163.59</v>
          </cell>
          <cell r="Q324">
            <v>0</v>
          </cell>
          <cell r="R324">
            <v>2.4</v>
          </cell>
          <cell r="S324">
            <v>0</v>
          </cell>
          <cell r="T324">
            <v>324.8923896849422</v>
          </cell>
          <cell r="U324">
            <v>0</v>
          </cell>
          <cell r="V324">
            <v>2</v>
          </cell>
          <cell r="W324">
            <v>7</v>
          </cell>
          <cell r="Z324">
            <v>0.6</v>
          </cell>
          <cell r="AB324">
            <v>4</v>
          </cell>
          <cell r="AC324">
            <v>1</v>
          </cell>
          <cell r="AD324">
            <v>2</v>
          </cell>
          <cell r="AE324">
            <v>5</v>
          </cell>
          <cell r="AH324">
            <v>2</v>
          </cell>
          <cell r="AI324">
            <v>2</v>
          </cell>
          <cell r="AY324">
            <v>0.05</v>
          </cell>
          <cell r="BH324">
            <v>0.05</v>
          </cell>
          <cell r="BJ324">
            <v>0.02</v>
          </cell>
        </row>
        <row r="325">
          <cell r="C325">
            <v>9040</v>
          </cell>
          <cell r="D325" t="str">
            <v>COL. FIRE FROOFING (H 500x300/140 KG)</v>
          </cell>
          <cell r="E325" t="str">
            <v>M3</v>
          </cell>
          <cell r="F325">
            <v>0</v>
          </cell>
          <cell r="G325">
            <v>2.8</v>
          </cell>
          <cell r="H325">
            <v>1.183875</v>
          </cell>
          <cell r="I325">
            <v>1</v>
          </cell>
          <cell r="J325">
            <v>3.3148499999999999</v>
          </cell>
          <cell r="K325">
            <v>25.6</v>
          </cell>
          <cell r="L325">
            <v>7.7229999999999999</v>
          </cell>
          <cell r="M325">
            <v>0</v>
          </cell>
          <cell r="N325">
            <v>173.43861244534142</v>
          </cell>
          <cell r="O325">
            <v>0</v>
          </cell>
          <cell r="P325">
            <v>157.75</v>
          </cell>
          <cell r="Q325">
            <v>0</v>
          </cell>
          <cell r="R325">
            <v>2.3199999999999998</v>
          </cell>
          <cell r="S325">
            <v>0</v>
          </cell>
          <cell r="T325">
            <v>333.50861244534138</v>
          </cell>
          <cell r="U325">
            <v>0</v>
          </cell>
          <cell r="V325">
            <v>2</v>
          </cell>
          <cell r="W325">
            <v>7</v>
          </cell>
          <cell r="Z325">
            <v>0.6</v>
          </cell>
          <cell r="AB325">
            <v>4</v>
          </cell>
          <cell r="AC325">
            <v>1</v>
          </cell>
          <cell r="AD325">
            <v>2</v>
          </cell>
          <cell r="AE325">
            <v>5</v>
          </cell>
          <cell r="AH325">
            <v>2</v>
          </cell>
          <cell r="AI325">
            <v>2</v>
          </cell>
          <cell r="AY325">
            <v>0.05</v>
          </cell>
          <cell r="BH325">
            <v>0.05</v>
          </cell>
          <cell r="BJ325">
            <v>0.02</v>
          </cell>
        </row>
        <row r="326">
          <cell r="C326">
            <v>9050</v>
          </cell>
          <cell r="D326" t="str">
            <v>BEAM FIRE PROOFING (H 200x100/21.3 KG)</v>
          </cell>
          <cell r="E326" t="str">
            <v>M3</v>
          </cell>
          <cell r="F326">
            <v>0</v>
          </cell>
          <cell r="G326">
            <v>2</v>
          </cell>
          <cell r="H326">
            <v>1.183875</v>
          </cell>
          <cell r="I326">
            <v>1</v>
          </cell>
          <cell r="J326">
            <v>2.36775</v>
          </cell>
          <cell r="K326">
            <v>25.6</v>
          </cell>
          <cell r="L326">
            <v>10.811999999999999</v>
          </cell>
          <cell r="M326">
            <v>0</v>
          </cell>
          <cell r="N326">
            <v>244.20212274918717</v>
          </cell>
          <cell r="O326">
            <v>0</v>
          </cell>
          <cell r="P326">
            <v>220.85</v>
          </cell>
          <cell r="Q326">
            <v>0</v>
          </cell>
          <cell r="R326">
            <v>3.24</v>
          </cell>
          <cell r="S326">
            <v>0</v>
          </cell>
          <cell r="T326">
            <v>468.29212274918717</v>
          </cell>
          <cell r="U326">
            <v>0</v>
          </cell>
          <cell r="V326">
            <v>2</v>
          </cell>
          <cell r="W326">
            <v>7</v>
          </cell>
          <cell r="Z326">
            <v>0.6</v>
          </cell>
          <cell r="AB326">
            <v>4</v>
          </cell>
          <cell r="AC326">
            <v>1</v>
          </cell>
          <cell r="AD326">
            <v>2</v>
          </cell>
          <cell r="AE326">
            <v>5</v>
          </cell>
          <cell r="AH326">
            <v>2</v>
          </cell>
          <cell r="AI326">
            <v>2</v>
          </cell>
          <cell r="AY326">
            <v>0.05</v>
          </cell>
          <cell r="BH326">
            <v>0.05</v>
          </cell>
          <cell r="BJ326">
            <v>0.02</v>
          </cell>
        </row>
        <row r="327">
          <cell r="C327">
            <v>9060</v>
          </cell>
          <cell r="D327" t="str">
            <v>BEAM FIRE PROOFING (H 250x125/29.6 KG)</v>
          </cell>
          <cell r="E327" t="str">
            <v>M3</v>
          </cell>
          <cell r="F327">
            <v>0</v>
          </cell>
          <cell r="G327">
            <v>2.2000000000000002</v>
          </cell>
          <cell r="H327">
            <v>1.183875</v>
          </cell>
          <cell r="I327">
            <v>1</v>
          </cell>
          <cell r="J327">
            <v>2.6045250000000002</v>
          </cell>
          <cell r="K327">
            <v>25.6</v>
          </cell>
          <cell r="L327">
            <v>9.8290000000000006</v>
          </cell>
          <cell r="M327">
            <v>0</v>
          </cell>
          <cell r="N327">
            <v>179.255255813432</v>
          </cell>
          <cell r="O327">
            <v>0</v>
          </cell>
          <cell r="P327">
            <v>200.77</v>
          </cell>
          <cell r="Q327">
            <v>0</v>
          </cell>
          <cell r="R327">
            <v>2.95</v>
          </cell>
          <cell r="S327">
            <v>0</v>
          </cell>
          <cell r="T327">
            <v>382.975255813432</v>
          </cell>
          <cell r="U327">
            <v>0</v>
          </cell>
          <cell r="V327">
            <v>2</v>
          </cell>
          <cell r="W327">
            <v>7</v>
          </cell>
          <cell r="Z327">
            <v>0.6</v>
          </cell>
          <cell r="AB327">
            <v>4</v>
          </cell>
          <cell r="AC327">
            <v>1</v>
          </cell>
          <cell r="AD327">
            <v>2</v>
          </cell>
          <cell r="AE327">
            <v>5</v>
          </cell>
          <cell r="AH327">
            <v>2</v>
          </cell>
          <cell r="AI327">
            <v>2</v>
          </cell>
          <cell r="AY327">
            <v>0.05</v>
          </cell>
          <cell r="BH327">
            <v>0.05</v>
          </cell>
          <cell r="BJ327">
            <v>0.02</v>
          </cell>
        </row>
        <row r="328">
          <cell r="C328">
            <v>9070</v>
          </cell>
          <cell r="D328" t="str">
            <v>BEAM FIRE PROOFING (H 300x150/36.7 KG)</v>
          </cell>
          <cell r="E328" t="str">
            <v>M3</v>
          </cell>
          <cell r="F328">
            <v>0</v>
          </cell>
          <cell r="G328">
            <v>2.2000000000000002</v>
          </cell>
          <cell r="H328">
            <v>1.183875</v>
          </cell>
          <cell r="I328">
            <v>1</v>
          </cell>
          <cell r="J328">
            <v>2.6045250000000002</v>
          </cell>
          <cell r="K328">
            <v>25.6</v>
          </cell>
          <cell r="L328">
            <v>9.8290000000000006</v>
          </cell>
          <cell r="M328">
            <v>0</v>
          </cell>
          <cell r="N328">
            <v>166.76654898531226</v>
          </cell>
          <cell r="O328">
            <v>0</v>
          </cell>
          <cell r="P328">
            <v>200.77</v>
          </cell>
          <cell r="Q328">
            <v>0</v>
          </cell>
          <cell r="R328">
            <v>2.95</v>
          </cell>
          <cell r="S328">
            <v>0</v>
          </cell>
          <cell r="T328">
            <v>370.48654898531225</v>
          </cell>
          <cell r="U328">
            <v>0</v>
          </cell>
          <cell r="V328">
            <v>2</v>
          </cell>
          <cell r="W328">
            <v>7</v>
          </cell>
          <cell r="Z328">
            <v>0.6</v>
          </cell>
          <cell r="AB328">
            <v>4</v>
          </cell>
          <cell r="AC328">
            <v>1</v>
          </cell>
          <cell r="AD328">
            <v>2</v>
          </cell>
          <cell r="AE328">
            <v>5</v>
          </cell>
          <cell r="AH328">
            <v>2</v>
          </cell>
          <cell r="AI328">
            <v>2</v>
          </cell>
          <cell r="AY328">
            <v>0.05</v>
          </cell>
          <cell r="BH328">
            <v>0.05</v>
          </cell>
          <cell r="BJ328">
            <v>0.02</v>
          </cell>
        </row>
        <row r="329">
          <cell r="C329">
            <v>9080</v>
          </cell>
          <cell r="D329" t="str">
            <v>BEAM FIRE PROOFING (H 400x200/66 KG)</v>
          </cell>
          <cell r="E329" t="str">
            <v>M3</v>
          </cell>
          <cell r="F329">
            <v>0</v>
          </cell>
          <cell r="G329">
            <v>2.5</v>
          </cell>
          <cell r="H329">
            <v>1.183875</v>
          </cell>
          <cell r="I329">
            <v>1</v>
          </cell>
          <cell r="J329">
            <v>2.9596875000000002</v>
          </cell>
          <cell r="K329">
            <v>25.6</v>
          </cell>
          <cell r="L329">
            <v>8.65</v>
          </cell>
          <cell r="M329">
            <v>0</v>
          </cell>
          <cell r="N329">
            <v>140.67240654781929</v>
          </cell>
          <cell r="O329">
            <v>0</v>
          </cell>
          <cell r="P329">
            <v>176.68</v>
          </cell>
          <cell r="Q329">
            <v>0</v>
          </cell>
          <cell r="R329">
            <v>2.6</v>
          </cell>
          <cell r="S329">
            <v>0</v>
          </cell>
          <cell r="T329">
            <v>319.95240654781935</v>
          </cell>
          <cell r="U329">
            <v>0</v>
          </cell>
          <cell r="V329">
            <v>2</v>
          </cell>
          <cell r="W329">
            <v>7</v>
          </cell>
          <cell r="Z329">
            <v>0.6</v>
          </cell>
          <cell r="AB329">
            <v>4</v>
          </cell>
          <cell r="AC329">
            <v>1</v>
          </cell>
          <cell r="AD329">
            <v>2</v>
          </cell>
          <cell r="AE329">
            <v>5</v>
          </cell>
          <cell r="AH329">
            <v>2</v>
          </cell>
          <cell r="AI329">
            <v>2</v>
          </cell>
          <cell r="AY329">
            <v>0.05</v>
          </cell>
          <cell r="BH329">
            <v>0.05</v>
          </cell>
          <cell r="BJ329">
            <v>0.02</v>
          </cell>
        </row>
        <row r="330">
          <cell r="C330">
            <v>9090</v>
          </cell>
          <cell r="D330" t="str">
            <v>BEAM FIRE PROOFING (H 500x200/89.6 KG)</v>
          </cell>
          <cell r="E330" t="str">
            <v>M3</v>
          </cell>
          <cell r="F330">
            <v>0</v>
          </cell>
          <cell r="G330">
            <v>2.6</v>
          </cell>
          <cell r="H330">
            <v>1.183875</v>
          </cell>
          <cell r="I330">
            <v>1</v>
          </cell>
          <cell r="J330">
            <v>3.0780750000000001</v>
          </cell>
          <cell r="K330">
            <v>25.6</v>
          </cell>
          <cell r="L330">
            <v>8.3170000000000002</v>
          </cell>
          <cell r="M330">
            <v>0</v>
          </cell>
          <cell r="N330">
            <v>136.81131316066825</v>
          </cell>
          <cell r="O330">
            <v>0</v>
          </cell>
          <cell r="P330">
            <v>169.88</v>
          </cell>
          <cell r="Q330">
            <v>0</v>
          </cell>
          <cell r="R330">
            <v>2.5</v>
          </cell>
          <cell r="S330">
            <v>0</v>
          </cell>
          <cell r="T330">
            <v>309.19131316066824</v>
          </cell>
          <cell r="U330">
            <v>0</v>
          </cell>
          <cell r="V330">
            <v>2</v>
          </cell>
          <cell r="W330">
            <v>7</v>
          </cell>
          <cell r="Z330">
            <v>0.6</v>
          </cell>
          <cell r="AB330">
            <v>4</v>
          </cell>
          <cell r="AC330">
            <v>1</v>
          </cell>
          <cell r="AD330">
            <v>2</v>
          </cell>
          <cell r="AE330">
            <v>5</v>
          </cell>
          <cell r="AH330">
            <v>2</v>
          </cell>
          <cell r="AI330">
            <v>2</v>
          </cell>
          <cell r="AY330">
            <v>0.05</v>
          </cell>
          <cell r="BH330">
            <v>0.05</v>
          </cell>
          <cell r="BJ330">
            <v>0.02</v>
          </cell>
        </row>
        <row r="331">
          <cell r="C331">
            <v>9100</v>
          </cell>
          <cell r="D331" t="str">
            <v>VESSEL FIRE PROOFING (T=50 MM)</v>
          </cell>
          <cell r="E331" t="str">
            <v>M2</v>
          </cell>
          <cell r="F331">
            <v>0</v>
          </cell>
          <cell r="G331">
            <v>75</v>
          </cell>
          <cell r="H331">
            <v>1.183875</v>
          </cell>
          <cell r="I331">
            <v>1</v>
          </cell>
          <cell r="J331">
            <v>88.790625000000006</v>
          </cell>
          <cell r="K331">
            <v>10</v>
          </cell>
          <cell r="L331">
            <v>0.113</v>
          </cell>
          <cell r="M331">
            <v>0</v>
          </cell>
          <cell r="N331">
            <v>13.794900000000002</v>
          </cell>
          <cell r="O331">
            <v>0</v>
          </cell>
          <cell r="P331">
            <v>2.4</v>
          </cell>
          <cell r="Q331">
            <v>0</v>
          </cell>
          <cell r="R331">
            <v>2.52</v>
          </cell>
          <cell r="S331">
            <v>0</v>
          </cell>
          <cell r="T331">
            <v>18.7149</v>
          </cell>
          <cell r="U331">
            <v>0</v>
          </cell>
          <cell r="V331">
            <v>1</v>
          </cell>
          <cell r="W331">
            <v>3</v>
          </cell>
          <cell r="AC331">
            <v>3</v>
          </cell>
          <cell r="AH331">
            <v>3</v>
          </cell>
          <cell r="AY331">
            <v>0.05</v>
          </cell>
          <cell r="BJ331">
            <v>0.02</v>
          </cell>
          <cell r="BN331">
            <v>1</v>
          </cell>
        </row>
        <row r="332">
          <cell r="C332">
            <v>10000</v>
          </cell>
          <cell r="D332" t="str">
            <v>SAND BLASTING</v>
          </cell>
          <cell r="E332" t="str">
            <v>M2</v>
          </cell>
          <cell r="F332">
            <v>0</v>
          </cell>
          <cell r="G332">
            <v>200</v>
          </cell>
          <cell r="H332">
            <v>1.183875</v>
          </cell>
          <cell r="I332">
            <v>1</v>
          </cell>
          <cell r="J332">
            <v>236.77500000000001</v>
          </cell>
          <cell r="K332">
            <v>5.7</v>
          </cell>
          <cell r="L332">
            <v>2.4E-2</v>
          </cell>
          <cell r="M332">
            <v>0</v>
          </cell>
          <cell r="N332">
            <v>0.28000000000000003</v>
          </cell>
          <cell r="O332">
            <v>0</v>
          </cell>
          <cell r="P332">
            <v>0.5</v>
          </cell>
          <cell r="Q332">
            <v>0</v>
          </cell>
          <cell r="R332">
            <v>0.26</v>
          </cell>
          <cell r="S332">
            <v>0</v>
          </cell>
          <cell r="T332">
            <v>1.04</v>
          </cell>
          <cell r="U332">
            <v>0</v>
          </cell>
          <cell r="V332">
            <v>0.5</v>
          </cell>
          <cell r="W332">
            <v>1</v>
          </cell>
          <cell r="Y332">
            <v>1</v>
          </cell>
          <cell r="Z332">
            <v>0.2</v>
          </cell>
          <cell r="AI332">
            <v>3</v>
          </cell>
          <cell r="BH332">
            <v>0.2</v>
          </cell>
          <cell r="BM332">
            <v>1</v>
          </cell>
        </row>
        <row r="333">
          <cell r="C333">
            <v>10010</v>
          </cell>
          <cell r="D333" t="str">
            <v>RED LEAD PAINT (LARGE)</v>
          </cell>
          <cell r="E333" t="str">
            <v>M2</v>
          </cell>
          <cell r="F333">
            <v>0</v>
          </cell>
          <cell r="G333">
            <v>165</v>
          </cell>
          <cell r="H333">
            <v>1.183875</v>
          </cell>
          <cell r="I333">
            <v>1</v>
          </cell>
          <cell r="J333">
            <v>195.33937499999999</v>
          </cell>
          <cell r="K333">
            <v>5.2</v>
          </cell>
          <cell r="L333">
            <v>2.7E-2</v>
          </cell>
          <cell r="M333">
            <v>0</v>
          </cell>
          <cell r="N333">
            <v>0.38002222222222221</v>
          </cell>
          <cell r="O333">
            <v>0</v>
          </cell>
          <cell r="P333">
            <v>0.54</v>
          </cell>
          <cell r="Q333">
            <v>0</v>
          </cell>
          <cell r="R333">
            <v>0.32</v>
          </cell>
          <cell r="S333">
            <v>0</v>
          </cell>
          <cell r="T333">
            <v>1.2400222222222224</v>
          </cell>
          <cell r="U333">
            <v>0</v>
          </cell>
          <cell r="W333">
            <v>1</v>
          </cell>
          <cell r="Y333">
            <v>1</v>
          </cell>
          <cell r="Z333">
            <v>0.2</v>
          </cell>
          <cell r="AI333">
            <v>3</v>
          </cell>
          <cell r="BH333">
            <v>0.2</v>
          </cell>
          <cell r="BM333">
            <v>1</v>
          </cell>
        </row>
        <row r="334">
          <cell r="C334">
            <v>10020</v>
          </cell>
          <cell r="D334" t="str">
            <v>RED LEAD PAINT (SMALL)</v>
          </cell>
          <cell r="E334" t="str">
            <v>M2</v>
          </cell>
          <cell r="F334">
            <v>0</v>
          </cell>
          <cell r="G334">
            <v>20</v>
          </cell>
          <cell r="H334">
            <v>1.183875</v>
          </cell>
          <cell r="I334">
            <v>1</v>
          </cell>
          <cell r="J334">
            <v>23.677500000000002</v>
          </cell>
          <cell r="K334">
            <v>2</v>
          </cell>
          <cell r="L334">
            <v>8.4000000000000005E-2</v>
          </cell>
          <cell r="M334">
            <v>0</v>
          </cell>
          <cell r="N334">
            <v>0.38002222222222221</v>
          </cell>
          <cell r="O334">
            <v>0</v>
          </cell>
          <cell r="P334">
            <v>1.57</v>
          </cell>
          <cell r="Q334">
            <v>0</v>
          </cell>
          <cell r="R334">
            <v>0</v>
          </cell>
          <cell r="S334">
            <v>0</v>
          </cell>
          <cell r="T334">
            <v>1.9500222222222223</v>
          </cell>
          <cell r="U334">
            <v>0</v>
          </cell>
          <cell r="W334">
            <v>1</v>
          </cell>
          <cell r="AI334">
            <v>1</v>
          </cell>
        </row>
        <row r="335">
          <cell r="C335">
            <v>10030</v>
          </cell>
          <cell r="D335" t="str">
            <v>OIL PAINT (LARGE)</v>
          </cell>
          <cell r="E335" t="str">
            <v>M2</v>
          </cell>
          <cell r="F335">
            <v>0</v>
          </cell>
          <cell r="G335">
            <v>180</v>
          </cell>
          <cell r="H335">
            <v>1.183875</v>
          </cell>
          <cell r="I335">
            <v>1</v>
          </cell>
          <cell r="J335">
            <v>213.0975</v>
          </cell>
          <cell r="K335">
            <v>5.2</v>
          </cell>
          <cell r="L335">
            <v>2.4E-2</v>
          </cell>
          <cell r="M335">
            <v>0</v>
          </cell>
          <cell r="N335">
            <v>0.67028888888888882</v>
          </cell>
          <cell r="O335">
            <v>0</v>
          </cell>
          <cell r="P335">
            <v>0.49</v>
          </cell>
          <cell r="Q335">
            <v>0</v>
          </cell>
          <cell r="R335">
            <v>0.28999999999999998</v>
          </cell>
          <cell r="S335">
            <v>0</v>
          </cell>
          <cell r="T335">
            <v>1.4502888888888887</v>
          </cell>
          <cell r="U335">
            <v>0</v>
          </cell>
          <cell r="W335">
            <v>1</v>
          </cell>
          <cell r="Y335">
            <v>1</v>
          </cell>
          <cell r="Z335">
            <v>0.2</v>
          </cell>
          <cell r="AI335">
            <v>3</v>
          </cell>
          <cell r="BH335">
            <v>0.2</v>
          </cell>
          <cell r="BM335">
            <v>1</v>
          </cell>
        </row>
        <row r="336">
          <cell r="C336">
            <v>10040</v>
          </cell>
          <cell r="D336" t="str">
            <v>OIL PAINT (SMALL)</v>
          </cell>
          <cell r="E336" t="str">
            <v>M2</v>
          </cell>
          <cell r="F336">
            <v>0</v>
          </cell>
          <cell r="G336">
            <v>22</v>
          </cell>
          <cell r="H336">
            <v>1.183875</v>
          </cell>
          <cell r="I336">
            <v>1</v>
          </cell>
          <cell r="J336">
            <v>26.045249999999999</v>
          </cell>
          <cell r="K336">
            <v>2</v>
          </cell>
          <cell r="L336">
            <v>7.6999999999999999E-2</v>
          </cell>
          <cell r="M336">
            <v>0</v>
          </cell>
          <cell r="N336">
            <v>0.67028888888888882</v>
          </cell>
          <cell r="O336">
            <v>0</v>
          </cell>
          <cell r="P336">
            <v>1.43</v>
          </cell>
          <cell r="Q336">
            <v>0</v>
          </cell>
          <cell r="R336">
            <v>0</v>
          </cell>
          <cell r="S336">
            <v>0</v>
          </cell>
          <cell r="T336">
            <v>2.1002888888888886</v>
          </cell>
          <cell r="U336">
            <v>0</v>
          </cell>
          <cell r="W336">
            <v>1</v>
          </cell>
          <cell r="AI336">
            <v>1</v>
          </cell>
        </row>
        <row r="337">
          <cell r="C337">
            <v>10050</v>
          </cell>
          <cell r="D337" t="str">
            <v>EPOXY PAINT (2 COAT , LARGE)</v>
          </cell>
          <cell r="E337" t="str">
            <v>M2</v>
          </cell>
          <cell r="F337">
            <v>0</v>
          </cell>
          <cell r="G337">
            <v>160</v>
          </cell>
          <cell r="H337">
            <v>1.183875</v>
          </cell>
          <cell r="I337">
            <v>1</v>
          </cell>
          <cell r="J337">
            <v>189.42000000000002</v>
          </cell>
          <cell r="K337">
            <v>5.2</v>
          </cell>
          <cell r="L337">
            <v>2.7E-2</v>
          </cell>
          <cell r="M337">
            <v>0</v>
          </cell>
          <cell r="N337">
            <v>1.0780000000000001</v>
          </cell>
          <cell r="O337">
            <v>0</v>
          </cell>
          <cell r="P337">
            <v>0.55000000000000004</v>
          </cell>
          <cell r="Q337">
            <v>0</v>
          </cell>
          <cell r="R337">
            <v>0.33</v>
          </cell>
          <cell r="S337">
            <v>0</v>
          </cell>
          <cell r="T337">
            <v>1.9580000000000002</v>
          </cell>
          <cell r="U337">
            <v>0</v>
          </cell>
          <cell r="W337">
            <v>1</v>
          </cell>
          <cell r="Y337">
            <v>1</v>
          </cell>
          <cell r="Z337">
            <v>0.2</v>
          </cell>
          <cell r="AI337">
            <v>3</v>
          </cell>
          <cell r="BH337">
            <v>0.2</v>
          </cell>
          <cell r="BM337">
            <v>1</v>
          </cell>
        </row>
        <row r="338">
          <cell r="C338">
            <v>10060</v>
          </cell>
          <cell r="D338" t="str">
            <v>EPOXY PAINT (SMALL)</v>
          </cell>
          <cell r="E338" t="str">
            <v>M2</v>
          </cell>
          <cell r="F338">
            <v>0</v>
          </cell>
          <cell r="G338">
            <v>20</v>
          </cell>
          <cell r="H338">
            <v>1.183875</v>
          </cell>
          <cell r="I338">
            <v>1</v>
          </cell>
          <cell r="J338">
            <v>23.677500000000002</v>
          </cell>
          <cell r="K338">
            <v>2</v>
          </cell>
          <cell r="L338">
            <v>8.4000000000000005E-2</v>
          </cell>
          <cell r="M338">
            <v>0</v>
          </cell>
          <cell r="N338">
            <v>1.0780000000000001</v>
          </cell>
          <cell r="O338">
            <v>0</v>
          </cell>
          <cell r="P338">
            <v>1.57</v>
          </cell>
          <cell r="Q338">
            <v>0</v>
          </cell>
          <cell r="R338">
            <v>0</v>
          </cell>
          <cell r="S338">
            <v>0</v>
          </cell>
          <cell r="T338">
            <v>2.6480000000000001</v>
          </cell>
          <cell r="U338">
            <v>0</v>
          </cell>
          <cell r="W338">
            <v>1</v>
          </cell>
          <cell r="AI338">
            <v>1</v>
          </cell>
        </row>
        <row r="339">
          <cell r="C339">
            <v>10070</v>
          </cell>
          <cell r="D339" t="str">
            <v>COAL TAR EPOXY PAINT ON H-BEAM</v>
          </cell>
          <cell r="E339" t="str">
            <v>M2</v>
          </cell>
          <cell r="F339">
            <v>0</v>
          </cell>
          <cell r="G339">
            <v>8</v>
          </cell>
          <cell r="H339">
            <v>1.183875</v>
          </cell>
          <cell r="I339">
            <v>1</v>
          </cell>
          <cell r="J339">
            <v>9.4710000000000001</v>
          </cell>
          <cell r="K339">
            <v>2</v>
          </cell>
          <cell r="L339">
            <v>0.21099999999999999</v>
          </cell>
          <cell r="M339">
            <v>0</v>
          </cell>
          <cell r="N339">
            <v>4.5612000000000004</v>
          </cell>
          <cell r="O339">
            <v>0</v>
          </cell>
          <cell r="P339">
            <v>3.93</v>
          </cell>
          <cell r="Q339">
            <v>0</v>
          </cell>
          <cell r="R339">
            <v>0</v>
          </cell>
          <cell r="S339">
            <v>0</v>
          </cell>
          <cell r="T339">
            <v>8.491200000000001</v>
          </cell>
          <cell r="U339">
            <v>0</v>
          </cell>
          <cell r="W339">
            <v>1</v>
          </cell>
          <cell r="AI339">
            <v>1</v>
          </cell>
        </row>
        <row r="340">
          <cell r="G340" t="str">
            <v>BASE</v>
          </cell>
          <cell r="H340" t="str">
            <v>SITE</v>
          </cell>
          <cell r="I340" t="str">
            <v>UNIT</v>
          </cell>
          <cell r="J340" t="str">
            <v>BASE</v>
          </cell>
          <cell r="K340" t="str">
            <v>BASE</v>
          </cell>
          <cell r="L340" t="str">
            <v>UNIT M/D</v>
          </cell>
          <cell r="M340" t="str">
            <v>SUB-TOT.</v>
          </cell>
          <cell r="N340" t="str">
            <v>MAT</v>
          </cell>
          <cell r="O340" t="str">
            <v>MAT</v>
          </cell>
          <cell r="P340" t="str">
            <v>LABOUR</v>
          </cell>
          <cell r="Q340" t="str">
            <v>LABOUR</v>
          </cell>
          <cell r="R340" t="str">
            <v>EQUIP.</v>
          </cell>
          <cell r="S340" t="str">
            <v>EQUIP.</v>
          </cell>
          <cell r="T340" t="str">
            <v>UNIT</v>
          </cell>
          <cell r="V340" t="str">
            <v>FOREMAN</v>
          </cell>
          <cell r="W340" t="str">
            <v>LABOUR</v>
          </cell>
          <cell r="X340" t="str">
            <v>EQUIP.</v>
          </cell>
          <cell r="Y340" t="str">
            <v>M/C</v>
          </cell>
          <cell r="Z340" t="str">
            <v>DRIVER</v>
          </cell>
          <cell r="AA340" t="str">
            <v>PAVIOR</v>
          </cell>
          <cell r="AB340" t="str">
            <v>CONC.</v>
          </cell>
          <cell r="AC340" t="str">
            <v>PLASTER/</v>
          </cell>
          <cell r="AD340" t="str">
            <v>REBAR</v>
          </cell>
          <cell r="AE340" t="str">
            <v>CARPENTER</v>
          </cell>
          <cell r="AF340" t="str">
            <v>RIGGER/</v>
          </cell>
          <cell r="AG340" t="str">
            <v>STEEL</v>
          </cell>
          <cell r="AH340" t="str">
            <v>A/C</v>
          </cell>
          <cell r="AI340" t="str">
            <v>PAINTER</v>
          </cell>
          <cell r="AJ340" t="str">
            <v>PLUMBER/</v>
          </cell>
          <cell r="AK340" t="str">
            <v>BACKHOE</v>
          </cell>
          <cell r="AL340" t="str">
            <v>HYDRO</v>
          </cell>
          <cell r="AM340" t="str">
            <v>DUMP</v>
          </cell>
          <cell r="AN340" t="str">
            <v>CRANE</v>
          </cell>
          <cell r="AO340" t="str">
            <v>CRANE</v>
          </cell>
          <cell r="AP340" t="str">
            <v>DIESEL</v>
          </cell>
          <cell r="AQ340" t="str">
            <v>VIB.</v>
          </cell>
          <cell r="AR340" t="str">
            <v>AUGER</v>
          </cell>
          <cell r="AS340" t="str">
            <v>PAY</v>
          </cell>
          <cell r="AT340" t="str">
            <v>DOZER</v>
          </cell>
          <cell r="AU340" t="str">
            <v>DOZER</v>
          </cell>
          <cell r="AV340" t="str">
            <v>GRADER</v>
          </cell>
          <cell r="AW340" t="str">
            <v>VIB.</v>
          </cell>
          <cell r="AX340" t="str">
            <v>CONC.</v>
          </cell>
          <cell r="AY340" t="str">
            <v>WATER</v>
          </cell>
          <cell r="AZ340" t="str">
            <v>CONC</v>
          </cell>
          <cell r="BA340" t="str">
            <v>CONC.</v>
          </cell>
          <cell r="BB340" t="str">
            <v>BAR BENDER/</v>
          </cell>
          <cell r="BC340" t="str">
            <v>ASPHALT</v>
          </cell>
          <cell r="BD340" t="str">
            <v>ASPHALT</v>
          </cell>
          <cell r="BE340" t="str">
            <v>TIRE</v>
          </cell>
          <cell r="BF340" t="str">
            <v>AIR</v>
          </cell>
          <cell r="BG340" t="str">
            <v>CARGO</v>
          </cell>
          <cell r="BH340" t="str">
            <v>FORK</v>
          </cell>
          <cell r="BI340" t="str">
            <v>CONC</v>
          </cell>
          <cell r="BJ340" t="str">
            <v>WELDING</v>
          </cell>
          <cell r="BK340" t="str">
            <v>WELDING</v>
          </cell>
          <cell r="BL340" t="str">
            <v>GENERATOR</v>
          </cell>
          <cell r="BM340" t="str">
            <v>AIR</v>
          </cell>
          <cell r="BN340" t="str">
            <v>GUNNITE</v>
          </cell>
        </row>
        <row r="341">
          <cell r="C341" t="str">
            <v>CODE NO.</v>
          </cell>
          <cell r="D341" t="str">
            <v>WORK ITEM</v>
          </cell>
          <cell r="E341" t="str">
            <v>UNIT</v>
          </cell>
          <cell r="F341" t="str">
            <v>Q'TY</v>
          </cell>
          <cell r="G341" t="str">
            <v>VOL.</v>
          </cell>
          <cell r="H341" t="str">
            <v>CONDITION</v>
          </cell>
          <cell r="I341" t="str">
            <v>CHANGE</v>
          </cell>
          <cell r="J341" t="str">
            <v>VOL.</v>
          </cell>
          <cell r="K341" t="str">
            <v>M/D</v>
          </cell>
          <cell r="L341" t="str">
            <v>BASE</v>
          </cell>
          <cell r="M341" t="str">
            <v>M/D</v>
          </cell>
          <cell r="N341" t="str">
            <v>U/P</v>
          </cell>
          <cell r="O341" t="str">
            <v>COST</v>
          </cell>
          <cell r="P341" t="str">
            <v>U/P</v>
          </cell>
          <cell r="Q341" t="str">
            <v>COST</v>
          </cell>
          <cell r="R341" t="str">
            <v>U/P</v>
          </cell>
          <cell r="S341" t="str">
            <v>COST</v>
          </cell>
          <cell r="T341" t="str">
            <v>TOTAL</v>
          </cell>
          <cell r="U341" t="str">
            <v>TOTAL</v>
          </cell>
          <cell r="X341" t="str">
            <v>OPERATOR</v>
          </cell>
          <cell r="Y341" t="str">
            <v>OPERATOR</v>
          </cell>
          <cell r="AB341" t="str">
            <v>WORKER</v>
          </cell>
          <cell r="AC341" t="str">
            <v>BRICK/</v>
          </cell>
          <cell r="AD341" t="str">
            <v>WORKER</v>
          </cell>
          <cell r="AF341" t="str">
            <v>SCAFFOLDER</v>
          </cell>
          <cell r="AG341" t="str">
            <v>WORKER</v>
          </cell>
          <cell r="AH341" t="str">
            <v>WELDER</v>
          </cell>
          <cell r="AJ341" t="str">
            <v>P. FITTER</v>
          </cell>
          <cell r="AL341" t="str">
            <v>BREAKER</v>
          </cell>
          <cell r="AM341" t="str">
            <v>TRUCK</v>
          </cell>
          <cell r="AN341" t="str">
            <v>WHEEL</v>
          </cell>
          <cell r="AO341" t="str">
            <v>CRAWLER</v>
          </cell>
          <cell r="AP341" t="str">
            <v>PILE HAMMER</v>
          </cell>
          <cell r="AQ341" t="str">
            <v>HAMMER</v>
          </cell>
          <cell r="AR341" t="str">
            <v>BORING M/C</v>
          </cell>
          <cell r="AS341" t="str">
            <v>LOADER</v>
          </cell>
          <cell r="AW341" t="str">
            <v>ROLLER</v>
          </cell>
          <cell r="AX341" t="str">
            <v>PUMP CAR</v>
          </cell>
          <cell r="AY341" t="str">
            <v>TRUCK</v>
          </cell>
          <cell r="AZ341" t="str">
            <v>MIXER TRUCK</v>
          </cell>
          <cell r="BA341" t="str">
            <v>MIXER</v>
          </cell>
          <cell r="BB341" t="str">
            <v>CUTTER</v>
          </cell>
          <cell r="BC341" t="str">
            <v>DISTRIBUTOR</v>
          </cell>
          <cell r="BD341" t="str">
            <v>FINISHER</v>
          </cell>
          <cell r="BE341" t="str">
            <v>ROLLER</v>
          </cell>
          <cell r="BF341" t="str">
            <v>COMPRESSOR</v>
          </cell>
          <cell r="BG341" t="str">
            <v>TRUCK</v>
          </cell>
          <cell r="BH341" t="str">
            <v>LIFT</v>
          </cell>
          <cell r="BI341" t="str">
            <v>BATCH PLANT</v>
          </cell>
          <cell r="BJ341" t="str">
            <v xml:space="preserve">M/C </v>
          </cell>
          <cell r="BK341" t="str">
            <v xml:space="preserve">M/C </v>
          </cell>
          <cell r="BM341" t="str">
            <v>COMPRESSOR</v>
          </cell>
        </row>
        <row r="342">
          <cell r="H342" t="str">
            <v>CHANGE</v>
          </cell>
          <cell r="AC342" t="str">
            <v>W.PROOFER</v>
          </cell>
          <cell r="AK342" t="str">
            <v>0.7 M3</v>
          </cell>
          <cell r="AL342" t="str">
            <v>0.7 M3</v>
          </cell>
          <cell r="AM342" t="str">
            <v>15 TON</v>
          </cell>
          <cell r="AN342" t="str">
            <v>25 TON</v>
          </cell>
          <cell r="AO342" t="str">
            <v>50 TON</v>
          </cell>
          <cell r="AP342" t="str">
            <v>3.2 TON</v>
          </cell>
          <cell r="AQ342" t="str">
            <v>3.2 TON</v>
          </cell>
          <cell r="AR342" t="str">
            <v>50 TON</v>
          </cell>
          <cell r="AS342" t="str">
            <v>2.4 M3</v>
          </cell>
          <cell r="AT342" t="str">
            <v>19 TON</v>
          </cell>
          <cell r="AU342" t="str">
            <v>32 TON</v>
          </cell>
          <cell r="AV342" t="str">
            <v>3.6 M</v>
          </cell>
          <cell r="AW342" t="str">
            <v>10 TON</v>
          </cell>
          <cell r="AX342" t="str">
            <v>80 M3/HR</v>
          </cell>
          <cell r="AY342" t="str">
            <v>10 M3</v>
          </cell>
          <cell r="AZ342" t="str">
            <v>6 M3</v>
          </cell>
          <cell r="BA342" t="str">
            <v>0.3 M3</v>
          </cell>
          <cell r="BB342" t="str">
            <v>D32 MM</v>
          </cell>
          <cell r="BC342" t="str">
            <v>3800 L</v>
          </cell>
          <cell r="BD342" t="str">
            <v>3 M</v>
          </cell>
          <cell r="BE342" t="str">
            <v>15 TON</v>
          </cell>
          <cell r="BF342" t="str">
            <v>250 CFM</v>
          </cell>
          <cell r="BG342" t="str">
            <v>11 TON</v>
          </cell>
          <cell r="BH342" t="str">
            <v>2.5 TON</v>
          </cell>
          <cell r="BI342" t="str">
            <v>60 M3/HR</v>
          </cell>
          <cell r="BJ342" t="str">
            <v>200 A.</v>
          </cell>
          <cell r="BL342" t="str">
            <v>115 KW</v>
          </cell>
          <cell r="BM342" t="str">
            <v>125 CFM</v>
          </cell>
          <cell r="BN342" t="str">
            <v>SET</v>
          </cell>
        </row>
        <row r="343">
          <cell r="I343">
            <v>0</v>
          </cell>
          <cell r="T343">
            <v>0</v>
          </cell>
          <cell r="U343">
            <v>0</v>
          </cell>
        </row>
        <row r="344">
          <cell r="C344">
            <v>11000</v>
          </cell>
          <cell r="D344" t="str">
            <v>CARBONE STEEL PIPE (D=1/2")</v>
          </cell>
          <cell r="E344" t="str">
            <v>M</v>
          </cell>
          <cell r="F344">
            <v>0</v>
          </cell>
          <cell r="G344">
            <v>150</v>
          </cell>
          <cell r="H344">
            <v>1.183875</v>
          </cell>
          <cell r="I344">
            <v>1</v>
          </cell>
          <cell r="J344">
            <v>177.58125000000001</v>
          </cell>
          <cell r="K344">
            <v>5.5</v>
          </cell>
          <cell r="L344">
            <v>3.1E-2</v>
          </cell>
          <cell r="M344">
            <v>0</v>
          </cell>
          <cell r="N344">
            <v>2.11</v>
          </cell>
          <cell r="O344">
            <v>0</v>
          </cell>
          <cell r="P344">
            <v>0.65</v>
          </cell>
          <cell r="Q344">
            <v>0</v>
          </cell>
          <cell r="R344">
            <v>0.02</v>
          </cell>
          <cell r="S344">
            <v>0</v>
          </cell>
          <cell r="T344">
            <v>2.78</v>
          </cell>
          <cell r="U344">
            <v>0</v>
          </cell>
          <cell r="V344">
            <v>0.5</v>
          </cell>
          <cell r="W344">
            <v>2</v>
          </cell>
          <cell r="AH344">
            <v>2</v>
          </cell>
          <cell r="AJ344">
            <v>1</v>
          </cell>
          <cell r="BJ344">
            <v>0.01</v>
          </cell>
          <cell r="BL344">
            <v>0.02</v>
          </cell>
        </row>
        <row r="345">
          <cell r="C345">
            <v>11005</v>
          </cell>
          <cell r="D345" t="str">
            <v>CARBONE STEEL PIPE (D=3/4")</v>
          </cell>
          <cell r="E345" t="str">
            <v>M</v>
          </cell>
          <cell r="F345">
            <v>0</v>
          </cell>
          <cell r="G345">
            <v>125</v>
          </cell>
          <cell r="H345">
            <v>1.183875</v>
          </cell>
          <cell r="I345">
            <v>1</v>
          </cell>
          <cell r="J345">
            <v>147.984375</v>
          </cell>
          <cell r="K345">
            <v>5.5</v>
          </cell>
          <cell r="L345">
            <v>3.6999999999999998E-2</v>
          </cell>
          <cell r="M345">
            <v>0</v>
          </cell>
          <cell r="N345">
            <v>2.64</v>
          </cell>
          <cell r="O345">
            <v>0</v>
          </cell>
          <cell r="P345">
            <v>0.77</v>
          </cell>
          <cell r="Q345">
            <v>0</v>
          </cell>
          <cell r="R345">
            <v>0.02</v>
          </cell>
          <cell r="S345">
            <v>0</v>
          </cell>
          <cell r="T345">
            <v>3.43</v>
          </cell>
          <cell r="U345">
            <v>0</v>
          </cell>
          <cell r="V345">
            <v>0.5</v>
          </cell>
          <cell r="W345">
            <v>2</v>
          </cell>
          <cell r="AH345">
            <v>2</v>
          </cell>
          <cell r="AJ345">
            <v>1</v>
          </cell>
          <cell r="BJ345">
            <v>0.01</v>
          </cell>
          <cell r="BL345">
            <v>0.02</v>
          </cell>
        </row>
        <row r="346">
          <cell r="C346">
            <v>11010</v>
          </cell>
          <cell r="D346" t="str">
            <v>CARBONE STEEL PIPE (D=  1")</v>
          </cell>
          <cell r="E346" t="str">
            <v>M</v>
          </cell>
          <cell r="F346">
            <v>0</v>
          </cell>
          <cell r="G346">
            <v>115</v>
          </cell>
          <cell r="H346">
            <v>1.183875</v>
          </cell>
          <cell r="I346">
            <v>1</v>
          </cell>
          <cell r="J346">
            <v>136.145625</v>
          </cell>
          <cell r="K346">
            <v>5.5</v>
          </cell>
          <cell r="L346">
            <v>0.04</v>
          </cell>
          <cell r="M346">
            <v>0</v>
          </cell>
          <cell r="N346">
            <v>3.96</v>
          </cell>
          <cell r="O346">
            <v>0</v>
          </cell>
          <cell r="P346">
            <v>0.84</v>
          </cell>
          <cell r="Q346">
            <v>0</v>
          </cell>
          <cell r="R346">
            <v>0.02</v>
          </cell>
          <cell r="S346">
            <v>0</v>
          </cell>
          <cell r="T346">
            <v>4.8199999999999994</v>
          </cell>
          <cell r="U346">
            <v>0</v>
          </cell>
          <cell r="V346">
            <v>0.5</v>
          </cell>
          <cell r="W346">
            <v>2</v>
          </cell>
          <cell r="AH346">
            <v>2</v>
          </cell>
          <cell r="AJ346">
            <v>1</v>
          </cell>
          <cell r="BJ346">
            <v>0.01</v>
          </cell>
          <cell r="BL346">
            <v>0.02</v>
          </cell>
        </row>
        <row r="347">
          <cell r="C347">
            <v>11015</v>
          </cell>
          <cell r="D347" t="str">
            <v>CARBONE STEEL PIPE (D=1.5")</v>
          </cell>
          <cell r="E347" t="str">
            <v>M</v>
          </cell>
          <cell r="F347">
            <v>0</v>
          </cell>
          <cell r="G347">
            <v>105</v>
          </cell>
          <cell r="H347">
            <v>1.183875</v>
          </cell>
          <cell r="I347">
            <v>1</v>
          </cell>
          <cell r="J347">
            <v>124.30687500000001</v>
          </cell>
          <cell r="K347">
            <v>5.5</v>
          </cell>
          <cell r="L347">
            <v>4.3999999999999997E-2</v>
          </cell>
          <cell r="M347">
            <v>0</v>
          </cell>
          <cell r="N347">
            <v>7.64</v>
          </cell>
          <cell r="O347">
            <v>0</v>
          </cell>
          <cell r="P347">
            <v>0.92</v>
          </cell>
          <cell r="Q347">
            <v>0</v>
          </cell>
          <cell r="R347">
            <v>0.02</v>
          </cell>
          <cell r="S347">
            <v>0</v>
          </cell>
          <cell r="T347">
            <v>8.58</v>
          </cell>
          <cell r="U347">
            <v>0</v>
          </cell>
          <cell r="V347">
            <v>0.5</v>
          </cell>
          <cell r="W347">
            <v>2</v>
          </cell>
          <cell r="AH347">
            <v>2</v>
          </cell>
          <cell r="AJ347">
            <v>1</v>
          </cell>
          <cell r="BJ347">
            <v>0.01</v>
          </cell>
          <cell r="BL347">
            <v>0.02</v>
          </cell>
        </row>
        <row r="348">
          <cell r="C348">
            <v>11020</v>
          </cell>
          <cell r="D348" t="str">
            <v>CARBONE STEEL PIPE (D=  2")</v>
          </cell>
          <cell r="E348" t="str">
            <v>M</v>
          </cell>
          <cell r="F348">
            <v>0</v>
          </cell>
          <cell r="G348">
            <v>78</v>
          </cell>
          <cell r="H348">
            <v>1.183875</v>
          </cell>
          <cell r="I348">
            <v>1</v>
          </cell>
          <cell r="J348">
            <v>92.342250000000007</v>
          </cell>
          <cell r="K348">
            <v>5.5</v>
          </cell>
          <cell r="L348">
            <v>0.06</v>
          </cell>
          <cell r="M348">
            <v>0</v>
          </cell>
          <cell r="N348">
            <v>8.86</v>
          </cell>
          <cell r="O348">
            <v>0</v>
          </cell>
          <cell r="P348">
            <v>1.24</v>
          </cell>
          <cell r="Q348">
            <v>0</v>
          </cell>
          <cell r="R348">
            <v>0.03</v>
          </cell>
          <cell r="S348">
            <v>0</v>
          </cell>
          <cell r="T348">
            <v>10.129999999999999</v>
          </cell>
          <cell r="U348">
            <v>0</v>
          </cell>
          <cell r="V348">
            <v>0.5</v>
          </cell>
          <cell r="W348">
            <v>2</v>
          </cell>
          <cell r="AH348">
            <v>2</v>
          </cell>
          <cell r="AJ348">
            <v>1</v>
          </cell>
          <cell r="BJ348">
            <v>0.01</v>
          </cell>
          <cell r="BL348">
            <v>0.02</v>
          </cell>
        </row>
        <row r="349">
          <cell r="C349">
            <v>11025</v>
          </cell>
          <cell r="D349" t="str">
            <v>CARBONE STEEL PIPE (D=2.5")</v>
          </cell>
          <cell r="E349" t="str">
            <v>M</v>
          </cell>
          <cell r="F349">
            <v>0</v>
          </cell>
          <cell r="G349">
            <v>50</v>
          </cell>
          <cell r="H349">
            <v>1.183875</v>
          </cell>
          <cell r="I349">
            <v>1</v>
          </cell>
          <cell r="J349">
            <v>59.193750000000001</v>
          </cell>
          <cell r="K349">
            <v>5.5</v>
          </cell>
          <cell r="L349">
            <v>9.2999999999999999E-2</v>
          </cell>
          <cell r="M349">
            <v>0</v>
          </cell>
          <cell r="N349">
            <v>13.97</v>
          </cell>
          <cell r="O349">
            <v>0</v>
          </cell>
          <cell r="P349">
            <v>1.94</v>
          </cell>
          <cell r="Q349">
            <v>0</v>
          </cell>
          <cell r="R349">
            <v>0.05</v>
          </cell>
          <cell r="S349">
            <v>0</v>
          </cell>
          <cell r="T349">
            <v>15.96</v>
          </cell>
          <cell r="U349">
            <v>0</v>
          </cell>
          <cell r="V349">
            <v>0.5</v>
          </cell>
          <cell r="W349">
            <v>2</v>
          </cell>
          <cell r="AH349">
            <v>2</v>
          </cell>
          <cell r="AJ349">
            <v>1</v>
          </cell>
          <cell r="BJ349">
            <v>0.01</v>
          </cell>
          <cell r="BL349">
            <v>0.02</v>
          </cell>
        </row>
        <row r="350">
          <cell r="C350">
            <v>11030</v>
          </cell>
          <cell r="D350" t="str">
            <v>CARBONE STEEL PIPE (D=  3")</v>
          </cell>
          <cell r="E350" t="str">
            <v>M</v>
          </cell>
          <cell r="F350">
            <v>0</v>
          </cell>
          <cell r="G350">
            <v>32</v>
          </cell>
          <cell r="H350">
            <v>1.183875</v>
          </cell>
          <cell r="I350">
            <v>1</v>
          </cell>
          <cell r="J350">
            <v>37.884</v>
          </cell>
          <cell r="K350">
            <v>5.5</v>
          </cell>
          <cell r="L350">
            <v>0.14499999999999999</v>
          </cell>
          <cell r="M350">
            <v>0</v>
          </cell>
          <cell r="N350">
            <v>15.82</v>
          </cell>
          <cell r="O350">
            <v>0</v>
          </cell>
          <cell r="P350">
            <v>3.03</v>
          </cell>
          <cell r="Q350">
            <v>0</v>
          </cell>
          <cell r="R350">
            <v>0.08</v>
          </cell>
          <cell r="S350">
            <v>0</v>
          </cell>
          <cell r="T350">
            <v>18.93</v>
          </cell>
          <cell r="U350">
            <v>0</v>
          </cell>
          <cell r="V350">
            <v>0.5</v>
          </cell>
          <cell r="W350">
            <v>2</v>
          </cell>
          <cell r="AH350">
            <v>2</v>
          </cell>
          <cell r="AJ350">
            <v>1</v>
          </cell>
          <cell r="BJ350">
            <v>0.01</v>
          </cell>
          <cell r="BL350">
            <v>0.02</v>
          </cell>
        </row>
        <row r="351">
          <cell r="C351">
            <v>11035</v>
          </cell>
          <cell r="D351" t="str">
            <v>CARBONE STEEL PIPE (D=  4")</v>
          </cell>
          <cell r="E351" t="str">
            <v>M</v>
          </cell>
          <cell r="F351">
            <v>0</v>
          </cell>
          <cell r="G351">
            <v>25</v>
          </cell>
          <cell r="H351">
            <v>1.183875</v>
          </cell>
          <cell r="I351">
            <v>1</v>
          </cell>
          <cell r="J351">
            <v>29.596875000000001</v>
          </cell>
          <cell r="K351">
            <v>5.5</v>
          </cell>
          <cell r="L351">
            <v>0.186</v>
          </cell>
          <cell r="M351">
            <v>0</v>
          </cell>
          <cell r="N351">
            <v>22.94</v>
          </cell>
          <cell r="O351">
            <v>0</v>
          </cell>
          <cell r="P351">
            <v>3.87</v>
          </cell>
          <cell r="Q351">
            <v>0</v>
          </cell>
          <cell r="R351">
            <v>0.1</v>
          </cell>
          <cell r="S351">
            <v>0</v>
          </cell>
          <cell r="T351">
            <v>26.910000000000004</v>
          </cell>
          <cell r="U351">
            <v>0</v>
          </cell>
          <cell r="V351">
            <v>0.5</v>
          </cell>
          <cell r="W351">
            <v>2</v>
          </cell>
          <cell r="AH351">
            <v>2</v>
          </cell>
          <cell r="AJ351">
            <v>1</v>
          </cell>
          <cell r="BJ351">
            <v>0.01</v>
          </cell>
          <cell r="BL351">
            <v>0.02</v>
          </cell>
        </row>
        <row r="352">
          <cell r="C352">
            <v>11040</v>
          </cell>
          <cell r="D352" t="str">
            <v>CARBONE STEEL PIPE (D=  6")</v>
          </cell>
          <cell r="E352" t="str">
            <v>M</v>
          </cell>
          <cell r="F352">
            <v>0</v>
          </cell>
          <cell r="G352">
            <v>20</v>
          </cell>
          <cell r="H352">
            <v>1.183875</v>
          </cell>
          <cell r="I352">
            <v>1</v>
          </cell>
          <cell r="J352">
            <v>23.677500000000002</v>
          </cell>
          <cell r="K352">
            <v>5.5</v>
          </cell>
          <cell r="L352">
            <v>0.23200000000000001</v>
          </cell>
          <cell r="M352">
            <v>0</v>
          </cell>
          <cell r="N352">
            <v>40.06</v>
          </cell>
          <cell r="O352">
            <v>0</v>
          </cell>
          <cell r="P352">
            <v>4.84</v>
          </cell>
          <cell r="Q352">
            <v>0</v>
          </cell>
          <cell r="R352">
            <v>0.12</v>
          </cell>
          <cell r="S352">
            <v>0</v>
          </cell>
          <cell r="T352">
            <v>45.02</v>
          </cell>
          <cell r="U352">
            <v>0</v>
          </cell>
          <cell r="V352">
            <v>0.5</v>
          </cell>
          <cell r="W352">
            <v>2</v>
          </cell>
          <cell r="AH352">
            <v>2</v>
          </cell>
          <cell r="AJ352">
            <v>1</v>
          </cell>
          <cell r="BJ352">
            <v>0.01</v>
          </cell>
          <cell r="BL352">
            <v>0.02</v>
          </cell>
        </row>
        <row r="353">
          <cell r="C353">
            <v>11045</v>
          </cell>
          <cell r="D353" t="str">
            <v>CARBONE STEEL PIPE (D=  8")</v>
          </cell>
          <cell r="E353" t="str">
            <v>M</v>
          </cell>
          <cell r="F353">
            <v>0</v>
          </cell>
          <cell r="G353">
            <v>18</v>
          </cell>
          <cell r="H353">
            <v>1.183875</v>
          </cell>
          <cell r="I353">
            <v>1</v>
          </cell>
          <cell r="J353">
            <v>21.309750000000001</v>
          </cell>
          <cell r="K353">
            <v>5.5</v>
          </cell>
          <cell r="L353">
            <v>0.25800000000000001</v>
          </cell>
          <cell r="M353">
            <v>0</v>
          </cell>
          <cell r="N353">
            <v>60.15</v>
          </cell>
          <cell r="O353">
            <v>0</v>
          </cell>
          <cell r="P353">
            <v>5.38</v>
          </cell>
          <cell r="Q353">
            <v>0</v>
          </cell>
          <cell r="R353">
            <v>0.13</v>
          </cell>
          <cell r="S353">
            <v>0</v>
          </cell>
          <cell r="T353">
            <v>65.66</v>
          </cell>
          <cell r="U353">
            <v>0</v>
          </cell>
          <cell r="V353">
            <v>0.5</v>
          </cell>
          <cell r="W353">
            <v>2</v>
          </cell>
          <cell r="AH353">
            <v>2</v>
          </cell>
          <cell r="AJ353">
            <v>1</v>
          </cell>
          <cell r="BJ353">
            <v>0.01</v>
          </cell>
          <cell r="BL353">
            <v>0.02</v>
          </cell>
        </row>
        <row r="354">
          <cell r="C354">
            <v>11050</v>
          </cell>
          <cell r="D354" t="str">
            <v>CARBONE STEEL PIPE (D= 10")</v>
          </cell>
          <cell r="E354" t="str">
            <v>M</v>
          </cell>
          <cell r="F354">
            <v>0</v>
          </cell>
          <cell r="G354">
            <v>15</v>
          </cell>
          <cell r="H354">
            <v>1.183875</v>
          </cell>
          <cell r="I354">
            <v>1</v>
          </cell>
          <cell r="J354">
            <v>17.758125</v>
          </cell>
          <cell r="K354">
            <v>6.6</v>
          </cell>
          <cell r="L354">
            <v>0.372</v>
          </cell>
          <cell r="M354">
            <v>0</v>
          </cell>
          <cell r="N354">
            <v>85.46</v>
          </cell>
          <cell r="O354">
            <v>0</v>
          </cell>
          <cell r="P354">
            <v>7.78</v>
          </cell>
          <cell r="Q354">
            <v>0</v>
          </cell>
          <cell r="R354">
            <v>1.86</v>
          </cell>
          <cell r="S354">
            <v>0</v>
          </cell>
          <cell r="T354">
            <v>95.1</v>
          </cell>
          <cell r="U354">
            <v>0</v>
          </cell>
          <cell r="V354">
            <v>0.5</v>
          </cell>
          <cell r="W354">
            <v>2</v>
          </cell>
          <cell r="X354">
            <v>0.1</v>
          </cell>
          <cell r="AF354">
            <v>1</v>
          </cell>
          <cell r="AH354">
            <v>2</v>
          </cell>
          <cell r="AJ354">
            <v>1</v>
          </cell>
          <cell r="AN354">
            <v>0.1</v>
          </cell>
          <cell r="BJ354">
            <v>0.01</v>
          </cell>
          <cell r="BL354">
            <v>0.02</v>
          </cell>
        </row>
        <row r="355">
          <cell r="C355">
            <v>11055</v>
          </cell>
          <cell r="D355" t="str">
            <v>CARBONE STEEL PIPE (D= 12")</v>
          </cell>
          <cell r="E355" t="str">
            <v>M</v>
          </cell>
          <cell r="F355">
            <v>0</v>
          </cell>
          <cell r="G355">
            <v>12</v>
          </cell>
          <cell r="H355">
            <v>1.183875</v>
          </cell>
          <cell r="I355">
            <v>1</v>
          </cell>
          <cell r="J355">
            <v>14.2065</v>
          </cell>
          <cell r="K355">
            <v>6.6</v>
          </cell>
          <cell r="L355">
            <v>0.46500000000000002</v>
          </cell>
          <cell r="M355">
            <v>0</v>
          </cell>
          <cell r="N355">
            <v>125.06</v>
          </cell>
          <cell r="O355">
            <v>0</v>
          </cell>
          <cell r="P355">
            <v>9.7200000000000006</v>
          </cell>
          <cell r="Q355">
            <v>0</v>
          </cell>
          <cell r="R355">
            <v>2.3199999999999998</v>
          </cell>
          <cell r="S355">
            <v>0</v>
          </cell>
          <cell r="T355">
            <v>137.1</v>
          </cell>
          <cell r="U355">
            <v>0</v>
          </cell>
          <cell r="V355">
            <v>0.5</v>
          </cell>
          <cell r="W355">
            <v>2</v>
          </cell>
          <cell r="X355">
            <v>0.1</v>
          </cell>
          <cell r="AF355">
            <v>1</v>
          </cell>
          <cell r="AH355">
            <v>2</v>
          </cell>
          <cell r="AJ355">
            <v>1</v>
          </cell>
          <cell r="AN355">
            <v>0.1</v>
          </cell>
          <cell r="BJ355">
            <v>0.01</v>
          </cell>
          <cell r="BL355">
            <v>0.02</v>
          </cell>
        </row>
        <row r="356">
          <cell r="C356">
            <v>11060</v>
          </cell>
          <cell r="D356" t="str">
            <v>CARBONE STEEL PIPE (D= 14")</v>
          </cell>
          <cell r="E356" t="str">
            <v>M</v>
          </cell>
          <cell r="F356">
            <v>0</v>
          </cell>
          <cell r="G356">
            <v>11</v>
          </cell>
          <cell r="H356">
            <v>1.183875</v>
          </cell>
          <cell r="I356">
            <v>1</v>
          </cell>
          <cell r="J356">
            <v>13.022625</v>
          </cell>
          <cell r="K356">
            <v>6.6</v>
          </cell>
          <cell r="L356">
            <v>0.50700000000000001</v>
          </cell>
          <cell r="M356">
            <v>0</v>
          </cell>
          <cell r="N356">
            <v>126.56</v>
          </cell>
          <cell r="O356">
            <v>0</v>
          </cell>
          <cell r="P356">
            <v>10.61</v>
          </cell>
          <cell r="Q356">
            <v>0</v>
          </cell>
          <cell r="R356">
            <v>2.5299999999999998</v>
          </cell>
          <cell r="S356">
            <v>0</v>
          </cell>
          <cell r="T356">
            <v>139.70000000000002</v>
          </cell>
          <cell r="U356">
            <v>0</v>
          </cell>
          <cell r="V356">
            <v>0.5</v>
          </cell>
          <cell r="W356">
            <v>2</v>
          </cell>
          <cell r="X356">
            <v>0.1</v>
          </cell>
          <cell r="AF356">
            <v>1</v>
          </cell>
          <cell r="AH356">
            <v>2</v>
          </cell>
          <cell r="AJ356">
            <v>1</v>
          </cell>
          <cell r="AN356">
            <v>0.1</v>
          </cell>
          <cell r="BJ356">
            <v>0.01</v>
          </cell>
          <cell r="BL356">
            <v>0.02</v>
          </cell>
        </row>
        <row r="357">
          <cell r="C357">
            <v>11065</v>
          </cell>
          <cell r="D357" t="str">
            <v>CARBONE STEEL PIPE (D= 16")</v>
          </cell>
          <cell r="E357" t="str">
            <v>M</v>
          </cell>
          <cell r="F357">
            <v>0</v>
          </cell>
          <cell r="G357">
            <v>10.5</v>
          </cell>
          <cell r="H357">
            <v>1.183875</v>
          </cell>
          <cell r="I357">
            <v>1</v>
          </cell>
          <cell r="J357">
            <v>12.430687499999999</v>
          </cell>
          <cell r="K357">
            <v>6.6</v>
          </cell>
          <cell r="L357">
            <v>0.53100000000000003</v>
          </cell>
          <cell r="M357">
            <v>0</v>
          </cell>
          <cell r="N357">
            <v>128.13999999999999</v>
          </cell>
          <cell r="O357">
            <v>0</v>
          </cell>
          <cell r="P357">
            <v>11.11</v>
          </cell>
          <cell r="Q357">
            <v>0</v>
          </cell>
          <cell r="R357">
            <v>2.65</v>
          </cell>
          <cell r="S357">
            <v>0</v>
          </cell>
          <cell r="T357">
            <v>141.9</v>
          </cell>
          <cell r="U357">
            <v>0</v>
          </cell>
          <cell r="V357">
            <v>0.5</v>
          </cell>
          <cell r="W357">
            <v>2</v>
          </cell>
          <cell r="X357">
            <v>0.1</v>
          </cell>
          <cell r="AF357">
            <v>1</v>
          </cell>
          <cell r="AH357">
            <v>2</v>
          </cell>
          <cell r="AJ357">
            <v>1</v>
          </cell>
          <cell r="AN357">
            <v>0.1</v>
          </cell>
          <cell r="BJ357">
            <v>0.01</v>
          </cell>
          <cell r="BL357">
            <v>0.02</v>
          </cell>
        </row>
        <row r="358">
          <cell r="C358">
            <v>11070</v>
          </cell>
          <cell r="D358" t="str">
            <v>CARBONE STEEL PIPE (D= 18")</v>
          </cell>
          <cell r="E358" t="str">
            <v>M</v>
          </cell>
          <cell r="F358">
            <v>0</v>
          </cell>
          <cell r="G358">
            <v>10</v>
          </cell>
          <cell r="H358">
            <v>1.183875</v>
          </cell>
          <cell r="I358">
            <v>1</v>
          </cell>
          <cell r="J358">
            <v>11.838750000000001</v>
          </cell>
          <cell r="K358">
            <v>6.6</v>
          </cell>
          <cell r="L358">
            <v>0.55700000000000005</v>
          </cell>
          <cell r="M358">
            <v>0</v>
          </cell>
          <cell r="N358">
            <v>237.3</v>
          </cell>
          <cell r="O358">
            <v>0</v>
          </cell>
          <cell r="P358">
            <v>11.67</v>
          </cell>
          <cell r="Q358">
            <v>0</v>
          </cell>
          <cell r="R358">
            <v>2.78</v>
          </cell>
          <cell r="S358">
            <v>0</v>
          </cell>
          <cell r="T358">
            <v>251.75</v>
          </cell>
          <cell r="U358">
            <v>0</v>
          </cell>
          <cell r="V358">
            <v>0.5</v>
          </cell>
          <cell r="W358">
            <v>2</v>
          </cell>
          <cell r="X358">
            <v>0.1</v>
          </cell>
          <cell r="AF358">
            <v>1</v>
          </cell>
          <cell r="AH358">
            <v>2</v>
          </cell>
          <cell r="AJ358">
            <v>1</v>
          </cell>
          <cell r="AN358">
            <v>0.1</v>
          </cell>
          <cell r="BJ358">
            <v>0.01</v>
          </cell>
          <cell r="BL358">
            <v>0.02</v>
          </cell>
        </row>
        <row r="359">
          <cell r="C359">
            <v>11075</v>
          </cell>
          <cell r="D359" t="str">
            <v>CARBONE STEEL PIPE (D= 20")</v>
          </cell>
          <cell r="E359" t="str">
            <v>M</v>
          </cell>
          <cell r="F359">
            <v>0</v>
          </cell>
          <cell r="G359">
            <v>9</v>
          </cell>
          <cell r="H359">
            <v>1.183875</v>
          </cell>
          <cell r="I359">
            <v>1</v>
          </cell>
          <cell r="J359">
            <v>10.654875000000001</v>
          </cell>
          <cell r="K359">
            <v>6.6</v>
          </cell>
          <cell r="L359">
            <v>0.61899999999999999</v>
          </cell>
          <cell r="M359">
            <v>0</v>
          </cell>
          <cell r="N359">
            <v>276.85000000000002</v>
          </cell>
          <cell r="O359">
            <v>0</v>
          </cell>
          <cell r="P359">
            <v>12.97</v>
          </cell>
          <cell r="Q359">
            <v>0</v>
          </cell>
          <cell r="R359">
            <v>3.09</v>
          </cell>
          <cell r="S359">
            <v>0</v>
          </cell>
          <cell r="T359">
            <v>292.91000000000003</v>
          </cell>
          <cell r="U359">
            <v>0</v>
          </cell>
          <cell r="V359">
            <v>0.5</v>
          </cell>
          <cell r="W359">
            <v>2</v>
          </cell>
          <cell r="X359">
            <v>0.1</v>
          </cell>
          <cell r="AF359">
            <v>1</v>
          </cell>
          <cell r="AH359">
            <v>2</v>
          </cell>
          <cell r="AJ359">
            <v>1</v>
          </cell>
          <cell r="AN359">
            <v>0.1</v>
          </cell>
          <cell r="BJ359">
            <v>0.01</v>
          </cell>
          <cell r="BL359">
            <v>0.02</v>
          </cell>
        </row>
        <row r="360">
          <cell r="C360">
            <v>11080</v>
          </cell>
          <cell r="D360" t="str">
            <v>CARBONE STEEL PIPE (D= 24")</v>
          </cell>
          <cell r="E360" t="str">
            <v>M</v>
          </cell>
          <cell r="F360">
            <v>0</v>
          </cell>
          <cell r="G360">
            <v>7.5</v>
          </cell>
          <cell r="H360">
            <v>1.183875</v>
          </cell>
          <cell r="I360">
            <v>1</v>
          </cell>
          <cell r="J360">
            <v>8.8790624999999999</v>
          </cell>
          <cell r="K360">
            <v>6.6</v>
          </cell>
          <cell r="L360">
            <v>0.74299999999999999</v>
          </cell>
          <cell r="M360">
            <v>0</v>
          </cell>
          <cell r="N360">
            <v>332.22</v>
          </cell>
          <cell r="O360">
            <v>0</v>
          </cell>
          <cell r="P360">
            <v>15.56</v>
          </cell>
          <cell r="Q360">
            <v>0</v>
          </cell>
          <cell r="R360">
            <v>3.71</v>
          </cell>
          <cell r="S360">
            <v>0</v>
          </cell>
          <cell r="T360">
            <v>351.49</v>
          </cell>
          <cell r="U360">
            <v>0</v>
          </cell>
          <cell r="V360">
            <v>0.5</v>
          </cell>
          <cell r="W360">
            <v>2</v>
          </cell>
          <cell r="X360">
            <v>0.1</v>
          </cell>
          <cell r="AF360">
            <v>1</v>
          </cell>
          <cell r="AH360">
            <v>2</v>
          </cell>
          <cell r="AJ360">
            <v>1</v>
          </cell>
          <cell r="AN360">
            <v>0.1</v>
          </cell>
          <cell r="BJ360">
            <v>0.01</v>
          </cell>
          <cell r="BL360">
            <v>0.02</v>
          </cell>
        </row>
        <row r="361">
          <cell r="C361">
            <v>11085</v>
          </cell>
          <cell r="D361" t="str">
            <v>CARBONE STEEL PIPE (D= 28")</v>
          </cell>
          <cell r="E361" t="str">
            <v>M</v>
          </cell>
          <cell r="F361">
            <v>0</v>
          </cell>
          <cell r="G361">
            <v>6.5</v>
          </cell>
          <cell r="H361">
            <v>1.183875</v>
          </cell>
          <cell r="I361">
            <v>1</v>
          </cell>
          <cell r="J361">
            <v>7.6951875000000003</v>
          </cell>
          <cell r="K361">
            <v>6.6</v>
          </cell>
          <cell r="L361">
            <v>0.85799999999999998</v>
          </cell>
          <cell r="M361">
            <v>0</v>
          </cell>
          <cell r="N361">
            <v>416.07</v>
          </cell>
          <cell r="O361">
            <v>0</v>
          </cell>
          <cell r="P361">
            <v>17.95</v>
          </cell>
          <cell r="Q361">
            <v>0</v>
          </cell>
          <cell r="R361">
            <v>4.28</v>
          </cell>
          <cell r="S361">
            <v>0</v>
          </cell>
          <cell r="T361">
            <v>438.29999999999995</v>
          </cell>
          <cell r="U361">
            <v>0</v>
          </cell>
          <cell r="V361">
            <v>0.5</v>
          </cell>
          <cell r="W361">
            <v>2</v>
          </cell>
          <cell r="X361">
            <v>0.1</v>
          </cell>
          <cell r="AF361">
            <v>1</v>
          </cell>
          <cell r="AH361">
            <v>2</v>
          </cell>
          <cell r="AJ361">
            <v>1</v>
          </cell>
          <cell r="AN361">
            <v>0.1</v>
          </cell>
          <cell r="BJ361">
            <v>0.01</v>
          </cell>
          <cell r="BL361">
            <v>0.02</v>
          </cell>
        </row>
        <row r="362">
          <cell r="C362">
            <v>11090</v>
          </cell>
          <cell r="D362" t="str">
            <v>CARBONE STEEL PIPE (D= 32")</v>
          </cell>
          <cell r="E362" t="str">
            <v>M</v>
          </cell>
          <cell r="F362">
            <v>0</v>
          </cell>
          <cell r="G362">
            <v>3.2</v>
          </cell>
          <cell r="H362">
            <v>1.183875</v>
          </cell>
          <cell r="I362">
            <v>1</v>
          </cell>
          <cell r="J362">
            <v>3.7884000000000002</v>
          </cell>
          <cell r="K362">
            <v>6.6</v>
          </cell>
          <cell r="L362">
            <v>1.742</v>
          </cell>
          <cell r="M362">
            <v>0</v>
          </cell>
          <cell r="N362">
            <v>498.33</v>
          </cell>
          <cell r="O362">
            <v>0</v>
          </cell>
          <cell r="P362">
            <v>36.47</v>
          </cell>
          <cell r="Q362">
            <v>0</v>
          </cell>
          <cell r="R362">
            <v>8.6999999999999993</v>
          </cell>
          <cell r="S362">
            <v>0</v>
          </cell>
          <cell r="T362">
            <v>543.5</v>
          </cell>
          <cell r="U362">
            <v>0</v>
          </cell>
          <cell r="V362">
            <v>0.5</v>
          </cell>
          <cell r="W362">
            <v>2</v>
          </cell>
          <cell r="X362">
            <v>0.1</v>
          </cell>
          <cell r="AF362">
            <v>1</v>
          </cell>
          <cell r="AH362">
            <v>2</v>
          </cell>
          <cell r="AJ362">
            <v>1</v>
          </cell>
          <cell r="AN362">
            <v>0.1</v>
          </cell>
          <cell r="BJ362">
            <v>0.01</v>
          </cell>
          <cell r="BL362">
            <v>0.02</v>
          </cell>
        </row>
        <row r="363">
          <cell r="C363">
            <v>11095</v>
          </cell>
          <cell r="D363" t="str">
            <v>CARBONE STEEL PIPE (D= 40")</v>
          </cell>
          <cell r="E363" t="str">
            <v>M</v>
          </cell>
          <cell r="F363">
            <v>0</v>
          </cell>
          <cell r="G363">
            <v>1.6</v>
          </cell>
          <cell r="H363">
            <v>1.183875</v>
          </cell>
          <cell r="I363">
            <v>1</v>
          </cell>
          <cell r="J363">
            <v>1.8942000000000001</v>
          </cell>
          <cell r="K363">
            <v>6.6</v>
          </cell>
          <cell r="L363">
            <v>3.484</v>
          </cell>
          <cell r="M363">
            <v>0</v>
          </cell>
          <cell r="N363">
            <v>664.44</v>
          </cell>
          <cell r="O363">
            <v>0</v>
          </cell>
          <cell r="P363">
            <v>72.930000000000007</v>
          </cell>
          <cell r="Q363">
            <v>0</v>
          </cell>
          <cell r="R363">
            <v>17.399999999999999</v>
          </cell>
          <cell r="S363">
            <v>0</v>
          </cell>
          <cell r="T363">
            <v>754.7700000000001</v>
          </cell>
          <cell r="U363">
            <v>0</v>
          </cell>
          <cell r="V363">
            <v>0.5</v>
          </cell>
          <cell r="W363">
            <v>2</v>
          </cell>
          <cell r="X363">
            <v>0.1</v>
          </cell>
          <cell r="AF363">
            <v>1</v>
          </cell>
          <cell r="AH363">
            <v>2</v>
          </cell>
          <cell r="AJ363">
            <v>1</v>
          </cell>
          <cell r="AN363">
            <v>0.1</v>
          </cell>
          <cell r="BJ363">
            <v>0.01</v>
          </cell>
          <cell r="BL363">
            <v>0.02</v>
          </cell>
        </row>
        <row r="364">
          <cell r="C364">
            <v>11100</v>
          </cell>
          <cell r="D364" t="str">
            <v>WARPPING TAPE(SILVER)</v>
          </cell>
          <cell r="E364" t="str">
            <v>M2</v>
          </cell>
          <cell r="F364">
            <v>0</v>
          </cell>
          <cell r="G364">
            <v>6</v>
          </cell>
          <cell r="H364">
            <v>1.183875</v>
          </cell>
          <cell r="I364">
            <v>1</v>
          </cell>
          <cell r="J364">
            <v>7.1032500000000001</v>
          </cell>
          <cell r="K364">
            <v>2</v>
          </cell>
          <cell r="L364">
            <v>0.28199999999999997</v>
          </cell>
          <cell r="M364">
            <v>0</v>
          </cell>
          <cell r="N364">
            <v>28.31</v>
          </cell>
          <cell r="O364">
            <v>0</v>
          </cell>
          <cell r="P364">
            <v>4.9400000000000004</v>
          </cell>
          <cell r="Q364">
            <v>0</v>
          </cell>
          <cell r="R364">
            <v>0</v>
          </cell>
          <cell r="S364">
            <v>0</v>
          </cell>
          <cell r="T364">
            <v>33.25</v>
          </cell>
          <cell r="U364">
            <v>0</v>
          </cell>
          <cell r="W364">
            <v>1</v>
          </cell>
          <cell r="AJ364">
            <v>1</v>
          </cell>
        </row>
        <row r="365">
          <cell r="C365">
            <v>11100</v>
          </cell>
          <cell r="D365" t="str">
            <v>WARPPING TAPE(POLYKEN)</v>
          </cell>
          <cell r="E365" t="str">
            <v>M2</v>
          </cell>
          <cell r="F365">
            <v>0</v>
          </cell>
          <cell r="G365">
            <v>6</v>
          </cell>
          <cell r="H365">
            <v>1.183875</v>
          </cell>
          <cell r="I365">
            <v>1</v>
          </cell>
          <cell r="J365">
            <v>7.1032500000000001</v>
          </cell>
          <cell r="K365">
            <v>2</v>
          </cell>
          <cell r="L365">
            <v>0.28199999999999997</v>
          </cell>
          <cell r="M365">
            <v>0</v>
          </cell>
          <cell r="N365">
            <v>0</v>
          </cell>
          <cell r="O365">
            <v>0</v>
          </cell>
          <cell r="P365">
            <v>4.9400000000000004</v>
          </cell>
          <cell r="Q365">
            <v>0</v>
          </cell>
          <cell r="R365">
            <v>0</v>
          </cell>
          <cell r="S365">
            <v>0</v>
          </cell>
          <cell r="T365">
            <v>4.9400000000000004</v>
          </cell>
          <cell r="U365">
            <v>0</v>
          </cell>
          <cell r="W365">
            <v>1</v>
          </cell>
          <cell r="AJ365">
            <v>1</v>
          </cell>
        </row>
        <row r="366">
          <cell r="C366">
            <v>11103</v>
          </cell>
          <cell r="D366" t="str">
            <v>INSIDE CONC LINING  OF  C/S PIPE</v>
          </cell>
          <cell r="E366" t="str">
            <v>M2</v>
          </cell>
          <cell r="F366">
            <v>1000</v>
          </cell>
          <cell r="G366">
            <v>17</v>
          </cell>
          <cell r="H366">
            <v>1.183875</v>
          </cell>
          <cell r="I366">
            <v>1</v>
          </cell>
          <cell r="J366">
            <v>20.125875000000001</v>
          </cell>
          <cell r="K366">
            <v>1</v>
          </cell>
          <cell r="L366">
            <v>0.05</v>
          </cell>
          <cell r="M366">
            <v>50</v>
          </cell>
          <cell r="N366">
            <v>0</v>
          </cell>
          <cell r="O366">
            <v>0</v>
          </cell>
          <cell r="P366">
            <v>1.05</v>
          </cell>
          <cell r="Q366">
            <v>1050</v>
          </cell>
          <cell r="R366">
            <v>0</v>
          </cell>
          <cell r="S366">
            <v>0</v>
          </cell>
          <cell r="T366">
            <v>1.05</v>
          </cell>
          <cell r="U366">
            <v>1050</v>
          </cell>
          <cell r="AC366">
            <v>1</v>
          </cell>
        </row>
        <row r="367">
          <cell r="C367">
            <v>11105</v>
          </cell>
          <cell r="D367" t="str">
            <v>DUCTTILE IRON PIPE (D= 4")</v>
          </cell>
          <cell r="E367" t="str">
            <v>M</v>
          </cell>
          <cell r="F367">
            <v>0</v>
          </cell>
          <cell r="G367">
            <v>54</v>
          </cell>
          <cell r="H367">
            <v>1.183875</v>
          </cell>
          <cell r="I367">
            <v>1</v>
          </cell>
          <cell r="J367">
            <v>63.929250000000003</v>
          </cell>
          <cell r="K367">
            <v>3.25</v>
          </cell>
          <cell r="L367">
            <v>5.0999999999999997E-2</v>
          </cell>
          <cell r="M367">
            <v>0</v>
          </cell>
          <cell r="N367">
            <v>26.26</v>
          </cell>
          <cell r="O367">
            <v>0</v>
          </cell>
          <cell r="P367">
            <v>0.95</v>
          </cell>
          <cell r="Q367">
            <v>0</v>
          </cell>
          <cell r="R367">
            <v>0</v>
          </cell>
          <cell r="S367">
            <v>0</v>
          </cell>
          <cell r="T367">
            <v>27.21</v>
          </cell>
          <cell r="U367">
            <v>0</v>
          </cell>
          <cell r="V367">
            <v>0.25</v>
          </cell>
          <cell r="W367">
            <v>1</v>
          </cell>
          <cell r="AJ367">
            <v>2</v>
          </cell>
        </row>
        <row r="368">
          <cell r="C368">
            <v>11110</v>
          </cell>
          <cell r="D368" t="str">
            <v>DUCTTILE IRON PIPE (D= 6")</v>
          </cell>
          <cell r="E368" t="str">
            <v>M</v>
          </cell>
          <cell r="F368">
            <v>0</v>
          </cell>
          <cell r="G368">
            <v>37</v>
          </cell>
          <cell r="H368">
            <v>1.183875</v>
          </cell>
          <cell r="I368">
            <v>1</v>
          </cell>
          <cell r="J368">
            <v>43.803375000000003</v>
          </cell>
          <cell r="K368">
            <v>3.25</v>
          </cell>
          <cell r="L368">
            <v>7.3999999999999996E-2</v>
          </cell>
          <cell r="M368">
            <v>0</v>
          </cell>
          <cell r="N368">
            <v>38.28</v>
          </cell>
          <cell r="O368">
            <v>0</v>
          </cell>
          <cell r="P368">
            <v>1.38</v>
          </cell>
          <cell r="Q368">
            <v>0</v>
          </cell>
          <cell r="R368">
            <v>0</v>
          </cell>
          <cell r="S368">
            <v>0</v>
          </cell>
          <cell r="T368">
            <v>39.660000000000004</v>
          </cell>
          <cell r="U368">
            <v>0</v>
          </cell>
          <cell r="V368">
            <v>0.25</v>
          </cell>
          <cell r="W368">
            <v>1</v>
          </cell>
          <cell r="AJ368">
            <v>2</v>
          </cell>
        </row>
        <row r="369">
          <cell r="C369">
            <v>11115</v>
          </cell>
          <cell r="D369" t="str">
            <v>DUCTTILE IRON PIPE (D= 8")</v>
          </cell>
          <cell r="E369" t="str">
            <v>M</v>
          </cell>
          <cell r="F369">
            <v>0</v>
          </cell>
          <cell r="G369">
            <v>32</v>
          </cell>
          <cell r="H369">
            <v>1.183875</v>
          </cell>
          <cell r="I369">
            <v>1</v>
          </cell>
          <cell r="J369">
            <v>37.884</v>
          </cell>
          <cell r="K369">
            <v>3.25</v>
          </cell>
          <cell r="L369">
            <v>8.5999999999999993E-2</v>
          </cell>
          <cell r="M369">
            <v>0</v>
          </cell>
          <cell r="N369">
            <v>62.36</v>
          </cell>
          <cell r="O369">
            <v>0</v>
          </cell>
          <cell r="P369">
            <v>1.6</v>
          </cell>
          <cell r="Q369">
            <v>0</v>
          </cell>
          <cell r="R369">
            <v>0</v>
          </cell>
          <cell r="S369">
            <v>0</v>
          </cell>
          <cell r="T369">
            <v>63.96</v>
          </cell>
          <cell r="U369">
            <v>0</v>
          </cell>
          <cell r="V369">
            <v>0.25</v>
          </cell>
          <cell r="W369">
            <v>1</v>
          </cell>
          <cell r="AJ369">
            <v>2</v>
          </cell>
        </row>
        <row r="370">
          <cell r="C370">
            <v>11120</v>
          </cell>
          <cell r="D370" t="str">
            <v>DUCTTILE IRON PIPE (D=10")</v>
          </cell>
          <cell r="E370" t="str">
            <v>M</v>
          </cell>
          <cell r="F370">
            <v>0</v>
          </cell>
          <cell r="G370">
            <v>29</v>
          </cell>
          <cell r="H370">
            <v>1.183875</v>
          </cell>
          <cell r="I370">
            <v>1</v>
          </cell>
          <cell r="J370">
            <v>34.332374999999999</v>
          </cell>
          <cell r="K370">
            <v>3.25</v>
          </cell>
          <cell r="L370">
            <v>9.5000000000000001E-2</v>
          </cell>
          <cell r="M370">
            <v>0</v>
          </cell>
          <cell r="N370">
            <v>67.63</v>
          </cell>
          <cell r="O370">
            <v>0</v>
          </cell>
          <cell r="P370">
            <v>1.76</v>
          </cell>
          <cell r="Q370">
            <v>0</v>
          </cell>
          <cell r="R370">
            <v>0</v>
          </cell>
          <cell r="S370">
            <v>0</v>
          </cell>
          <cell r="T370">
            <v>69.39</v>
          </cell>
          <cell r="U370">
            <v>0</v>
          </cell>
          <cell r="V370">
            <v>0.25</v>
          </cell>
          <cell r="W370">
            <v>1</v>
          </cell>
          <cell r="AJ370">
            <v>2</v>
          </cell>
        </row>
        <row r="371">
          <cell r="C371">
            <v>11125</v>
          </cell>
          <cell r="D371" t="str">
            <v>DUCTTILE IRON PIPE (D=12")</v>
          </cell>
          <cell r="E371" t="str">
            <v>M</v>
          </cell>
          <cell r="F371">
            <v>0</v>
          </cell>
          <cell r="G371">
            <v>25</v>
          </cell>
          <cell r="H371">
            <v>1.183875</v>
          </cell>
          <cell r="I371">
            <v>1</v>
          </cell>
          <cell r="J371">
            <v>29.596875000000001</v>
          </cell>
          <cell r="K371">
            <v>3.25</v>
          </cell>
          <cell r="L371">
            <v>0.11</v>
          </cell>
          <cell r="M371">
            <v>0</v>
          </cell>
          <cell r="N371">
            <v>91.36</v>
          </cell>
          <cell r="O371">
            <v>0</v>
          </cell>
          <cell r="P371">
            <v>2.04</v>
          </cell>
          <cell r="Q371">
            <v>0</v>
          </cell>
          <cell r="R371">
            <v>0</v>
          </cell>
          <cell r="S371">
            <v>0</v>
          </cell>
          <cell r="T371">
            <v>93.4</v>
          </cell>
          <cell r="U371">
            <v>0</v>
          </cell>
          <cell r="V371">
            <v>0.25</v>
          </cell>
          <cell r="W371">
            <v>1</v>
          </cell>
          <cell r="AJ371">
            <v>2</v>
          </cell>
        </row>
        <row r="372">
          <cell r="C372">
            <v>11130</v>
          </cell>
          <cell r="D372" t="str">
            <v>DUCTTILE IRON PIPE (D=15")</v>
          </cell>
          <cell r="E372" t="str">
            <v>M</v>
          </cell>
          <cell r="F372">
            <v>0</v>
          </cell>
          <cell r="G372">
            <v>23</v>
          </cell>
          <cell r="H372">
            <v>1.183875</v>
          </cell>
          <cell r="I372">
            <v>1</v>
          </cell>
          <cell r="J372">
            <v>27.229125</v>
          </cell>
          <cell r="K372">
            <v>3.25</v>
          </cell>
          <cell r="L372">
            <v>0.11899999999999999</v>
          </cell>
          <cell r="M372">
            <v>0</v>
          </cell>
          <cell r="N372">
            <v>125.91</v>
          </cell>
          <cell r="O372">
            <v>0</v>
          </cell>
          <cell r="P372">
            <v>2.2200000000000002</v>
          </cell>
          <cell r="Q372">
            <v>0</v>
          </cell>
          <cell r="R372">
            <v>0</v>
          </cell>
          <cell r="S372">
            <v>0</v>
          </cell>
          <cell r="T372">
            <v>128.13</v>
          </cell>
          <cell r="U372">
            <v>0</v>
          </cell>
          <cell r="V372">
            <v>0.25</v>
          </cell>
          <cell r="W372">
            <v>1</v>
          </cell>
          <cell r="AJ372">
            <v>2</v>
          </cell>
        </row>
        <row r="373">
          <cell r="C373">
            <v>11135</v>
          </cell>
          <cell r="D373" t="str">
            <v>DUCTTILE IRON PIPE (D=18")</v>
          </cell>
          <cell r="E373" t="str">
            <v>M</v>
          </cell>
          <cell r="F373">
            <v>0</v>
          </cell>
          <cell r="G373">
            <v>21</v>
          </cell>
          <cell r="H373">
            <v>1.183875</v>
          </cell>
          <cell r="I373">
            <v>1</v>
          </cell>
          <cell r="J373">
            <v>24.861374999999999</v>
          </cell>
          <cell r="K373">
            <v>3.25</v>
          </cell>
          <cell r="L373">
            <v>0.13100000000000001</v>
          </cell>
          <cell r="M373">
            <v>0</v>
          </cell>
          <cell r="N373">
            <v>146.26</v>
          </cell>
          <cell r="O373">
            <v>0</v>
          </cell>
          <cell r="P373">
            <v>2.4300000000000002</v>
          </cell>
          <cell r="Q373">
            <v>0</v>
          </cell>
          <cell r="R373">
            <v>0</v>
          </cell>
          <cell r="S373">
            <v>0</v>
          </cell>
          <cell r="T373">
            <v>148.69</v>
          </cell>
          <cell r="U373">
            <v>0</v>
          </cell>
          <cell r="V373">
            <v>0.25</v>
          </cell>
          <cell r="W373">
            <v>1</v>
          </cell>
          <cell r="AJ373">
            <v>2</v>
          </cell>
        </row>
        <row r="374">
          <cell r="C374">
            <v>11140</v>
          </cell>
          <cell r="D374" t="str">
            <v>DUCTTILE IRON PIPE (D=21")</v>
          </cell>
          <cell r="E374" t="str">
            <v>M</v>
          </cell>
          <cell r="F374">
            <v>0</v>
          </cell>
          <cell r="G374">
            <v>20</v>
          </cell>
          <cell r="H374">
            <v>1.183875</v>
          </cell>
          <cell r="I374">
            <v>1</v>
          </cell>
          <cell r="J374">
            <v>23.677500000000002</v>
          </cell>
          <cell r="K374">
            <v>3.27</v>
          </cell>
          <cell r="L374">
            <v>0.13800000000000001</v>
          </cell>
          <cell r="M374">
            <v>0</v>
          </cell>
          <cell r="N374">
            <v>173.94</v>
          </cell>
          <cell r="O374">
            <v>0</v>
          </cell>
          <cell r="P374">
            <v>2.58</v>
          </cell>
          <cell r="Q374">
            <v>0</v>
          </cell>
          <cell r="R374">
            <v>0.25</v>
          </cell>
          <cell r="S374">
            <v>0</v>
          </cell>
          <cell r="T374">
            <v>176.77</v>
          </cell>
          <cell r="U374">
            <v>0</v>
          </cell>
          <cell r="V374">
            <v>0.25</v>
          </cell>
          <cell r="W374">
            <v>1</v>
          </cell>
          <cell r="X374">
            <v>0.02</v>
          </cell>
          <cell r="AJ374">
            <v>2</v>
          </cell>
          <cell r="AN374">
            <v>0.02</v>
          </cell>
        </row>
        <row r="375">
          <cell r="C375">
            <v>11145</v>
          </cell>
          <cell r="D375" t="str">
            <v>DUCTTILE IRON PIPE (D=24")</v>
          </cell>
          <cell r="E375" t="str">
            <v>M</v>
          </cell>
          <cell r="F375">
            <v>0</v>
          </cell>
          <cell r="G375">
            <v>19</v>
          </cell>
          <cell r="H375">
            <v>1.183875</v>
          </cell>
          <cell r="I375">
            <v>1</v>
          </cell>
          <cell r="J375">
            <v>22.493625000000002</v>
          </cell>
          <cell r="K375">
            <v>3.27</v>
          </cell>
          <cell r="L375">
            <v>0.14499999999999999</v>
          </cell>
          <cell r="M375">
            <v>0</v>
          </cell>
          <cell r="N375">
            <v>210.17</v>
          </cell>
          <cell r="O375">
            <v>0</v>
          </cell>
          <cell r="P375">
            <v>2.71</v>
          </cell>
          <cell r="Q375">
            <v>0</v>
          </cell>
          <cell r="R375">
            <v>0.27</v>
          </cell>
          <cell r="S375">
            <v>0</v>
          </cell>
          <cell r="T375">
            <v>213.15</v>
          </cell>
          <cell r="U375">
            <v>0</v>
          </cell>
          <cell r="V375">
            <v>0.25</v>
          </cell>
          <cell r="W375">
            <v>1</v>
          </cell>
          <cell r="X375">
            <v>0.02</v>
          </cell>
          <cell r="AJ375">
            <v>2</v>
          </cell>
          <cell r="AN375">
            <v>0.02</v>
          </cell>
        </row>
        <row r="376">
          <cell r="C376">
            <v>11150</v>
          </cell>
          <cell r="D376" t="str">
            <v>DUCTTILE IRON PIPE (D=30")</v>
          </cell>
          <cell r="E376" t="str">
            <v>M</v>
          </cell>
          <cell r="F376">
            <v>0</v>
          </cell>
          <cell r="G376">
            <v>18</v>
          </cell>
          <cell r="H376">
            <v>1.183875</v>
          </cell>
          <cell r="I376">
            <v>1</v>
          </cell>
          <cell r="J376">
            <v>21.309750000000001</v>
          </cell>
          <cell r="K376">
            <v>3.27</v>
          </cell>
          <cell r="L376">
            <v>0.153</v>
          </cell>
          <cell r="M376">
            <v>0</v>
          </cell>
          <cell r="N376">
            <v>272.89999999999998</v>
          </cell>
          <cell r="O376">
            <v>0</v>
          </cell>
          <cell r="P376">
            <v>2.86</v>
          </cell>
          <cell r="Q376">
            <v>0</v>
          </cell>
          <cell r="R376">
            <v>0.28000000000000003</v>
          </cell>
          <cell r="S376">
            <v>0</v>
          </cell>
          <cell r="T376">
            <v>276.03999999999996</v>
          </cell>
          <cell r="U376">
            <v>0</v>
          </cell>
          <cell r="V376">
            <v>0.25</v>
          </cell>
          <cell r="W376">
            <v>1</v>
          </cell>
          <cell r="X376">
            <v>0.02</v>
          </cell>
          <cell r="AJ376">
            <v>2</v>
          </cell>
          <cell r="AN376">
            <v>0.02</v>
          </cell>
        </row>
        <row r="377">
          <cell r="C377">
            <v>11155</v>
          </cell>
          <cell r="D377" t="str">
            <v>DUCTTILE IRON PIPE (D=36")</v>
          </cell>
          <cell r="E377" t="str">
            <v>M</v>
          </cell>
          <cell r="F377">
            <v>0</v>
          </cell>
          <cell r="G377">
            <v>17</v>
          </cell>
          <cell r="H377">
            <v>1.183875</v>
          </cell>
          <cell r="I377">
            <v>1</v>
          </cell>
          <cell r="J377">
            <v>20.125875000000001</v>
          </cell>
          <cell r="K377">
            <v>3.27</v>
          </cell>
          <cell r="L377">
            <v>0.16200000000000001</v>
          </cell>
          <cell r="M377">
            <v>0</v>
          </cell>
          <cell r="N377">
            <v>389.17</v>
          </cell>
          <cell r="O377">
            <v>0</v>
          </cell>
          <cell r="P377">
            <v>3.03</v>
          </cell>
          <cell r="Q377">
            <v>0</v>
          </cell>
          <cell r="R377">
            <v>0.3</v>
          </cell>
          <cell r="S377">
            <v>0</v>
          </cell>
          <cell r="T377">
            <v>392.5</v>
          </cell>
          <cell r="U377">
            <v>0</v>
          </cell>
          <cell r="V377">
            <v>0.25</v>
          </cell>
          <cell r="W377">
            <v>1</v>
          </cell>
          <cell r="X377">
            <v>0.02</v>
          </cell>
          <cell r="AJ377">
            <v>2</v>
          </cell>
          <cell r="AN377">
            <v>0.02</v>
          </cell>
        </row>
        <row r="378">
          <cell r="C378">
            <v>11160</v>
          </cell>
          <cell r="D378" t="str">
            <v>DI. DOUBLE FLANGED PIPE (D=4")</v>
          </cell>
          <cell r="E378" t="str">
            <v>M</v>
          </cell>
          <cell r="F378">
            <v>0</v>
          </cell>
          <cell r="G378">
            <v>54</v>
          </cell>
          <cell r="H378">
            <v>1.183875</v>
          </cell>
          <cell r="I378">
            <v>1</v>
          </cell>
          <cell r="J378">
            <v>63.929250000000003</v>
          </cell>
          <cell r="K378">
            <v>3.25</v>
          </cell>
          <cell r="L378">
            <v>5.0999999999999997E-2</v>
          </cell>
          <cell r="M378">
            <v>0</v>
          </cell>
          <cell r="N378">
            <v>0</v>
          </cell>
          <cell r="O378">
            <v>0</v>
          </cell>
          <cell r="P378">
            <v>0.95</v>
          </cell>
          <cell r="Q378">
            <v>0</v>
          </cell>
          <cell r="R378">
            <v>0</v>
          </cell>
          <cell r="S378">
            <v>0</v>
          </cell>
          <cell r="T378">
            <v>0.95</v>
          </cell>
          <cell r="U378">
            <v>0</v>
          </cell>
          <cell r="V378">
            <v>0.25</v>
          </cell>
          <cell r="W378">
            <v>1</v>
          </cell>
          <cell r="AJ378">
            <v>2</v>
          </cell>
        </row>
        <row r="379">
          <cell r="C379">
            <v>11165</v>
          </cell>
          <cell r="D379" t="str">
            <v>DI. DOUBLE FLANGED PIPE (D=6")</v>
          </cell>
          <cell r="E379" t="str">
            <v>M</v>
          </cell>
          <cell r="F379">
            <v>0</v>
          </cell>
          <cell r="G379">
            <v>37</v>
          </cell>
          <cell r="H379">
            <v>1.183875</v>
          </cell>
          <cell r="I379">
            <v>1</v>
          </cell>
          <cell r="J379">
            <v>43.803375000000003</v>
          </cell>
          <cell r="K379">
            <v>3.25</v>
          </cell>
          <cell r="L379">
            <v>7.3999999999999996E-2</v>
          </cell>
          <cell r="M379">
            <v>0</v>
          </cell>
          <cell r="N379">
            <v>0</v>
          </cell>
          <cell r="O379">
            <v>0</v>
          </cell>
          <cell r="P379">
            <v>1.38</v>
          </cell>
          <cell r="Q379">
            <v>0</v>
          </cell>
          <cell r="R379">
            <v>0</v>
          </cell>
          <cell r="S379">
            <v>0</v>
          </cell>
          <cell r="T379">
            <v>1.38</v>
          </cell>
          <cell r="U379">
            <v>0</v>
          </cell>
          <cell r="V379">
            <v>0.25</v>
          </cell>
          <cell r="W379">
            <v>1</v>
          </cell>
          <cell r="AJ379">
            <v>2</v>
          </cell>
        </row>
        <row r="380">
          <cell r="C380">
            <v>11170</v>
          </cell>
          <cell r="D380" t="str">
            <v>DI. DOUBLE FLANGED PIPE (D=8")</v>
          </cell>
          <cell r="E380" t="str">
            <v>M</v>
          </cell>
          <cell r="F380">
            <v>0</v>
          </cell>
          <cell r="G380">
            <v>32</v>
          </cell>
          <cell r="H380">
            <v>1.183875</v>
          </cell>
          <cell r="I380">
            <v>1</v>
          </cell>
          <cell r="J380">
            <v>37.884</v>
          </cell>
          <cell r="K380">
            <v>3.25</v>
          </cell>
          <cell r="L380">
            <v>8.5999999999999993E-2</v>
          </cell>
          <cell r="M380">
            <v>0</v>
          </cell>
          <cell r="N380">
            <v>0</v>
          </cell>
          <cell r="O380">
            <v>0</v>
          </cell>
          <cell r="P380">
            <v>1.6</v>
          </cell>
          <cell r="Q380">
            <v>0</v>
          </cell>
          <cell r="R380">
            <v>0</v>
          </cell>
          <cell r="S380">
            <v>0</v>
          </cell>
          <cell r="T380">
            <v>1.6</v>
          </cell>
          <cell r="U380">
            <v>0</v>
          </cell>
          <cell r="V380">
            <v>0.25</v>
          </cell>
          <cell r="W380">
            <v>1</v>
          </cell>
          <cell r="AJ380">
            <v>2</v>
          </cell>
        </row>
        <row r="381">
          <cell r="C381">
            <v>11175</v>
          </cell>
          <cell r="D381" t="str">
            <v>DI. DOUBLE FLANGED PIPE (D=10")</v>
          </cell>
          <cell r="E381" t="str">
            <v>M</v>
          </cell>
          <cell r="F381">
            <v>0</v>
          </cell>
          <cell r="G381">
            <v>29</v>
          </cell>
          <cell r="H381">
            <v>1.183875</v>
          </cell>
          <cell r="I381">
            <v>1</v>
          </cell>
          <cell r="J381">
            <v>34.332374999999999</v>
          </cell>
          <cell r="K381">
            <v>3.25</v>
          </cell>
          <cell r="L381">
            <v>9.5000000000000001E-2</v>
          </cell>
          <cell r="M381">
            <v>0</v>
          </cell>
          <cell r="N381">
            <v>0</v>
          </cell>
          <cell r="O381">
            <v>0</v>
          </cell>
          <cell r="P381">
            <v>1.76</v>
          </cell>
          <cell r="Q381">
            <v>0</v>
          </cell>
          <cell r="R381">
            <v>0</v>
          </cell>
          <cell r="S381">
            <v>0</v>
          </cell>
          <cell r="T381">
            <v>1.76</v>
          </cell>
          <cell r="U381">
            <v>0</v>
          </cell>
          <cell r="V381">
            <v>0.25</v>
          </cell>
          <cell r="W381">
            <v>1</v>
          </cell>
          <cell r="AJ381">
            <v>2</v>
          </cell>
        </row>
        <row r="382">
          <cell r="C382">
            <v>11180</v>
          </cell>
          <cell r="D382" t="str">
            <v>DI. DOUBLE SOKET 45' (D=4")</v>
          </cell>
          <cell r="E382" t="str">
            <v>NOS</v>
          </cell>
          <cell r="F382">
            <v>0</v>
          </cell>
          <cell r="G382">
            <v>0.8</v>
          </cell>
          <cell r="H382">
            <v>1.183875</v>
          </cell>
          <cell r="I382">
            <v>1</v>
          </cell>
          <cell r="J382">
            <v>0.94710000000000005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11185</v>
          </cell>
          <cell r="D383" t="str">
            <v>DI. DOUBLE SOKET 45' (D=12")</v>
          </cell>
          <cell r="E383" t="str">
            <v>NOS</v>
          </cell>
          <cell r="F383">
            <v>0</v>
          </cell>
          <cell r="G383">
            <v>0.8</v>
          </cell>
          <cell r="H383">
            <v>1.183875</v>
          </cell>
          <cell r="I383">
            <v>1</v>
          </cell>
          <cell r="J383">
            <v>0.94710000000000005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11190</v>
          </cell>
          <cell r="D384" t="str">
            <v>DI. DOUBLE SOKET 45' (D=18")</v>
          </cell>
          <cell r="E384" t="str">
            <v>NOS</v>
          </cell>
          <cell r="F384">
            <v>0</v>
          </cell>
          <cell r="G384">
            <v>0.8</v>
          </cell>
          <cell r="H384">
            <v>1.183875</v>
          </cell>
          <cell r="I384">
            <v>1</v>
          </cell>
          <cell r="J384">
            <v>0.94710000000000005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11195</v>
          </cell>
          <cell r="D385" t="str">
            <v>DI. DOUBLE SOKET 45' (D=24")</v>
          </cell>
          <cell r="E385" t="str">
            <v>NOS</v>
          </cell>
          <cell r="F385">
            <v>0</v>
          </cell>
          <cell r="G385">
            <v>0.8</v>
          </cell>
          <cell r="H385">
            <v>1.183875</v>
          </cell>
          <cell r="I385">
            <v>1</v>
          </cell>
          <cell r="J385">
            <v>0.94710000000000005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11200</v>
          </cell>
          <cell r="D386" t="str">
            <v>DI. FLANGE SOKET (D=4")</v>
          </cell>
          <cell r="E386" t="str">
            <v>NOS</v>
          </cell>
          <cell r="F386">
            <v>0</v>
          </cell>
          <cell r="G386">
            <v>0.8</v>
          </cell>
          <cell r="H386">
            <v>1.183875</v>
          </cell>
          <cell r="I386">
            <v>1</v>
          </cell>
          <cell r="J386">
            <v>0.94710000000000005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11205</v>
          </cell>
          <cell r="D387" t="str">
            <v>DI. FLANGE SOKET (D=6")</v>
          </cell>
          <cell r="E387" t="str">
            <v>NOS</v>
          </cell>
          <cell r="F387">
            <v>0</v>
          </cell>
          <cell r="G387">
            <v>0.8</v>
          </cell>
          <cell r="H387">
            <v>1.183875</v>
          </cell>
          <cell r="I387">
            <v>1</v>
          </cell>
          <cell r="J387">
            <v>0.94710000000000005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11210</v>
          </cell>
          <cell r="D388" t="str">
            <v>DI. FLANGE SOKET (D=8")</v>
          </cell>
          <cell r="E388" t="str">
            <v>NOS</v>
          </cell>
          <cell r="F388">
            <v>0</v>
          </cell>
          <cell r="G388">
            <v>0.8</v>
          </cell>
          <cell r="H388">
            <v>1.183875</v>
          </cell>
          <cell r="I388">
            <v>1</v>
          </cell>
          <cell r="J388">
            <v>0.94710000000000005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11215</v>
          </cell>
          <cell r="D389" t="str">
            <v>DI. FLANGE SOKET (D=10")</v>
          </cell>
          <cell r="E389" t="str">
            <v>NOS</v>
          </cell>
          <cell r="F389">
            <v>0</v>
          </cell>
          <cell r="G389">
            <v>0.8</v>
          </cell>
          <cell r="H389">
            <v>1.183875</v>
          </cell>
          <cell r="I389">
            <v>1</v>
          </cell>
          <cell r="J389">
            <v>0.94710000000000005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11220</v>
          </cell>
          <cell r="D390" t="str">
            <v>DI. Y-BRANCH (D=4")</v>
          </cell>
          <cell r="E390" t="str">
            <v>NOS</v>
          </cell>
          <cell r="F390">
            <v>0</v>
          </cell>
          <cell r="G390">
            <v>0.8</v>
          </cell>
          <cell r="H390">
            <v>1.183875</v>
          </cell>
          <cell r="I390">
            <v>1</v>
          </cell>
          <cell r="J390">
            <v>0.94710000000000005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11225</v>
          </cell>
          <cell r="D391" t="str">
            <v>DI. Y-BRANCH (D=6")</v>
          </cell>
          <cell r="E391" t="str">
            <v>NOS</v>
          </cell>
          <cell r="F391">
            <v>0</v>
          </cell>
          <cell r="G391">
            <v>0.8</v>
          </cell>
          <cell r="H391">
            <v>1.183875</v>
          </cell>
          <cell r="I391">
            <v>1</v>
          </cell>
          <cell r="J391">
            <v>0.94710000000000005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11230</v>
          </cell>
          <cell r="D392" t="str">
            <v>DI. TEE (D=4")</v>
          </cell>
          <cell r="E392" t="str">
            <v>NOS</v>
          </cell>
          <cell r="F392">
            <v>0</v>
          </cell>
          <cell r="G392">
            <v>0.8</v>
          </cell>
          <cell r="H392">
            <v>1.183875</v>
          </cell>
          <cell r="I392">
            <v>1</v>
          </cell>
          <cell r="J392">
            <v>0.94710000000000005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11235</v>
          </cell>
          <cell r="D393" t="str">
            <v>DI. TEE (D=6")</v>
          </cell>
          <cell r="E393" t="str">
            <v>NOS</v>
          </cell>
          <cell r="F393">
            <v>0</v>
          </cell>
          <cell r="G393">
            <v>0.8</v>
          </cell>
          <cell r="H393">
            <v>1.183875</v>
          </cell>
          <cell r="I393">
            <v>1</v>
          </cell>
          <cell r="J393">
            <v>0.94710000000000005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11240</v>
          </cell>
          <cell r="D394" t="str">
            <v>DI. DOUBLE FLANGE (D=4")</v>
          </cell>
          <cell r="E394" t="str">
            <v>NOS</v>
          </cell>
          <cell r="F394">
            <v>0</v>
          </cell>
          <cell r="G394">
            <v>0.8</v>
          </cell>
          <cell r="H394">
            <v>1.183875</v>
          </cell>
          <cell r="I394">
            <v>1</v>
          </cell>
          <cell r="J394">
            <v>0.94710000000000005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11245</v>
          </cell>
          <cell r="D395" t="str">
            <v>DI. DOUBLE FLANGE (D=6")</v>
          </cell>
          <cell r="E395" t="str">
            <v>NOS</v>
          </cell>
          <cell r="F395">
            <v>0</v>
          </cell>
          <cell r="G395">
            <v>0.8</v>
          </cell>
          <cell r="H395">
            <v>1.183875</v>
          </cell>
          <cell r="I395">
            <v>1</v>
          </cell>
          <cell r="J395">
            <v>0.94710000000000005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11250</v>
          </cell>
          <cell r="D396" t="str">
            <v>DI. DOUBLE FLANGE (D=8")</v>
          </cell>
          <cell r="E396" t="str">
            <v>NOS</v>
          </cell>
          <cell r="F396">
            <v>0</v>
          </cell>
          <cell r="G396">
            <v>0.8</v>
          </cell>
          <cell r="H396">
            <v>1.183875</v>
          </cell>
          <cell r="I396">
            <v>1</v>
          </cell>
          <cell r="J396">
            <v>0.94710000000000005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11255</v>
          </cell>
          <cell r="D397" t="str">
            <v>DI. DOUBLE FLANGE (D=10")</v>
          </cell>
          <cell r="E397" t="str">
            <v>NOS</v>
          </cell>
          <cell r="F397">
            <v>0</v>
          </cell>
          <cell r="G397">
            <v>0.8</v>
          </cell>
          <cell r="H397">
            <v>1.183875</v>
          </cell>
          <cell r="I397">
            <v>1</v>
          </cell>
          <cell r="J397">
            <v>0.94710000000000005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11260</v>
          </cell>
          <cell r="D398" t="str">
            <v>PVC PIPE (D= 1")</v>
          </cell>
          <cell r="E398" t="str">
            <v>M</v>
          </cell>
          <cell r="F398">
            <v>0</v>
          </cell>
          <cell r="G398">
            <v>100</v>
          </cell>
          <cell r="H398">
            <v>1.183875</v>
          </cell>
          <cell r="I398">
            <v>1</v>
          </cell>
          <cell r="J398">
            <v>118.3875</v>
          </cell>
          <cell r="K398">
            <v>3.25</v>
          </cell>
          <cell r="L398">
            <v>2.7E-2</v>
          </cell>
          <cell r="M398">
            <v>0</v>
          </cell>
          <cell r="N398">
            <v>1.32</v>
          </cell>
          <cell r="O398">
            <v>0</v>
          </cell>
          <cell r="P398">
            <v>0.51</v>
          </cell>
          <cell r="Q398">
            <v>0</v>
          </cell>
          <cell r="R398">
            <v>0</v>
          </cell>
          <cell r="S398">
            <v>0</v>
          </cell>
          <cell r="T398">
            <v>1.83</v>
          </cell>
          <cell r="U398">
            <v>0</v>
          </cell>
          <cell r="V398">
            <v>0.25</v>
          </cell>
          <cell r="W398">
            <v>1</v>
          </cell>
          <cell r="AJ398">
            <v>2</v>
          </cell>
        </row>
        <row r="399">
          <cell r="C399">
            <v>11265</v>
          </cell>
          <cell r="D399" t="str">
            <v>PVC PIPE (D= 3")</v>
          </cell>
          <cell r="E399" t="str">
            <v>M</v>
          </cell>
          <cell r="F399">
            <v>0</v>
          </cell>
          <cell r="G399">
            <v>80</v>
          </cell>
          <cell r="H399">
            <v>1.183875</v>
          </cell>
          <cell r="I399">
            <v>1</v>
          </cell>
          <cell r="J399">
            <v>94.710000000000008</v>
          </cell>
          <cell r="K399">
            <v>3.25</v>
          </cell>
          <cell r="L399">
            <v>3.4000000000000002E-2</v>
          </cell>
          <cell r="M399">
            <v>0</v>
          </cell>
          <cell r="N399">
            <v>3.27</v>
          </cell>
          <cell r="O399">
            <v>0</v>
          </cell>
          <cell r="P399">
            <v>0.64</v>
          </cell>
          <cell r="Q399">
            <v>0</v>
          </cell>
          <cell r="R399">
            <v>0</v>
          </cell>
          <cell r="S399">
            <v>0</v>
          </cell>
          <cell r="T399">
            <v>3.91</v>
          </cell>
          <cell r="U399">
            <v>0</v>
          </cell>
          <cell r="V399">
            <v>0.25</v>
          </cell>
          <cell r="W399">
            <v>1</v>
          </cell>
          <cell r="AJ399">
            <v>2</v>
          </cell>
        </row>
        <row r="400">
          <cell r="C400">
            <v>11270</v>
          </cell>
          <cell r="D400" t="str">
            <v>PVC PIPE (D= 4")</v>
          </cell>
          <cell r="E400" t="str">
            <v>M</v>
          </cell>
          <cell r="F400">
            <v>0</v>
          </cell>
          <cell r="G400">
            <v>75</v>
          </cell>
          <cell r="H400">
            <v>1.183875</v>
          </cell>
          <cell r="I400">
            <v>1</v>
          </cell>
          <cell r="J400">
            <v>88.790625000000006</v>
          </cell>
          <cell r="K400">
            <v>3.25</v>
          </cell>
          <cell r="L400">
            <v>3.6999999999999998E-2</v>
          </cell>
          <cell r="M400">
            <v>0</v>
          </cell>
          <cell r="N400">
            <v>3.48</v>
          </cell>
          <cell r="O400">
            <v>0</v>
          </cell>
          <cell r="P400">
            <v>0.68</v>
          </cell>
          <cell r="Q400">
            <v>0</v>
          </cell>
          <cell r="R400">
            <v>0</v>
          </cell>
          <cell r="S400">
            <v>0</v>
          </cell>
          <cell r="T400">
            <v>4.16</v>
          </cell>
          <cell r="U400">
            <v>0</v>
          </cell>
          <cell r="V400">
            <v>0.25</v>
          </cell>
          <cell r="W400">
            <v>1</v>
          </cell>
          <cell r="AJ400">
            <v>2</v>
          </cell>
        </row>
        <row r="401">
          <cell r="C401">
            <v>11275</v>
          </cell>
          <cell r="D401" t="str">
            <v>PVC PIPE (D= 6")</v>
          </cell>
          <cell r="E401" t="str">
            <v>M</v>
          </cell>
          <cell r="F401">
            <v>0</v>
          </cell>
          <cell r="G401">
            <v>50</v>
          </cell>
          <cell r="H401">
            <v>1.183875</v>
          </cell>
          <cell r="I401">
            <v>1</v>
          </cell>
          <cell r="J401">
            <v>59.193750000000001</v>
          </cell>
          <cell r="K401">
            <v>3.25</v>
          </cell>
          <cell r="L401">
            <v>5.5E-2</v>
          </cell>
          <cell r="M401">
            <v>0</v>
          </cell>
          <cell r="N401">
            <v>7.28</v>
          </cell>
          <cell r="O401">
            <v>0</v>
          </cell>
          <cell r="P401">
            <v>1.02</v>
          </cell>
          <cell r="Q401">
            <v>0</v>
          </cell>
          <cell r="R401">
            <v>0</v>
          </cell>
          <cell r="S401">
            <v>0</v>
          </cell>
          <cell r="T401">
            <v>8.3000000000000007</v>
          </cell>
          <cell r="U401">
            <v>0</v>
          </cell>
          <cell r="V401">
            <v>0.25</v>
          </cell>
          <cell r="W401">
            <v>1</v>
          </cell>
          <cell r="AJ401">
            <v>2</v>
          </cell>
        </row>
        <row r="402">
          <cell r="C402">
            <v>11280</v>
          </cell>
          <cell r="D402" t="str">
            <v>PVC PIPE (D= 8")</v>
          </cell>
          <cell r="E402" t="str">
            <v>M</v>
          </cell>
          <cell r="F402">
            <v>0</v>
          </cell>
          <cell r="G402">
            <v>35</v>
          </cell>
          <cell r="H402">
            <v>1.183875</v>
          </cell>
          <cell r="I402">
            <v>1</v>
          </cell>
          <cell r="J402">
            <v>41.435625000000002</v>
          </cell>
          <cell r="K402">
            <v>3.25</v>
          </cell>
          <cell r="L402">
            <v>7.8E-2</v>
          </cell>
          <cell r="M402">
            <v>0</v>
          </cell>
          <cell r="N402">
            <v>11.07</v>
          </cell>
          <cell r="O402">
            <v>0</v>
          </cell>
          <cell r="P402">
            <v>1.46</v>
          </cell>
          <cell r="Q402">
            <v>0</v>
          </cell>
          <cell r="R402">
            <v>0</v>
          </cell>
          <cell r="S402">
            <v>0</v>
          </cell>
          <cell r="T402">
            <v>12.530000000000001</v>
          </cell>
          <cell r="U402">
            <v>0</v>
          </cell>
          <cell r="V402">
            <v>0.25</v>
          </cell>
          <cell r="W402">
            <v>1</v>
          </cell>
          <cell r="AJ402">
            <v>2</v>
          </cell>
        </row>
        <row r="403">
          <cell r="C403">
            <v>11285</v>
          </cell>
          <cell r="D403" t="str">
            <v>R/C PIPE (D= 6")</v>
          </cell>
          <cell r="E403" t="str">
            <v>M</v>
          </cell>
          <cell r="F403">
            <v>0</v>
          </cell>
          <cell r="G403">
            <v>25</v>
          </cell>
          <cell r="H403">
            <v>1.183875</v>
          </cell>
          <cell r="I403">
            <v>1</v>
          </cell>
          <cell r="J403">
            <v>29.596875000000001</v>
          </cell>
          <cell r="K403">
            <v>3.25</v>
          </cell>
          <cell r="L403">
            <v>0.11</v>
          </cell>
          <cell r="M403">
            <v>0</v>
          </cell>
          <cell r="N403">
            <v>5.7</v>
          </cell>
          <cell r="O403">
            <v>0</v>
          </cell>
          <cell r="P403">
            <v>2.04</v>
          </cell>
          <cell r="Q403">
            <v>0</v>
          </cell>
          <cell r="R403">
            <v>0</v>
          </cell>
          <cell r="S403">
            <v>0</v>
          </cell>
          <cell r="T403">
            <v>7.74</v>
          </cell>
          <cell r="U403">
            <v>0</v>
          </cell>
          <cell r="V403">
            <v>0.25</v>
          </cell>
          <cell r="W403">
            <v>1</v>
          </cell>
          <cell r="AJ403">
            <v>2</v>
          </cell>
        </row>
        <row r="404">
          <cell r="C404">
            <v>11290</v>
          </cell>
          <cell r="D404" t="str">
            <v>R/C PIPE (D= 8")</v>
          </cell>
          <cell r="E404" t="str">
            <v>M</v>
          </cell>
          <cell r="F404">
            <v>0</v>
          </cell>
          <cell r="G404">
            <v>20</v>
          </cell>
          <cell r="H404">
            <v>1.183875</v>
          </cell>
          <cell r="I404">
            <v>1</v>
          </cell>
          <cell r="J404">
            <v>23.677500000000002</v>
          </cell>
          <cell r="K404">
            <v>3.25</v>
          </cell>
          <cell r="L404">
            <v>0.13700000000000001</v>
          </cell>
          <cell r="M404">
            <v>0</v>
          </cell>
          <cell r="N404">
            <v>6.96</v>
          </cell>
          <cell r="O404">
            <v>0</v>
          </cell>
          <cell r="P404">
            <v>2.56</v>
          </cell>
          <cell r="Q404">
            <v>0</v>
          </cell>
          <cell r="R404">
            <v>0</v>
          </cell>
          <cell r="S404">
            <v>0</v>
          </cell>
          <cell r="T404">
            <v>9.52</v>
          </cell>
          <cell r="U404">
            <v>0</v>
          </cell>
          <cell r="V404">
            <v>0.25</v>
          </cell>
          <cell r="W404">
            <v>1</v>
          </cell>
          <cell r="AJ404">
            <v>2</v>
          </cell>
        </row>
        <row r="405">
          <cell r="C405">
            <v>11295</v>
          </cell>
          <cell r="D405" t="str">
            <v>R/C PIPE (D=10")</v>
          </cell>
          <cell r="E405" t="str">
            <v>M</v>
          </cell>
          <cell r="F405">
            <v>0</v>
          </cell>
          <cell r="G405">
            <v>15</v>
          </cell>
          <cell r="H405">
            <v>1.183875</v>
          </cell>
          <cell r="I405">
            <v>1</v>
          </cell>
          <cell r="J405">
            <v>17.758125</v>
          </cell>
          <cell r="K405">
            <v>3.25</v>
          </cell>
          <cell r="L405">
            <v>0.183</v>
          </cell>
          <cell r="M405">
            <v>0</v>
          </cell>
          <cell r="N405">
            <v>14.3</v>
          </cell>
          <cell r="O405">
            <v>0</v>
          </cell>
          <cell r="P405">
            <v>3.41</v>
          </cell>
          <cell r="Q405">
            <v>0</v>
          </cell>
          <cell r="R405">
            <v>0</v>
          </cell>
          <cell r="S405">
            <v>0</v>
          </cell>
          <cell r="T405">
            <v>17.71</v>
          </cell>
          <cell r="U405">
            <v>0</v>
          </cell>
          <cell r="V405">
            <v>0.25</v>
          </cell>
          <cell r="W405">
            <v>1</v>
          </cell>
          <cell r="AJ405">
            <v>2</v>
          </cell>
        </row>
        <row r="406">
          <cell r="C406">
            <v>11300</v>
          </cell>
          <cell r="D406" t="str">
            <v>R/C PIPE (D=12")</v>
          </cell>
          <cell r="E406" t="str">
            <v>M</v>
          </cell>
          <cell r="F406">
            <v>0</v>
          </cell>
          <cell r="G406">
            <v>12</v>
          </cell>
          <cell r="H406">
            <v>1.183875</v>
          </cell>
          <cell r="I406">
            <v>1</v>
          </cell>
          <cell r="J406">
            <v>14.2065</v>
          </cell>
          <cell r="K406">
            <v>3.3</v>
          </cell>
          <cell r="L406">
            <v>0.23200000000000001</v>
          </cell>
          <cell r="M406">
            <v>0</v>
          </cell>
          <cell r="N406">
            <v>27.84</v>
          </cell>
          <cell r="O406">
            <v>0</v>
          </cell>
          <cell r="P406">
            <v>4.34</v>
          </cell>
          <cell r="Q406">
            <v>0</v>
          </cell>
          <cell r="R406">
            <v>2.19</v>
          </cell>
          <cell r="S406">
            <v>0</v>
          </cell>
          <cell r="T406">
            <v>34.369999999999997</v>
          </cell>
          <cell r="U406">
            <v>0</v>
          </cell>
          <cell r="V406">
            <v>0.25</v>
          </cell>
          <cell r="W406">
            <v>1</v>
          </cell>
          <cell r="X406">
            <v>0.05</v>
          </cell>
          <cell r="AJ406">
            <v>2</v>
          </cell>
          <cell r="AN406">
            <v>0.05</v>
          </cell>
          <cell r="BH406">
            <v>0.25</v>
          </cell>
        </row>
        <row r="407">
          <cell r="C407">
            <v>11305</v>
          </cell>
          <cell r="D407" t="str">
            <v>R/C PIPE (D=14")</v>
          </cell>
          <cell r="E407" t="str">
            <v>M</v>
          </cell>
          <cell r="F407">
            <v>0</v>
          </cell>
          <cell r="G407">
            <v>11</v>
          </cell>
          <cell r="H407">
            <v>1.183875</v>
          </cell>
          <cell r="I407">
            <v>1</v>
          </cell>
          <cell r="J407">
            <v>13.022625</v>
          </cell>
          <cell r="K407">
            <v>3.3</v>
          </cell>
          <cell r="L407">
            <v>0.253</v>
          </cell>
          <cell r="M407">
            <v>0</v>
          </cell>
          <cell r="N407">
            <v>30.12</v>
          </cell>
          <cell r="O407">
            <v>0</v>
          </cell>
          <cell r="P407">
            <v>4.74</v>
          </cell>
          <cell r="Q407">
            <v>0</v>
          </cell>
          <cell r="R407">
            <v>2.39</v>
          </cell>
          <cell r="S407">
            <v>0</v>
          </cell>
          <cell r="T407">
            <v>37.25</v>
          </cell>
          <cell r="U407">
            <v>0</v>
          </cell>
          <cell r="V407">
            <v>0.25</v>
          </cell>
          <cell r="W407">
            <v>1</v>
          </cell>
          <cell r="X407">
            <v>0.05</v>
          </cell>
          <cell r="AJ407">
            <v>2</v>
          </cell>
          <cell r="AN407">
            <v>0.05</v>
          </cell>
          <cell r="BH407">
            <v>0.25</v>
          </cell>
        </row>
        <row r="408">
          <cell r="C408">
            <v>11310</v>
          </cell>
          <cell r="D408" t="str">
            <v>R/C PIPE (D=16")</v>
          </cell>
          <cell r="E408" t="str">
            <v>M</v>
          </cell>
          <cell r="F408">
            <v>0</v>
          </cell>
          <cell r="G408">
            <v>11</v>
          </cell>
          <cell r="H408">
            <v>1.183875</v>
          </cell>
          <cell r="I408">
            <v>1</v>
          </cell>
          <cell r="J408">
            <v>13.022625</v>
          </cell>
          <cell r="K408">
            <v>3.3</v>
          </cell>
          <cell r="L408">
            <v>0.253</v>
          </cell>
          <cell r="M408">
            <v>0</v>
          </cell>
          <cell r="N408">
            <v>31.64</v>
          </cell>
          <cell r="O408">
            <v>0</v>
          </cell>
          <cell r="P408">
            <v>4.74</v>
          </cell>
          <cell r="Q408">
            <v>0</v>
          </cell>
          <cell r="R408">
            <v>2.39</v>
          </cell>
          <cell r="S408">
            <v>0</v>
          </cell>
          <cell r="T408">
            <v>38.770000000000003</v>
          </cell>
          <cell r="U408">
            <v>0</v>
          </cell>
          <cell r="V408">
            <v>0.25</v>
          </cell>
          <cell r="W408">
            <v>1</v>
          </cell>
          <cell r="X408">
            <v>0.05</v>
          </cell>
          <cell r="AJ408">
            <v>2</v>
          </cell>
          <cell r="AN408">
            <v>0.05</v>
          </cell>
          <cell r="BH408">
            <v>0.25</v>
          </cell>
        </row>
        <row r="409">
          <cell r="C409">
            <v>11315</v>
          </cell>
          <cell r="D409" t="str">
            <v>R/C PIPE (D=18")</v>
          </cell>
          <cell r="E409" t="str">
            <v>M</v>
          </cell>
          <cell r="F409">
            <v>0</v>
          </cell>
          <cell r="G409">
            <v>10</v>
          </cell>
          <cell r="H409">
            <v>1.183875</v>
          </cell>
          <cell r="I409">
            <v>1</v>
          </cell>
          <cell r="J409">
            <v>11.838750000000001</v>
          </cell>
          <cell r="K409">
            <v>3.3</v>
          </cell>
          <cell r="L409">
            <v>0.27900000000000003</v>
          </cell>
          <cell r="M409">
            <v>0</v>
          </cell>
          <cell r="N409">
            <v>58.53</v>
          </cell>
          <cell r="O409">
            <v>0</v>
          </cell>
          <cell r="P409">
            <v>5.21</v>
          </cell>
          <cell r="Q409">
            <v>0</v>
          </cell>
          <cell r="R409">
            <v>2.63</v>
          </cell>
          <cell r="S409">
            <v>0</v>
          </cell>
          <cell r="T409">
            <v>66.37</v>
          </cell>
          <cell r="U409">
            <v>0</v>
          </cell>
          <cell r="V409">
            <v>0.25</v>
          </cell>
          <cell r="W409">
            <v>1</v>
          </cell>
          <cell r="X409">
            <v>0.05</v>
          </cell>
          <cell r="AJ409">
            <v>2</v>
          </cell>
          <cell r="AN409">
            <v>0.05</v>
          </cell>
          <cell r="BH409">
            <v>0.25</v>
          </cell>
        </row>
        <row r="410">
          <cell r="C410">
            <v>11320</v>
          </cell>
          <cell r="D410" t="str">
            <v>R/C PIPE (D=20")</v>
          </cell>
          <cell r="E410" t="str">
            <v>M</v>
          </cell>
          <cell r="F410">
            <v>0</v>
          </cell>
          <cell r="G410">
            <v>10</v>
          </cell>
          <cell r="H410">
            <v>1.183875</v>
          </cell>
          <cell r="I410">
            <v>1</v>
          </cell>
          <cell r="J410">
            <v>11.838750000000001</v>
          </cell>
          <cell r="K410">
            <v>3.3</v>
          </cell>
          <cell r="L410">
            <v>0.27900000000000003</v>
          </cell>
          <cell r="M410">
            <v>0</v>
          </cell>
          <cell r="N410">
            <v>69.61</v>
          </cell>
          <cell r="O410">
            <v>0</v>
          </cell>
          <cell r="P410">
            <v>5.21</v>
          </cell>
          <cell r="Q410">
            <v>0</v>
          </cell>
          <cell r="R410">
            <v>2.63</v>
          </cell>
          <cell r="S410">
            <v>0</v>
          </cell>
          <cell r="T410">
            <v>77.449999999999989</v>
          </cell>
          <cell r="U410">
            <v>0</v>
          </cell>
          <cell r="V410">
            <v>0.25</v>
          </cell>
          <cell r="W410">
            <v>1</v>
          </cell>
          <cell r="X410">
            <v>0.05</v>
          </cell>
          <cell r="AJ410">
            <v>2</v>
          </cell>
          <cell r="AN410">
            <v>0.05</v>
          </cell>
          <cell r="BH410">
            <v>0.25</v>
          </cell>
        </row>
        <row r="411">
          <cell r="C411">
            <v>11325</v>
          </cell>
          <cell r="D411" t="str">
            <v>R/C PIPE (D=24")</v>
          </cell>
          <cell r="E411" t="str">
            <v>M</v>
          </cell>
          <cell r="F411">
            <v>0</v>
          </cell>
          <cell r="G411">
            <v>7</v>
          </cell>
          <cell r="H411">
            <v>1.183875</v>
          </cell>
          <cell r="I411">
            <v>1</v>
          </cell>
          <cell r="J411">
            <v>8.2871249999999996</v>
          </cell>
          <cell r="K411">
            <v>3.3</v>
          </cell>
          <cell r="L411">
            <v>0.39800000000000002</v>
          </cell>
          <cell r="M411">
            <v>0</v>
          </cell>
          <cell r="N411">
            <v>78.47</v>
          </cell>
          <cell r="O411">
            <v>0</v>
          </cell>
          <cell r="P411">
            <v>7.44</v>
          </cell>
          <cell r="Q411">
            <v>0</v>
          </cell>
          <cell r="R411">
            <v>3.76</v>
          </cell>
          <cell r="S411">
            <v>0</v>
          </cell>
          <cell r="T411">
            <v>89.67</v>
          </cell>
          <cell r="U411">
            <v>0</v>
          </cell>
          <cell r="V411">
            <v>0.25</v>
          </cell>
          <cell r="W411">
            <v>1</v>
          </cell>
          <cell r="X411">
            <v>0.05</v>
          </cell>
          <cell r="AJ411">
            <v>2</v>
          </cell>
          <cell r="AN411">
            <v>0.05</v>
          </cell>
          <cell r="BH411">
            <v>0.25</v>
          </cell>
        </row>
        <row r="412">
          <cell r="C412">
            <v>11330</v>
          </cell>
          <cell r="D412" t="str">
            <v>R/C PIPE (D=28")</v>
          </cell>
          <cell r="E412" t="str">
            <v>M</v>
          </cell>
          <cell r="F412">
            <v>0</v>
          </cell>
          <cell r="G412">
            <v>6</v>
          </cell>
          <cell r="H412">
            <v>1.183875</v>
          </cell>
          <cell r="I412">
            <v>1</v>
          </cell>
          <cell r="J412">
            <v>7.1032500000000001</v>
          </cell>
          <cell r="K412">
            <v>3.3</v>
          </cell>
          <cell r="L412">
            <v>0.46500000000000002</v>
          </cell>
          <cell r="M412">
            <v>0</v>
          </cell>
          <cell r="N412">
            <v>87.33</v>
          </cell>
          <cell r="O412">
            <v>0</v>
          </cell>
          <cell r="P412">
            <v>8.68</v>
          </cell>
          <cell r="Q412">
            <v>0</v>
          </cell>
          <cell r="R412">
            <v>4.38</v>
          </cell>
          <cell r="S412">
            <v>0</v>
          </cell>
          <cell r="T412">
            <v>100.38999999999999</v>
          </cell>
          <cell r="U412">
            <v>0</v>
          </cell>
          <cell r="V412">
            <v>0.25</v>
          </cell>
          <cell r="W412">
            <v>1</v>
          </cell>
          <cell r="X412">
            <v>0.05</v>
          </cell>
          <cell r="AJ412">
            <v>2</v>
          </cell>
          <cell r="AN412">
            <v>0.05</v>
          </cell>
          <cell r="BH412">
            <v>0.25</v>
          </cell>
        </row>
        <row r="413">
          <cell r="C413">
            <v>11335</v>
          </cell>
          <cell r="D413" t="str">
            <v>R/C PIPE (D=32")</v>
          </cell>
          <cell r="E413" t="str">
            <v>M</v>
          </cell>
          <cell r="F413">
            <v>0</v>
          </cell>
          <cell r="G413">
            <v>5</v>
          </cell>
          <cell r="H413">
            <v>1.183875</v>
          </cell>
          <cell r="I413">
            <v>1</v>
          </cell>
          <cell r="J413">
            <v>5.9193750000000005</v>
          </cell>
          <cell r="K413">
            <v>3.3</v>
          </cell>
          <cell r="L413">
            <v>0.55700000000000005</v>
          </cell>
          <cell r="M413">
            <v>0</v>
          </cell>
          <cell r="N413">
            <v>105.99</v>
          </cell>
          <cell r="O413">
            <v>0</v>
          </cell>
          <cell r="P413">
            <v>10.42</v>
          </cell>
          <cell r="Q413">
            <v>0</v>
          </cell>
          <cell r="R413">
            <v>5.26</v>
          </cell>
          <cell r="S413">
            <v>0</v>
          </cell>
          <cell r="T413">
            <v>121.67</v>
          </cell>
          <cell r="U413">
            <v>0</v>
          </cell>
          <cell r="V413">
            <v>0.25</v>
          </cell>
          <cell r="W413">
            <v>1</v>
          </cell>
          <cell r="X413">
            <v>0.05</v>
          </cell>
          <cell r="AJ413">
            <v>2</v>
          </cell>
          <cell r="AN413">
            <v>0.05</v>
          </cell>
          <cell r="BH413">
            <v>0.25</v>
          </cell>
        </row>
        <row r="414">
          <cell r="C414">
            <v>11340</v>
          </cell>
          <cell r="D414" t="str">
            <v>R/C PIPE (D=36")</v>
          </cell>
          <cell r="E414" t="str">
            <v>M</v>
          </cell>
          <cell r="F414">
            <v>0</v>
          </cell>
          <cell r="G414">
            <v>4</v>
          </cell>
          <cell r="H414">
            <v>1.183875</v>
          </cell>
          <cell r="I414">
            <v>1</v>
          </cell>
          <cell r="J414">
            <v>4.7355</v>
          </cell>
          <cell r="K414">
            <v>3.3</v>
          </cell>
          <cell r="L414">
            <v>0.69699999999999995</v>
          </cell>
          <cell r="M414">
            <v>0</v>
          </cell>
          <cell r="N414">
            <v>127.19</v>
          </cell>
          <cell r="O414">
            <v>0</v>
          </cell>
          <cell r="P414">
            <v>13.02</v>
          </cell>
          <cell r="Q414">
            <v>0</v>
          </cell>
          <cell r="R414">
            <v>6.58</v>
          </cell>
          <cell r="S414">
            <v>0</v>
          </cell>
          <cell r="T414">
            <v>146.79000000000002</v>
          </cell>
          <cell r="U414">
            <v>0</v>
          </cell>
          <cell r="V414">
            <v>0.25</v>
          </cell>
          <cell r="W414">
            <v>1</v>
          </cell>
          <cell r="X414">
            <v>0.05</v>
          </cell>
          <cell r="AJ414">
            <v>2</v>
          </cell>
          <cell r="AN414">
            <v>0.05</v>
          </cell>
          <cell r="BH414">
            <v>0.25</v>
          </cell>
        </row>
        <row r="415">
          <cell r="C415">
            <v>11345</v>
          </cell>
          <cell r="D415" t="str">
            <v>R/C PIPE (D=40")</v>
          </cell>
          <cell r="E415" t="str">
            <v>M</v>
          </cell>
          <cell r="F415">
            <v>0</v>
          </cell>
          <cell r="G415">
            <v>3</v>
          </cell>
          <cell r="H415">
            <v>1.183875</v>
          </cell>
          <cell r="I415">
            <v>1</v>
          </cell>
          <cell r="J415">
            <v>3.551625</v>
          </cell>
          <cell r="K415">
            <v>3.3</v>
          </cell>
          <cell r="L415">
            <v>0.92900000000000005</v>
          </cell>
          <cell r="M415">
            <v>0</v>
          </cell>
          <cell r="N415">
            <v>158.19999999999999</v>
          </cell>
          <cell r="O415">
            <v>0</v>
          </cell>
          <cell r="P415">
            <v>17.36</v>
          </cell>
          <cell r="Q415">
            <v>0</v>
          </cell>
          <cell r="R415">
            <v>8.77</v>
          </cell>
          <cell r="S415">
            <v>0</v>
          </cell>
          <cell r="T415">
            <v>184.33</v>
          </cell>
          <cell r="U415">
            <v>0</v>
          </cell>
          <cell r="V415">
            <v>0.25</v>
          </cell>
          <cell r="W415">
            <v>1</v>
          </cell>
          <cell r="X415">
            <v>0.05</v>
          </cell>
          <cell r="AJ415">
            <v>2</v>
          </cell>
          <cell r="AN415">
            <v>0.05</v>
          </cell>
          <cell r="BH415">
            <v>0.25</v>
          </cell>
        </row>
        <row r="416">
          <cell r="C416">
            <v>11350</v>
          </cell>
          <cell r="D416" t="str">
            <v>R/C PIPE (D=42")</v>
          </cell>
          <cell r="E416" t="str">
            <v>M</v>
          </cell>
          <cell r="F416">
            <v>0</v>
          </cell>
          <cell r="G416">
            <v>2.5</v>
          </cell>
          <cell r="H416">
            <v>1.183875</v>
          </cell>
          <cell r="I416">
            <v>1</v>
          </cell>
          <cell r="J416">
            <v>2.9596875000000002</v>
          </cell>
          <cell r="K416">
            <v>3.3</v>
          </cell>
          <cell r="L416">
            <v>1.115</v>
          </cell>
          <cell r="M416">
            <v>0</v>
          </cell>
          <cell r="N416">
            <v>166.43</v>
          </cell>
          <cell r="O416">
            <v>0</v>
          </cell>
          <cell r="P416">
            <v>20.84</v>
          </cell>
          <cell r="Q416">
            <v>0</v>
          </cell>
          <cell r="R416">
            <v>10.52</v>
          </cell>
          <cell r="S416">
            <v>0</v>
          </cell>
          <cell r="T416">
            <v>197.79000000000002</v>
          </cell>
          <cell r="U416">
            <v>0</v>
          </cell>
          <cell r="V416">
            <v>0.25</v>
          </cell>
          <cell r="W416">
            <v>1</v>
          </cell>
          <cell r="X416">
            <v>0.05</v>
          </cell>
          <cell r="AJ416">
            <v>2</v>
          </cell>
          <cell r="AN416">
            <v>0.05</v>
          </cell>
          <cell r="BH416">
            <v>0.25</v>
          </cell>
        </row>
        <row r="417">
          <cell r="C417">
            <v>11355</v>
          </cell>
          <cell r="D417" t="str">
            <v>R/C PIPE (D=54")</v>
          </cell>
          <cell r="E417" t="str">
            <v>M</v>
          </cell>
          <cell r="F417">
            <v>0</v>
          </cell>
          <cell r="G417">
            <v>2</v>
          </cell>
          <cell r="H417">
            <v>1.183875</v>
          </cell>
          <cell r="I417">
            <v>1</v>
          </cell>
          <cell r="J417">
            <v>2.36775</v>
          </cell>
          <cell r="K417">
            <v>3.3</v>
          </cell>
          <cell r="L417">
            <v>1.3939999999999999</v>
          </cell>
          <cell r="M417">
            <v>0</v>
          </cell>
          <cell r="N417">
            <v>202.5</v>
          </cell>
          <cell r="O417">
            <v>0</v>
          </cell>
          <cell r="P417">
            <v>26.05</v>
          </cell>
          <cell r="Q417">
            <v>0</v>
          </cell>
          <cell r="R417">
            <v>13.15</v>
          </cell>
          <cell r="S417">
            <v>0</v>
          </cell>
          <cell r="T417">
            <v>241.70000000000002</v>
          </cell>
          <cell r="U417">
            <v>0</v>
          </cell>
          <cell r="V417">
            <v>0.25</v>
          </cell>
          <cell r="W417">
            <v>1</v>
          </cell>
          <cell r="X417">
            <v>0.05</v>
          </cell>
          <cell r="AJ417">
            <v>2</v>
          </cell>
          <cell r="AN417">
            <v>0.05</v>
          </cell>
          <cell r="BH417">
            <v>0.25</v>
          </cell>
        </row>
        <row r="418">
          <cell r="C418">
            <v>11360</v>
          </cell>
          <cell r="D418" t="str">
            <v>R/C PIPE (D=60")</v>
          </cell>
          <cell r="E418" t="str">
            <v>M</v>
          </cell>
          <cell r="F418">
            <v>0</v>
          </cell>
          <cell r="G418">
            <v>1.8</v>
          </cell>
          <cell r="H418">
            <v>1.183875</v>
          </cell>
          <cell r="I418">
            <v>1</v>
          </cell>
          <cell r="J418">
            <v>2.1309750000000003</v>
          </cell>
          <cell r="K418">
            <v>3.3</v>
          </cell>
          <cell r="L418">
            <v>1.5489999999999999</v>
          </cell>
          <cell r="M418">
            <v>0</v>
          </cell>
          <cell r="N418">
            <v>225.28</v>
          </cell>
          <cell r="O418">
            <v>0</v>
          </cell>
          <cell r="P418">
            <v>28.94</v>
          </cell>
          <cell r="Q418">
            <v>0</v>
          </cell>
          <cell r="R418">
            <v>14.61</v>
          </cell>
          <cell r="S418">
            <v>0</v>
          </cell>
          <cell r="T418">
            <v>268.83</v>
          </cell>
          <cell r="U418">
            <v>0</v>
          </cell>
          <cell r="V418">
            <v>0.25</v>
          </cell>
          <cell r="W418">
            <v>1</v>
          </cell>
          <cell r="X418">
            <v>0.05</v>
          </cell>
          <cell r="AJ418">
            <v>2</v>
          </cell>
          <cell r="AN418">
            <v>0.05</v>
          </cell>
          <cell r="BH418">
            <v>0.25</v>
          </cell>
        </row>
        <row r="419">
          <cell r="C419">
            <v>11365</v>
          </cell>
          <cell r="D419" t="str">
            <v>R/C PIPE (D=64")</v>
          </cell>
          <cell r="E419" t="str">
            <v>M</v>
          </cell>
          <cell r="F419">
            <v>0</v>
          </cell>
          <cell r="G419">
            <v>1.6</v>
          </cell>
          <cell r="H419">
            <v>1.183875</v>
          </cell>
          <cell r="I419">
            <v>1</v>
          </cell>
          <cell r="J419">
            <v>1.8942000000000001</v>
          </cell>
          <cell r="K419">
            <v>3.3</v>
          </cell>
          <cell r="L419">
            <v>1.742</v>
          </cell>
          <cell r="M419">
            <v>0</v>
          </cell>
          <cell r="N419">
            <v>249.32</v>
          </cell>
          <cell r="O419">
            <v>0</v>
          </cell>
          <cell r="P419">
            <v>32.56</v>
          </cell>
          <cell r="Q419">
            <v>0</v>
          </cell>
          <cell r="R419">
            <v>16.440000000000001</v>
          </cell>
          <cell r="S419">
            <v>0</v>
          </cell>
          <cell r="T419">
            <v>298.32</v>
          </cell>
          <cell r="U419">
            <v>0</v>
          </cell>
          <cell r="V419">
            <v>0.25</v>
          </cell>
          <cell r="W419">
            <v>1</v>
          </cell>
          <cell r="X419">
            <v>0.05</v>
          </cell>
          <cell r="AJ419">
            <v>2</v>
          </cell>
          <cell r="AN419">
            <v>0.05</v>
          </cell>
          <cell r="BH419">
            <v>0.25</v>
          </cell>
        </row>
        <row r="420">
          <cell r="C420">
            <v>11370</v>
          </cell>
          <cell r="D420" t="str">
            <v>PCCP PIPE (D=20")</v>
          </cell>
          <cell r="E420" t="str">
            <v>M</v>
          </cell>
          <cell r="F420">
            <v>0</v>
          </cell>
          <cell r="G420">
            <v>1.6</v>
          </cell>
          <cell r="H420">
            <v>1.183875</v>
          </cell>
          <cell r="I420">
            <v>1</v>
          </cell>
          <cell r="J420">
            <v>1.8942000000000001</v>
          </cell>
          <cell r="K420">
            <v>3.3</v>
          </cell>
          <cell r="L420">
            <v>1.742</v>
          </cell>
          <cell r="M420">
            <v>0</v>
          </cell>
          <cell r="N420">
            <v>94.29</v>
          </cell>
          <cell r="O420">
            <v>0</v>
          </cell>
          <cell r="P420">
            <v>32.56</v>
          </cell>
          <cell r="Q420">
            <v>0</v>
          </cell>
          <cell r="R420">
            <v>7.94</v>
          </cell>
          <cell r="S420">
            <v>0</v>
          </cell>
          <cell r="T420">
            <v>134.79000000000002</v>
          </cell>
          <cell r="U420">
            <v>0</v>
          </cell>
          <cell r="V420">
            <v>0.25</v>
          </cell>
          <cell r="W420">
            <v>1</v>
          </cell>
          <cell r="X420">
            <v>0.05</v>
          </cell>
          <cell r="AJ420">
            <v>2</v>
          </cell>
          <cell r="AN420">
            <v>0.05</v>
          </cell>
        </row>
        <row r="421">
          <cell r="C421">
            <v>11375</v>
          </cell>
          <cell r="D421" t="str">
            <v>PCCP PIPE (D=24")</v>
          </cell>
          <cell r="E421" t="str">
            <v>M</v>
          </cell>
          <cell r="F421">
            <v>0</v>
          </cell>
          <cell r="G421">
            <v>1.3</v>
          </cell>
          <cell r="H421">
            <v>1.183875</v>
          </cell>
          <cell r="I421">
            <v>1</v>
          </cell>
          <cell r="J421">
            <v>1.5390375000000001</v>
          </cell>
          <cell r="K421">
            <v>3.3</v>
          </cell>
          <cell r="L421">
            <v>2.1440000000000001</v>
          </cell>
          <cell r="M421">
            <v>0</v>
          </cell>
          <cell r="N421">
            <v>119.6</v>
          </cell>
          <cell r="O421">
            <v>0</v>
          </cell>
          <cell r="P421">
            <v>40.07</v>
          </cell>
          <cell r="Q421">
            <v>0</v>
          </cell>
          <cell r="R421">
            <v>9.7799999999999994</v>
          </cell>
          <cell r="S421">
            <v>0</v>
          </cell>
          <cell r="T421">
            <v>169.45</v>
          </cell>
          <cell r="U421">
            <v>0</v>
          </cell>
          <cell r="V421">
            <v>0.25</v>
          </cell>
          <cell r="W421">
            <v>1</v>
          </cell>
          <cell r="X421">
            <v>0.05</v>
          </cell>
          <cell r="AJ421">
            <v>2</v>
          </cell>
          <cell r="AN421">
            <v>0.05</v>
          </cell>
        </row>
        <row r="422">
          <cell r="C422">
            <v>11380</v>
          </cell>
          <cell r="D422" t="str">
            <v>PCCP PIPE (D=28")</v>
          </cell>
          <cell r="E422" t="str">
            <v>M</v>
          </cell>
          <cell r="F422">
            <v>0</v>
          </cell>
          <cell r="G422">
            <v>1</v>
          </cell>
          <cell r="H422">
            <v>1.183875</v>
          </cell>
          <cell r="I422">
            <v>1</v>
          </cell>
          <cell r="J422">
            <v>1.183875</v>
          </cell>
          <cell r="K422">
            <v>3.3</v>
          </cell>
          <cell r="L422">
            <v>2.7869999999999999</v>
          </cell>
          <cell r="M422">
            <v>0</v>
          </cell>
          <cell r="N422">
            <v>139.22</v>
          </cell>
          <cell r="O422">
            <v>0</v>
          </cell>
          <cell r="P422">
            <v>52.09</v>
          </cell>
          <cell r="Q422">
            <v>0</v>
          </cell>
          <cell r="R422">
            <v>12.71</v>
          </cell>
          <cell r="S422">
            <v>0</v>
          </cell>
          <cell r="T422">
            <v>204.02</v>
          </cell>
          <cell r="U422">
            <v>0</v>
          </cell>
          <cell r="V422">
            <v>0.25</v>
          </cell>
          <cell r="W422">
            <v>1</v>
          </cell>
          <cell r="X422">
            <v>0.05</v>
          </cell>
          <cell r="AJ422">
            <v>2</v>
          </cell>
          <cell r="AN422">
            <v>0.05</v>
          </cell>
        </row>
        <row r="423">
          <cell r="C423">
            <v>11385</v>
          </cell>
          <cell r="D423" t="str">
            <v>PCCP PIPE (D=32")</v>
          </cell>
          <cell r="E423" t="str">
            <v>M</v>
          </cell>
          <cell r="F423">
            <v>0</v>
          </cell>
          <cell r="G423">
            <v>0.8</v>
          </cell>
          <cell r="H423">
            <v>1.183875</v>
          </cell>
          <cell r="I423">
            <v>1</v>
          </cell>
          <cell r="J423">
            <v>0.94710000000000005</v>
          </cell>
          <cell r="K423">
            <v>3.3</v>
          </cell>
          <cell r="L423">
            <v>3.484</v>
          </cell>
          <cell r="M423">
            <v>0</v>
          </cell>
          <cell r="N423">
            <v>158.83000000000001</v>
          </cell>
          <cell r="O423">
            <v>0</v>
          </cell>
          <cell r="P423">
            <v>65.12</v>
          </cell>
          <cell r="Q423">
            <v>0</v>
          </cell>
          <cell r="R423">
            <v>15.89</v>
          </cell>
          <cell r="S423">
            <v>0</v>
          </cell>
          <cell r="T423">
            <v>239.84000000000003</v>
          </cell>
          <cell r="U423">
            <v>0</v>
          </cell>
          <cell r="V423">
            <v>0.25</v>
          </cell>
          <cell r="W423">
            <v>1</v>
          </cell>
          <cell r="X423">
            <v>0.05</v>
          </cell>
          <cell r="AJ423">
            <v>2</v>
          </cell>
          <cell r="AN423">
            <v>0.05</v>
          </cell>
        </row>
        <row r="424">
          <cell r="C424">
            <v>11390</v>
          </cell>
          <cell r="D424" t="str">
            <v>PCCP PIPE (D=36")</v>
          </cell>
          <cell r="E424" t="str">
            <v>M</v>
          </cell>
          <cell r="F424">
            <v>0</v>
          </cell>
          <cell r="G424">
            <v>0.7</v>
          </cell>
          <cell r="H424">
            <v>1.183875</v>
          </cell>
          <cell r="I424">
            <v>1</v>
          </cell>
          <cell r="J424">
            <v>0.82871249999999996</v>
          </cell>
          <cell r="K424">
            <v>3.3</v>
          </cell>
          <cell r="L424">
            <v>3.9820000000000002</v>
          </cell>
          <cell r="M424">
            <v>0</v>
          </cell>
          <cell r="N424">
            <v>178.77</v>
          </cell>
          <cell r="O424">
            <v>0</v>
          </cell>
          <cell r="P424">
            <v>74.42</v>
          </cell>
          <cell r="Q424">
            <v>0</v>
          </cell>
          <cell r="R424">
            <v>18.16</v>
          </cell>
          <cell r="S424">
            <v>0</v>
          </cell>
          <cell r="T424">
            <v>271.35000000000002</v>
          </cell>
          <cell r="U424">
            <v>0</v>
          </cell>
          <cell r="V424">
            <v>0.25</v>
          </cell>
          <cell r="W424">
            <v>1</v>
          </cell>
          <cell r="X424">
            <v>0.05</v>
          </cell>
          <cell r="AJ424">
            <v>2</v>
          </cell>
          <cell r="AN424">
            <v>0.05</v>
          </cell>
        </row>
        <row r="425">
          <cell r="C425">
            <v>11395</v>
          </cell>
          <cell r="D425" t="str">
            <v>PCCP PIPE (D=40")</v>
          </cell>
          <cell r="E425" t="str">
            <v>M</v>
          </cell>
          <cell r="F425">
            <v>0</v>
          </cell>
          <cell r="G425">
            <v>0.7</v>
          </cell>
          <cell r="H425">
            <v>1.183875</v>
          </cell>
          <cell r="I425">
            <v>1</v>
          </cell>
          <cell r="J425">
            <v>0.82871249999999996</v>
          </cell>
          <cell r="K425">
            <v>3.3</v>
          </cell>
          <cell r="L425">
            <v>3.9820000000000002</v>
          </cell>
          <cell r="M425">
            <v>0</v>
          </cell>
          <cell r="N425">
            <v>224.64</v>
          </cell>
          <cell r="O425">
            <v>0</v>
          </cell>
          <cell r="P425">
            <v>74.42</v>
          </cell>
          <cell r="Q425">
            <v>0</v>
          </cell>
          <cell r="R425">
            <v>18.16</v>
          </cell>
          <cell r="S425">
            <v>0</v>
          </cell>
          <cell r="T425">
            <v>317.22000000000003</v>
          </cell>
          <cell r="U425">
            <v>0</v>
          </cell>
          <cell r="V425">
            <v>0.25</v>
          </cell>
          <cell r="W425">
            <v>1</v>
          </cell>
          <cell r="X425">
            <v>0.05</v>
          </cell>
          <cell r="AJ425">
            <v>2</v>
          </cell>
          <cell r="AN425">
            <v>0.05</v>
          </cell>
        </row>
        <row r="426">
          <cell r="C426">
            <v>11400</v>
          </cell>
          <cell r="D426" t="str">
            <v>PCCP PIPE (D=44")</v>
          </cell>
          <cell r="E426" t="str">
            <v>M</v>
          </cell>
          <cell r="F426">
            <v>0</v>
          </cell>
          <cell r="G426">
            <v>0.6</v>
          </cell>
          <cell r="H426">
            <v>1.183875</v>
          </cell>
          <cell r="I426">
            <v>1</v>
          </cell>
          <cell r="J426">
            <v>0.71032499999999998</v>
          </cell>
          <cell r="K426">
            <v>3.3</v>
          </cell>
          <cell r="L426">
            <v>4.6459999999999999</v>
          </cell>
          <cell r="M426">
            <v>0</v>
          </cell>
          <cell r="N426">
            <v>265.77999999999997</v>
          </cell>
          <cell r="O426">
            <v>0</v>
          </cell>
          <cell r="P426">
            <v>86.82</v>
          </cell>
          <cell r="Q426">
            <v>0</v>
          </cell>
          <cell r="R426">
            <v>21.18</v>
          </cell>
          <cell r="S426">
            <v>0</v>
          </cell>
          <cell r="T426">
            <v>373.78</v>
          </cell>
          <cell r="U426">
            <v>0</v>
          </cell>
          <cell r="V426">
            <v>0.25</v>
          </cell>
          <cell r="W426">
            <v>1</v>
          </cell>
          <cell r="X426">
            <v>0.05</v>
          </cell>
          <cell r="AJ426">
            <v>2</v>
          </cell>
          <cell r="AN426">
            <v>0.05</v>
          </cell>
        </row>
        <row r="427">
          <cell r="C427">
            <v>11405</v>
          </cell>
          <cell r="D427" t="str">
            <v>PCCP PIPE (D=54")</v>
          </cell>
          <cell r="E427" t="str">
            <v>M</v>
          </cell>
          <cell r="F427">
            <v>0</v>
          </cell>
          <cell r="G427">
            <v>0.5</v>
          </cell>
          <cell r="H427">
            <v>1.183875</v>
          </cell>
          <cell r="I427">
            <v>1</v>
          </cell>
          <cell r="J427">
            <v>0.59193750000000001</v>
          </cell>
          <cell r="K427">
            <v>3.3</v>
          </cell>
          <cell r="L427">
            <v>5.5750000000000002</v>
          </cell>
          <cell r="M427">
            <v>0</v>
          </cell>
          <cell r="N427">
            <v>367.02</v>
          </cell>
          <cell r="O427">
            <v>0</v>
          </cell>
          <cell r="P427">
            <v>104.18</v>
          </cell>
          <cell r="Q427">
            <v>0</v>
          </cell>
          <cell r="R427">
            <v>25.42</v>
          </cell>
          <cell r="S427">
            <v>0</v>
          </cell>
          <cell r="T427">
            <v>496.62</v>
          </cell>
          <cell r="U427">
            <v>0</v>
          </cell>
          <cell r="V427">
            <v>0.25</v>
          </cell>
          <cell r="W427">
            <v>1</v>
          </cell>
          <cell r="X427">
            <v>0.05</v>
          </cell>
          <cell r="AJ427">
            <v>2</v>
          </cell>
          <cell r="AN427">
            <v>0.05</v>
          </cell>
        </row>
        <row r="428">
          <cell r="C428">
            <v>11410</v>
          </cell>
          <cell r="D428" t="str">
            <v>PCCP PIPE (D=64")</v>
          </cell>
          <cell r="E428" t="str">
            <v>M</v>
          </cell>
          <cell r="F428">
            <v>0</v>
          </cell>
          <cell r="G428">
            <v>0.4</v>
          </cell>
          <cell r="H428">
            <v>1.183875</v>
          </cell>
          <cell r="I428">
            <v>1</v>
          </cell>
          <cell r="J428">
            <v>0.47355000000000003</v>
          </cell>
          <cell r="K428">
            <v>3.3</v>
          </cell>
          <cell r="L428">
            <v>6.9690000000000003</v>
          </cell>
          <cell r="M428">
            <v>0</v>
          </cell>
          <cell r="N428">
            <v>379.68</v>
          </cell>
          <cell r="O428">
            <v>0</v>
          </cell>
          <cell r="P428">
            <v>130.22999999999999</v>
          </cell>
          <cell r="Q428">
            <v>0</v>
          </cell>
          <cell r="R428">
            <v>31.77</v>
          </cell>
          <cell r="S428">
            <v>0</v>
          </cell>
          <cell r="T428">
            <v>541.67999999999995</v>
          </cell>
          <cell r="U428">
            <v>0</v>
          </cell>
          <cell r="V428">
            <v>0.25</v>
          </cell>
          <cell r="W428">
            <v>1</v>
          </cell>
          <cell r="X428">
            <v>0.05</v>
          </cell>
          <cell r="AJ428">
            <v>2</v>
          </cell>
          <cell r="AN428">
            <v>0.05</v>
          </cell>
        </row>
        <row r="429">
          <cell r="C429">
            <v>11415</v>
          </cell>
          <cell r="D429" t="str">
            <v>ASBESTOS CEMENT PIPE (D= 6")</v>
          </cell>
          <cell r="E429" t="str">
            <v>M</v>
          </cell>
          <cell r="F429">
            <v>0</v>
          </cell>
          <cell r="G429">
            <v>50</v>
          </cell>
          <cell r="H429">
            <v>1.183875</v>
          </cell>
          <cell r="I429">
            <v>1</v>
          </cell>
          <cell r="J429">
            <v>59.193750000000001</v>
          </cell>
          <cell r="K429">
            <v>3.25</v>
          </cell>
          <cell r="L429">
            <v>5.5E-2</v>
          </cell>
          <cell r="M429">
            <v>0</v>
          </cell>
          <cell r="N429">
            <v>11.07</v>
          </cell>
          <cell r="O429">
            <v>0</v>
          </cell>
          <cell r="P429">
            <v>1.02</v>
          </cell>
          <cell r="Q429">
            <v>0</v>
          </cell>
          <cell r="R429">
            <v>0</v>
          </cell>
          <cell r="S429">
            <v>0</v>
          </cell>
          <cell r="T429">
            <v>12.09</v>
          </cell>
          <cell r="U429">
            <v>0</v>
          </cell>
          <cell r="V429">
            <v>0.25</v>
          </cell>
          <cell r="W429">
            <v>1</v>
          </cell>
          <cell r="AJ429">
            <v>2</v>
          </cell>
        </row>
        <row r="430">
          <cell r="C430">
            <v>11420</v>
          </cell>
          <cell r="D430" t="str">
            <v>ASBESTOS CEMENT PIPE (D= 8")</v>
          </cell>
          <cell r="E430" t="str">
            <v>M</v>
          </cell>
          <cell r="F430">
            <v>0</v>
          </cell>
          <cell r="G430">
            <v>45</v>
          </cell>
          <cell r="H430">
            <v>1.183875</v>
          </cell>
          <cell r="I430">
            <v>1</v>
          </cell>
          <cell r="J430">
            <v>53.274374999999999</v>
          </cell>
          <cell r="K430">
            <v>3.25</v>
          </cell>
          <cell r="L430">
            <v>6.0999999999999999E-2</v>
          </cell>
          <cell r="M430">
            <v>0</v>
          </cell>
          <cell r="N430">
            <v>17.399999999999999</v>
          </cell>
          <cell r="O430">
            <v>0</v>
          </cell>
          <cell r="P430">
            <v>1.1399999999999999</v>
          </cell>
          <cell r="Q430">
            <v>0</v>
          </cell>
          <cell r="R430">
            <v>0</v>
          </cell>
          <cell r="S430">
            <v>0</v>
          </cell>
          <cell r="T430">
            <v>18.54</v>
          </cell>
          <cell r="U430">
            <v>0</v>
          </cell>
          <cell r="V430">
            <v>0.25</v>
          </cell>
          <cell r="W430">
            <v>1</v>
          </cell>
          <cell r="AJ430">
            <v>2</v>
          </cell>
        </row>
        <row r="431">
          <cell r="C431">
            <v>11425</v>
          </cell>
          <cell r="D431" t="str">
            <v>ASBESTOS CEMENT PIPE (D= 9")</v>
          </cell>
          <cell r="E431" t="str">
            <v>M</v>
          </cell>
          <cell r="F431">
            <v>0</v>
          </cell>
          <cell r="G431">
            <v>40</v>
          </cell>
          <cell r="H431">
            <v>1.183875</v>
          </cell>
          <cell r="I431">
            <v>1</v>
          </cell>
          <cell r="J431">
            <v>47.355000000000004</v>
          </cell>
          <cell r="K431">
            <v>3.25</v>
          </cell>
          <cell r="L431">
            <v>6.9000000000000006E-2</v>
          </cell>
          <cell r="M431">
            <v>0</v>
          </cell>
          <cell r="N431">
            <v>20.57</v>
          </cell>
          <cell r="O431">
            <v>0</v>
          </cell>
          <cell r="P431">
            <v>1.28</v>
          </cell>
          <cell r="Q431">
            <v>0</v>
          </cell>
          <cell r="R431">
            <v>0</v>
          </cell>
          <cell r="S431">
            <v>0</v>
          </cell>
          <cell r="T431">
            <v>21.85</v>
          </cell>
          <cell r="U431">
            <v>0</v>
          </cell>
          <cell r="V431">
            <v>0.25</v>
          </cell>
          <cell r="W431">
            <v>1</v>
          </cell>
          <cell r="AJ431">
            <v>2</v>
          </cell>
        </row>
        <row r="432">
          <cell r="C432">
            <v>11430</v>
          </cell>
          <cell r="D432" t="str">
            <v>ASBESTOS CEMENT PIPE (D=12")</v>
          </cell>
          <cell r="E432" t="str">
            <v>M</v>
          </cell>
          <cell r="F432">
            <v>0</v>
          </cell>
          <cell r="G432">
            <v>25</v>
          </cell>
          <cell r="H432">
            <v>1.183875</v>
          </cell>
          <cell r="I432">
            <v>1</v>
          </cell>
          <cell r="J432">
            <v>29.596875000000001</v>
          </cell>
          <cell r="K432">
            <v>3.3</v>
          </cell>
          <cell r="L432">
            <v>0.111</v>
          </cell>
          <cell r="M432">
            <v>0</v>
          </cell>
          <cell r="N432">
            <v>33.22</v>
          </cell>
          <cell r="O432">
            <v>0</v>
          </cell>
          <cell r="P432">
            <v>2.08</v>
          </cell>
          <cell r="Q432">
            <v>0</v>
          </cell>
          <cell r="R432">
            <v>0.51</v>
          </cell>
          <cell r="S432">
            <v>0</v>
          </cell>
          <cell r="T432">
            <v>35.809999999999995</v>
          </cell>
          <cell r="U432">
            <v>0</v>
          </cell>
          <cell r="V432">
            <v>0.25</v>
          </cell>
          <cell r="W432">
            <v>1</v>
          </cell>
          <cell r="X432">
            <v>0.05</v>
          </cell>
          <cell r="AJ432">
            <v>2</v>
          </cell>
          <cell r="AN432">
            <v>0.05</v>
          </cell>
        </row>
        <row r="433">
          <cell r="C433">
            <v>11435</v>
          </cell>
          <cell r="D433" t="str">
            <v>ASBESTOS CEMENT PIPE (D=16")</v>
          </cell>
          <cell r="E433" t="str">
            <v>M</v>
          </cell>
          <cell r="F433">
            <v>0</v>
          </cell>
          <cell r="G433">
            <v>18</v>
          </cell>
          <cell r="H433">
            <v>1.183875</v>
          </cell>
          <cell r="I433">
            <v>1</v>
          </cell>
          <cell r="J433">
            <v>21.309750000000001</v>
          </cell>
          <cell r="K433">
            <v>3.3</v>
          </cell>
          <cell r="L433">
            <v>0.155</v>
          </cell>
          <cell r="M433">
            <v>0</v>
          </cell>
          <cell r="N433">
            <v>50.94</v>
          </cell>
          <cell r="O433">
            <v>0</v>
          </cell>
          <cell r="P433">
            <v>2.89</v>
          </cell>
          <cell r="Q433">
            <v>0</v>
          </cell>
          <cell r="R433">
            <v>0.71</v>
          </cell>
          <cell r="S433">
            <v>0</v>
          </cell>
          <cell r="T433">
            <v>54.54</v>
          </cell>
          <cell r="U433">
            <v>0</v>
          </cell>
          <cell r="V433">
            <v>0.25</v>
          </cell>
          <cell r="W433">
            <v>1</v>
          </cell>
          <cell r="X433">
            <v>0.05</v>
          </cell>
          <cell r="AJ433">
            <v>2</v>
          </cell>
          <cell r="AN433">
            <v>0.05</v>
          </cell>
        </row>
        <row r="434">
          <cell r="C434">
            <v>11440</v>
          </cell>
          <cell r="D434" t="str">
            <v>ASBESTOS CEMENT PIPE (D=18")</v>
          </cell>
          <cell r="E434" t="str">
            <v>M</v>
          </cell>
          <cell r="F434">
            <v>0</v>
          </cell>
          <cell r="G434">
            <v>16</v>
          </cell>
          <cell r="H434">
            <v>1.183875</v>
          </cell>
          <cell r="I434">
            <v>1</v>
          </cell>
          <cell r="J434">
            <v>18.942</v>
          </cell>
          <cell r="K434">
            <v>3.3</v>
          </cell>
          <cell r="L434">
            <v>0.17399999999999999</v>
          </cell>
          <cell r="M434">
            <v>0</v>
          </cell>
          <cell r="N434">
            <v>58.85</v>
          </cell>
          <cell r="O434">
            <v>0</v>
          </cell>
          <cell r="P434">
            <v>3.26</v>
          </cell>
          <cell r="Q434">
            <v>0</v>
          </cell>
          <cell r="R434">
            <v>0.79</v>
          </cell>
          <cell r="S434">
            <v>0</v>
          </cell>
          <cell r="T434">
            <v>62.9</v>
          </cell>
          <cell r="U434">
            <v>0</v>
          </cell>
          <cell r="V434">
            <v>0.25</v>
          </cell>
          <cell r="W434">
            <v>1</v>
          </cell>
          <cell r="X434">
            <v>0.05</v>
          </cell>
          <cell r="AJ434">
            <v>2</v>
          </cell>
          <cell r="AN434">
            <v>0.05</v>
          </cell>
        </row>
        <row r="435">
          <cell r="C435">
            <v>11445</v>
          </cell>
          <cell r="D435" t="str">
            <v>ASBESTOS CEMENT PIPE (D=20")</v>
          </cell>
          <cell r="E435" t="str">
            <v>M</v>
          </cell>
          <cell r="F435">
            <v>0</v>
          </cell>
          <cell r="G435">
            <v>15</v>
          </cell>
          <cell r="H435">
            <v>1.183875</v>
          </cell>
          <cell r="I435">
            <v>1</v>
          </cell>
          <cell r="J435">
            <v>17.758125</v>
          </cell>
          <cell r="K435">
            <v>3.3</v>
          </cell>
          <cell r="L435">
            <v>0.186</v>
          </cell>
          <cell r="M435">
            <v>0</v>
          </cell>
          <cell r="N435">
            <v>81.63</v>
          </cell>
          <cell r="O435">
            <v>0</v>
          </cell>
          <cell r="P435">
            <v>3.47</v>
          </cell>
          <cell r="Q435">
            <v>0</v>
          </cell>
          <cell r="R435">
            <v>0.85</v>
          </cell>
          <cell r="S435">
            <v>0</v>
          </cell>
          <cell r="T435">
            <v>85.949999999999989</v>
          </cell>
          <cell r="U435">
            <v>0</v>
          </cell>
          <cell r="V435">
            <v>0.25</v>
          </cell>
          <cell r="W435">
            <v>1</v>
          </cell>
          <cell r="X435">
            <v>0.05</v>
          </cell>
          <cell r="AJ435">
            <v>2</v>
          </cell>
          <cell r="AN435">
            <v>0.05</v>
          </cell>
        </row>
        <row r="436">
          <cell r="C436">
            <v>11450</v>
          </cell>
          <cell r="D436" t="str">
            <v>ASBESTOS CEMENT PIPE (D=24")</v>
          </cell>
          <cell r="E436" t="str">
            <v>M</v>
          </cell>
          <cell r="F436">
            <v>0</v>
          </cell>
          <cell r="G436">
            <v>13</v>
          </cell>
          <cell r="H436">
            <v>1.183875</v>
          </cell>
          <cell r="I436">
            <v>1</v>
          </cell>
          <cell r="J436">
            <v>15.390375000000001</v>
          </cell>
          <cell r="K436">
            <v>3.3</v>
          </cell>
          <cell r="L436">
            <v>0.214</v>
          </cell>
          <cell r="M436">
            <v>0</v>
          </cell>
          <cell r="N436">
            <v>109.16</v>
          </cell>
          <cell r="O436">
            <v>0</v>
          </cell>
          <cell r="P436">
            <v>4.01</v>
          </cell>
          <cell r="Q436">
            <v>0</v>
          </cell>
          <cell r="R436">
            <v>0.98</v>
          </cell>
          <cell r="S436">
            <v>0</v>
          </cell>
          <cell r="T436">
            <v>114.15</v>
          </cell>
          <cell r="U436">
            <v>0</v>
          </cell>
          <cell r="V436">
            <v>0.25</v>
          </cell>
          <cell r="W436">
            <v>1</v>
          </cell>
          <cell r="X436">
            <v>0.05</v>
          </cell>
          <cell r="AJ436">
            <v>2</v>
          </cell>
          <cell r="AN436">
            <v>0.05</v>
          </cell>
        </row>
        <row r="437">
          <cell r="C437">
            <v>11455</v>
          </cell>
          <cell r="D437" t="str">
            <v>FRP PIPE (D= 4")</v>
          </cell>
          <cell r="E437" t="str">
            <v>M</v>
          </cell>
          <cell r="F437">
            <v>0</v>
          </cell>
          <cell r="G437">
            <v>50</v>
          </cell>
          <cell r="H437">
            <v>1.183875</v>
          </cell>
          <cell r="I437">
            <v>1</v>
          </cell>
          <cell r="J437">
            <v>59.193750000000001</v>
          </cell>
          <cell r="K437">
            <v>3.25</v>
          </cell>
          <cell r="L437">
            <v>5.5E-2</v>
          </cell>
          <cell r="M437">
            <v>0</v>
          </cell>
          <cell r="N437">
            <v>14.24</v>
          </cell>
          <cell r="O437">
            <v>0</v>
          </cell>
          <cell r="P437">
            <v>1.02</v>
          </cell>
          <cell r="Q437">
            <v>0</v>
          </cell>
          <cell r="R437">
            <v>0</v>
          </cell>
          <cell r="S437">
            <v>0</v>
          </cell>
          <cell r="T437">
            <v>15.26</v>
          </cell>
          <cell r="U437">
            <v>0</v>
          </cell>
          <cell r="V437">
            <v>0.25</v>
          </cell>
          <cell r="W437">
            <v>1</v>
          </cell>
          <cell r="AJ437">
            <v>2</v>
          </cell>
        </row>
        <row r="438">
          <cell r="C438">
            <v>11460</v>
          </cell>
          <cell r="D438" t="str">
            <v>FRP PIPE (D= 6")</v>
          </cell>
          <cell r="E438" t="str">
            <v>M</v>
          </cell>
          <cell r="F438">
            <v>0</v>
          </cell>
          <cell r="G438">
            <v>45</v>
          </cell>
          <cell r="H438">
            <v>1.183875</v>
          </cell>
          <cell r="I438">
            <v>1</v>
          </cell>
          <cell r="J438">
            <v>53.274374999999999</v>
          </cell>
          <cell r="K438">
            <v>3.25</v>
          </cell>
          <cell r="L438">
            <v>6.0999999999999999E-2</v>
          </cell>
          <cell r="M438">
            <v>0</v>
          </cell>
          <cell r="N438">
            <v>19.93</v>
          </cell>
          <cell r="O438">
            <v>0</v>
          </cell>
          <cell r="P438">
            <v>1.1399999999999999</v>
          </cell>
          <cell r="Q438">
            <v>0</v>
          </cell>
          <cell r="R438">
            <v>0</v>
          </cell>
          <cell r="S438">
            <v>0</v>
          </cell>
          <cell r="T438">
            <v>21.07</v>
          </cell>
          <cell r="U438">
            <v>0</v>
          </cell>
          <cell r="V438">
            <v>0.25</v>
          </cell>
          <cell r="W438">
            <v>1</v>
          </cell>
          <cell r="AJ438">
            <v>2</v>
          </cell>
        </row>
        <row r="439">
          <cell r="C439">
            <v>11465</v>
          </cell>
          <cell r="D439" t="str">
            <v>FRP PIPE (D= 8")</v>
          </cell>
          <cell r="E439" t="str">
            <v>M</v>
          </cell>
          <cell r="F439">
            <v>0</v>
          </cell>
          <cell r="G439">
            <v>40</v>
          </cell>
          <cell r="H439">
            <v>1.183875</v>
          </cell>
          <cell r="I439">
            <v>1</v>
          </cell>
          <cell r="J439">
            <v>47.355000000000004</v>
          </cell>
          <cell r="K439">
            <v>3.25</v>
          </cell>
          <cell r="L439">
            <v>6.9000000000000006E-2</v>
          </cell>
          <cell r="M439">
            <v>0</v>
          </cell>
          <cell r="N439">
            <v>28.16</v>
          </cell>
          <cell r="O439">
            <v>0</v>
          </cell>
          <cell r="P439">
            <v>1.28</v>
          </cell>
          <cell r="Q439">
            <v>0</v>
          </cell>
          <cell r="R439">
            <v>0</v>
          </cell>
          <cell r="S439">
            <v>0</v>
          </cell>
          <cell r="T439">
            <v>29.44</v>
          </cell>
          <cell r="U439">
            <v>0</v>
          </cell>
          <cell r="V439">
            <v>0.25</v>
          </cell>
          <cell r="W439">
            <v>1</v>
          </cell>
          <cell r="AJ439">
            <v>2</v>
          </cell>
        </row>
        <row r="440">
          <cell r="C440">
            <v>11470</v>
          </cell>
          <cell r="D440" t="str">
            <v>FRP PIPE (D=10")</v>
          </cell>
          <cell r="E440" t="str">
            <v>M</v>
          </cell>
          <cell r="F440">
            <v>0</v>
          </cell>
          <cell r="G440">
            <v>35</v>
          </cell>
          <cell r="H440">
            <v>1.183875</v>
          </cell>
          <cell r="I440">
            <v>1</v>
          </cell>
          <cell r="J440">
            <v>41.435625000000002</v>
          </cell>
          <cell r="K440">
            <v>3.25</v>
          </cell>
          <cell r="L440">
            <v>7.8E-2</v>
          </cell>
          <cell r="M440">
            <v>0</v>
          </cell>
          <cell r="N440">
            <v>38.28</v>
          </cell>
          <cell r="O440">
            <v>0</v>
          </cell>
          <cell r="P440">
            <v>1.46</v>
          </cell>
          <cell r="Q440">
            <v>0</v>
          </cell>
          <cell r="R440">
            <v>0</v>
          </cell>
          <cell r="S440">
            <v>0</v>
          </cell>
          <cell r="T440">
            <v>39.74</v>
          </cell>
          <cell r="U440">
            <v>0</v>
          </cell>
          <cell r="V440">
            <v>0.25</v>
          </cell>
          <cell r="W440">
            <v>1</v>
          </cell>
          <cell r="AJ440">
            <v>2</v>
          </cell>
        </row>
        <row r="441">
          <cell r="C441">
            <v>11475</v>
          </cell>
          <cell r="D441" t="str">
            <v>FRP PIPE (D=12")</v>
          </cell>
          <cell r="E441" t="str">
            <v>M</v>
          </cell>
          <cell r="F441">
            <v>0</v>
          </cell>
          <cell r="G441">
            <v>30</v>
          </cell>
          <cell r="H441">
            <v>1.183875</v>
          </cell>
          <cell r="I441">
            <v>1</v>
          </cell>
          <cell r="J441">
            <v>35.516249999999999</v>
          </cell>
          <cell r="K441">
            <v>3.25</v>
          </cell>
          <cell r="L441">
            <v>9.1999999999999998E-2</v>
          </cell>
          <cell r="M441">
            <v>0</v>
          </cell>
          <cell r="N441">
            <v>48.73</v>
          </cell>
          <cell r="O441">
            <v>0</v>
          </cell>
          <cell r="P441">
            <v>1.7</v>
          </cell>
          <cell r="Q441">
            <v>0</v>
          </cell>
          <cell r="R441">
            <v>0</v>
          </cell>
          <cell r="S441">
            <v>0</v>
          </cell>
          <cell r="T441">
            <v>50.43</v>
          </cell>
          <cell r="U441">
            <v>0</v>
          </cell>
          <cell r="V441">
            <v>0.25</v>
          </cell>
          <cell r="W441">
            <v>1</v>
          </cell>
          <cell r="AJ441">
            <v>2</v>
          </cell>
        </row>
        <row r="442">
          <cell r="C442">
            <v>11480</v>
          </cell>
          <cell r="D442" t="str">
            <v>FRP PIPE (D=14")</v>
          </cell>
          <cell r="E442" t="str">
            <v>M</v>
          </cell>
          <cell r="F442">
            <v>0</v>
          </cell>
          <cell r="G442">
            <v>28</v>
          </cell>
          <cell r="H442">
            <v>1.183875</v>
          </cell>
          <cell r="I442">
            <v>1</v>
          </cell>
          <cell r="J442">
            <v>33.148499999999999</v>
          </cell>
          <cell r="K442">
            <v>3.25</v>
          </cell>
          <cell r="L442">
            <v>9.8000000000000004E-2</v>
          </cell>
          <cell r="M442">
            <v>0</v>
          </cell>
          <cell r="N442">
            <v>99.67</v>
          </cell>
          <cell r="O442">
            <v>0</v>
          </cell>
          <cell r="P442">
            <v>1.83</v>
          </cell>
          <cell r="Q442">
            <v>0</v>
          </cell>
          <cell r="R442">
            <v>0</v>
          </cell>
          <cell r="S442">
            <v>0</v>
          </cell>
          <cell r="T442">
            <v>101.5</v>
          </cell>
          <cell r="U442">
            <v>0</v>
          </cell>
          <cell r="V442">
            <v>0.25</v>
          </cell>
          <cell r="W442">
            <v>1</v>
          </cell>
          <cell r="AJ442">
            <v>2</v>
          </cell>
        </row>
        <row r="443">
          <cell r="C443">
            <v>11485</v>
          </cell>
          <cell r="D443" t="str">
            <v>FRP PIPE (D=16")</v>
          </cell>
          <cell r="E443" t="str">
            <v>M</v>
          </cell>
          <cell r="F443">
            <v>0</v>
          </cell>
          <cell r="G443">
            <v>23</v>
          </cell>
          <cell r="H443">
            <v>1.183875</v>
          </cell>
          <cell r="I443">
            <v>1</v>
          </cell>
          <cell r="J443">
            <v>27.229125</v>
          </cell>
          <cell r="K443">
            <v>3.25</v>
          </cell>
          <cell r="L443">
            <v>0.11899999999999999</v>
          </cell>
          <cell r="M443">
            <v>0</v>
          </cell>
          <cell r="N443">
            <v>107.89</v>
          </cell>
          <cell r="O443">
            <v>0</v>
          </cell>
          <cell r="P443">
            <v>2.2200000000000002</v>
          </cell>
          <cell r="Q443">
            <v>0</v>
          </cell>
          <cell r="R443">
            <v>0</v>
          </cell>
          <cell r="S443">
            <v>0</v>
          </cell>
          <cell r="T443">
            <v>110.11</v>
          </cell>
          <cell r="U443">
            <v>0</v>
          </cell>
          <cell r="V443">
            <v>0.25</v>
          </cell>
          <cell r="W443">
            <v>1</v>
          </cell>
          <cell r="AJ443">
            <v>2</v>
          </cell>
        </row>
        <row r="444">
          <cell r="C444">
            <v>11490</v>
          </cell>
          <cell r="D444" t="str">
            <v>FRP PIPE (D=20")</v>
          </cell>
          <cell r="E444" t="str">
            <v>M</v>
          </cell>
          <cell r="F444">
            <v>0</v>
          </cell>
          <cell r="G444">
            <v>21</v>
          </cell>
          <cell r="H444">
            <v>1.183875</v>
          </cell>
          <cell r="I444">
            <v>1</v>
          </cell>
          <cell r="J444">
            <v>24.861374999999999</v>
          </cell>
          <cell r="K444">
            <v>3.3</v>
          </cell>
          <cell r="L444">
            <v>0.13300000000000001</v>
          </cell>
          <cell r="M444">
            <v>0</v>
          </cell>
          <cell r="N444">
            <v>144.28</v>
          </cell>
          <cell r="O444">
            <v>0</v>
          </cell>
          <cell r="P444">
            <v>2.48</v>
          </cell>
          <cell r="Q444">
            <v>0</v>
          </cell>
          <cell r="R444">
            <v>0.61</v>
          </cell>
          <cell r="S444">
            <v>0</v>
          </cell>
          <cell r="T444">
            <v>147.37</v>
          </cell>
          <cell r="U444">
            <v>0</v>
          </cell>
          <cell r="V444">
            <v>0.25</v>
          </cell>
          <cell r="W444">
            <v>1</v>
          </cell>
          <cell r="X444">
            <v>0.05</v>
          </cell>
          <cell r="AJ444">
            <v>2</v>
          </cell>
          <cell r="AN444">
            <v>0.05</v>
          </cell>
        </row>
        <row r="445">
          <cell r="C445">
            <v>11495</v>
          </cell>
          <cell r="D445" t="str">
            <v>FRP PIPE (D=24")</v>
          </cell>
          <cell r="E445" t="str">
            <v>M</v>
          </cell>
          <cell r="F445">
            <v>0</v>
          </cell>
          <cell r="G445">
            <v>19</v>
          </cell>
          <cell r="H445">
            <v>1.183875</v>
          </cell>
          <cell r="I445">
            <v>1</v>
          </cell>
          <cell r="J445">
            <v>22.493625000000002</v>
          </cell>
          <cell r="K445">
            <v>3.3</v>
          </cell>
          <cell r="L445">
            <v>0.14699999999999999</v>
          </cell>
          <cell r="M445">
            <v>0</v>
          </cell>
          <cell r="N445">
            <v>186.99</v>
          </cell>
          <cell r="O445">
            <v>0</v>
          </cell>
          <cell r="P445">
            <v>2.74</v>
          </cell>
          <cell r="Q445">
            <v>0</v>
          </cell>
          <cell r="R445">
            <v>0.67</v>
          </cell>
          <cell r="S445">
            <v>0</v>
          </cell>
          <cell r="T445">
            <v>190.4</v>
          </cell>
          <cell r="U445">
            <v>0</v>
          </cell>
          <cell r="V445">
            <v>0.25</v>
          </cell>
          <cell r="W445">
            <v>1</v>
          </cell>
          <cell r="X445">
            <v>0.05</v>
          </cell>
          <cell r="AJ445">
            <v>2</v>
          </cell>
          <cell r="AN445">
            <v>0.05</v>
          </cell>
        </row>
        <row r="446">
          <cell r="C446">
            <v>11500</v>
          </cell>
          <cell r="D446" t="str">
            <v>FRP PIPE (D=27")</v>
          </cell>
          <cell r="E446" t="str">
            <v>M</v>
          </cell>
          <cell r="F446">
            <v>0</v>
          </cell>
          <cell r="G446">
            <v>16</v>
          </cell>
          <cell r="H446">
            <v>1.183875</v>
          </cell>
          <cell r="I446">
            <v>1</v>
          </cell>
          <cell r="J446">
            <v>18.942</v>
          </cell>
          <cell r="K446">
            <v>3.3</v>
          </cell>
          <cell r="L446">
            <v>0.17399999999999999</v>
          </cell>
          <cell r="M446">
            <v>0</v>
          </cell>
          <cell r="N446">
            <v>189.84</v>
          </cell>
          <cell r="O446">
            <v>0</v>
          </cell>
          <cell r="P446">
            <v>3.26</v>
          </cell>
          <cell r="Q446">
            <v>0</v>
          </cell>
          <cell r="R446">
            <v>0.79</v>
          </cell>
          <cell r="S446">
            <v>0</v>
          </cell>
          <cell r="T446">
            <v>193.89</v>
          </cell>
          <cell r="U446">
            <v>0</v>
          </cell>
          <cell r="V446">
            <v>0.25</v>
          </cell>
          <cell r="W446">
            <v>1</v>
          </cell>
          <cell r="X446">
            <v>0.05</v>
          </cell>
          <cell r="AJ446">
            <v>2</v>
          </cell>
          <cell r="AN446">
            <v>0.05</v>
          </cell>
        </row>
        <row r="447">
          <cell r="C447">
            <v>11505</v>
          </cell>
          <cell r="D447" t="str">
            <v>GRP PIPE (D= 6")</v>
          </cell>
          <cell r="E447" t="str">
            <v>M</v>
          </cell>
          <cell r="F447">
            <v>0</v>
          </cell>
          <cell r="G447">
            <v>33</v>
          </cell>
          <cell r="H447">
            <v>1.183875</v>
          </cell>
          <cell r="I447">
            <v>1</v>
          </cell>
          <cell r="J447">
            <v>39.067875000000001</v>
          </cell>
          <cell r="K447">
            <v>3.25</v>
          </cell>
          <cell r="L447">
            <v>8.3000000000000004E-2</v>
          </cell>
          <cell r="M447">
            <v>0</v>
          </cell>
          <cell r="N447">
            <v>0</v>
          </cell>
          <cell r="O447">
            <v>0</v>
          </cell>
          <cell r="P447">
            <v>1.55</v>
          </cell>
          <cell r="Q447">
            <v>0</v>
          </cell>
          <cell r="R447">
            <v>0</v>
          </cell>
          <cell r="S447">
            <v>0</v>
          </cell>
          <cell r="T447">
            <v>1.55</v>
          </cell>
          <cell r="U447">
            <v>0</v>
          </cell>
          <cell r="V447">
            <v>0.25</v>
          </cell>
          <cell r="W447">
            <v>1</v>
          </cell>
          <cell r="AJ447">
            <v>2</v>
          </cell>
        </row>
        <row r="448">
          <cell r="C448">
            <v>11510</v>
          </cell>
          <cell r="D448" t="str">
            <v>GRP PIPE (D= 8")</v>
          </cell>
          <cell r="E448" t="str">
            <v>M</v>
          </cell>
          <cell r="F448">
            <v>0</v>
          </cell>
          <cell r="G448">
            <v>20</v>
          </cell>
          <cell r="H448">
            <v>1.183875</v>
          </cell>
          <cell r="I448">
            <v>1</v>
          </cell>
          <cell r="J448">
            <v>23.677500000000002</v>
          </cell>
          <cell r="K448">
            <v>3.25</v>
          </cell>
          <cell r="L448">
            <v>0.13700000000000001</v>
          </cell>
          <cell r="M448">
            <v>0</v>
          </cell>
          <cell r="N448">
            <v>0</v>
          </cell>
          <cell r="O448">
            <v>0</v>
          </cell>
          <cell r="P448">
            <v>2.56</v>
          </cell>
          <cell r="Q448">
            <v>0</v>
          </cell>
          <cell r="R448">
            <v>0</v>
          </cell>
          <cell r="S448">
            <v>0</v>
          </cell>
          <cell r="T448">
            <v>2.56</v>
          </cell>
          <cell r="U448">
            <v>0</v>
          </cell>
          <cell r="V448">
            <v>0.25</v>
          </cell>
          <cell r="W448">
            <v>1</v>
          </cell>
          <cell r="AJ448">
            <v>2</v>
          </cell>
        </row>
        <row r="449">
          <cell r="C449">
            <v>11515</v>
          </cell>
          <cell r="D449" t="str">
            <v>GRP PIPE (D=10")</v>
          </cell>
          <cell r="E449" t="str">
            <v>M</v>
          </cell>
          <cell r="F449">
            <v>0</v>
          </cell>
          <cell r="G449">
            <v>15</v>
          </cell>
          <cell r="H449">
            <v>1.183875</v>
          </cell>
          <cell r="I449">
            <v>1</v>
          </cell>
          <cell r="J449">
            <v>17.758125</v>
          </cell>
          <cell r="K449">
            <v>3.25</v>
          </cell>
          <cell r="L449">
            <v>0.183</v>
          </cell>
          <cell r="M449">
            <v>0</v>
          </cell>
          <cell r="N449">
            <v>0</v>
          </cell>
          <cell r="O449">
            <v>0</v>
          </cell>
          <cell r="P449">
            <v>3.41</v>
          </cell>
          <cell r="Q449">
            <v>0</v>
          </cell>
          <cell r="R449">
            <v>0</v>
          </cell>
          <cell r="S449">
            <v>0</v>
          </cell>
          <cell r="T449">
            <v>3.41</v>
          </cell>
          <cell r="U449">
            <v>0</v>
          </cell>
          <cell r="V449">
            <v>0.25</v>
          </cell>
          <cell r="W449">
            <v>1</v>
          </cell>
          <cell r="AJ449">
            <v>2</v>
          </cell>
        </row>
        <row r="450">
          <cell r="C450">
            <v>11520</v>
          </cell>
          <cell r="D450" t="str">
            <v>GRP PIPE (D=12")</v>
          </cell>
          <cell r="E450" t="str">
            <v>M</v>
          </cell>
          <cell r="F450">
            <v>0</v>
          </cell>
          <cell r="G450">
            <v>12</v>
          </cell>
          <cell r="H450">
            <v>1.183875</v>
          </cell>
          <cell r="I450">
            <v>1</v>
          </cell>
          <cell r="J450">
            <v>14.2065</v>
          </cell>
          <cell r="K450">
            <v>3.25</v>
          </cell>
          <cell r="L450">
            <v>0.22900000000000001</v>
          </cell>
          <cell r="M450">
            <v>0</v>
          </cell>
          <cell r="N450">
            <v>0</v>
          </cell>
          <cell r="O450">
            <v>0</v>
          </cell>
          <cell r="P450">
            <v>4.26</v>
          </cell>
          <cell r="Q450">
            <v>0</v>
          </cell>
          <cell r="R450">
            <v>0</v>
          </cell>
          <cell r="S450">
            <v>0</v>
          </cell>
          <cell r="T450">
            <v>4.26</v>
          </cell>
          <cell r="U450">
            <v>0</v>
          </cell>
          <cell r="V450">
            <v>0.25</v>
          </cell>
          <cell r="W450">
            <v>1</v>
          </cell>
          <cell r="AJ450">
            <v>2</v>
          </cell>
        </row>
        <row r="451">
          <cell r="G451" t="str">
            <v>BASE</v>
          </cell>
          <cell r="H451" t="str">
            <v>SITE</v>
          </cell>
          <cell r="I451" t="str">
            <v>UNIT</v>
          </cell>
          <cell r="J451" t="str">
            <v>BASE</v>
          </cell>
          <cell r="K451" t="str">
            <v>BASE</v>
          </cell>
          <cell r="L451" t="str">
            <v>UNIT M/D</v>
          </cell>
          <cell r="M451" t="str">
            <v>SUB-TOT.</v>
          </cell>
          <cell r="N451" t="str">
            <v>MAT</v>
          </cell>
          <cell r="O451" t="str">
            <v>MAT</v>
          </cell>
          <cell r="P451" t="str">
            <v>LABOUR</v>
          </cell>
          <cell r="Q451" t="str">
            <v>LABOUR</v>
          </cell>
          <cell r="R451" t="str">
            <v>EQUIP.</v>
          </cell>
          <cell r="S451" t="str">
            <v>EQUIP.</v>
          </cell>
          <cell r="T451" t="str">
            <v>UNIT</v>
          </cell>
          <cell r="V451" t="str">
            <v>FOREMAN</v>
          </cell>
          <cell r="W451" t="str">
            <v>LABOUR</v>
          </cell>
          <cell r="X451" t="str">
            <v>EQUIP.</v>
          </cell>
          <cell r="Y451" t="str">
            <v>M/C</v>
          </cell>
          <cell r="Z451" t="str">
            <v>DRIVER</v>
          </cell>
          <cell r="AA451" t="str">
            <v>PAVIOR</v>
          </cell>
          <cell r="AB451" t="str">
            <v>CONC.</v>
          </cell>
          <cell r="AC451" t="str">
            <v>PLASTER/</v>
          </cell>
          <cell r="AD451" t="str">
            <v>REBAR</v>
          </cell>
          <cell r="AE451" t="str">
            <v>CARPENTER</v>
          </cell>
          <cell r="AF451" t="str">
            <v>RIGGER/</v>
          </cell>
          <cell r="AG451" t="str">
            <v>STEEL</v>
          </cell>
          <cell r="AH451" t="str">
            <v>A/C</v>
          </cell>
          <cell r="AI451" t="str">
            <v>PAINTER</v>
          </cell>
          <cell r="AJ451" t="str">
            <v>PLUMBER/</v>
          </cell>
          <cell r="AK451" t="str">
            <v>BACKHOE</v>
          </cell>
          <cell r="AL451" t="str">
            <v>HYDRO</v>
          </cell>
          <cell r="AM451" t="str">
            <v>DUMP</v>
          </cell>
          <cell r="AN451" t="str">
            <v>CRANE</v>
          </cell>
          <cell r="AO451" t="str">
            <v>CRANE</v>
          </cell>
          <cell r="AP451" t="str">
            <v>DIESEL</v>
          </cell>
          <cell r="AQ451" t="str">
            <v>VIB.</v>
          </cell>
          <cell r="AR451" t="str">
            <v>AUGER</v>
          </cell>
          <cell r="AS451" t="str">
            <v>PAY</v>
          </cell>
          <cell r="AT451" t="str">
            <v>DOZER</v>
          </cell>
          <cell r="AU451" t="str">
            <v>DOZER</v>
          </cell>
          <cell r="AV451" t="str">
            <v>GRADER</v>
          </cell>
          <cell r="AW451" t="str">
            <v>VIB.</v>
          </cell>
          <cell r="AX451" t="str">
            <v>CONC.</v>
          </cell>
          <cell r="AY451" t="str">
            <v>WATER</v>
          </cell>
          <cell r="AZ451" t="str">
            <v>CONC</v>
          </cell>
          <cell r="BA451" t="str">
            <v>CONC.</v>
          </cell>
          <cell r="BB451" t="str">
            <v>BAR BENDER/</v>
          </cell>
          <cell r="BC451" t="str">
            <v>ASPHALT</v>
          </cell>
          <cell r="BD451" t="str">
            <v>ASPHALT</v>
          </cell>
          <cell r="BE451" t="str">
            <v>TIRE</v>
          </cell>
          <cell r="BF451" t="str">
            <v>AIR</v>
          </cell>
          <cell r="BG451" t="str">
            <v>CARGO</v>
          </cell>
          <cell r="BH451" t="str">
            <v>FORK</v>
          </cell>
          <cell r="BI451" t="str">
            <v>CONC</v>
          </cell>
          <cell r="BJ451" t="str">
            <v>WELDING</v>
          </cell>
          <cell r="BK451" t="str">
            <v>WELDING</v>
          </cell>
          <cell r="BL451" t="str">
            <v>GENERATOR</v>
          </cell>
          <cell r="BM451" t="str">
            <v>AIR</v>
          </cell>
          <cell r="BN451" t="str">
            <v>GUNNITE</v>
          </cell>
        </row>
        <row r="452">
          <cell r="C452" t="str">
            <v>CODE NO.</v>
          </cell>
          <cell r="D452" t="str">
            <v>WORK ITEM</v>
          </cell>
          <cell r="E452" t="str">
            <v>UNIT</v>
          </cell>
          <cell r="F452" t="str">
            <v>Q'TY</v>
          </cell>
          <cell r="G452" t="str">
            <v>VOL.</v>
          </cell>
          <cell r="H452" t="str">
            <v>CONDITION</v>
          </cell>
          <cell r="I452" t="str">
            <v>CHANGE</v>
          </cell>
          <cell r="J452" t="str">
            <v>VOL.</v>
          </cell>
          <cell r="K452" t="str">
            <v>M/D</v>
          </cell>
          <cell r="L452" t="str">
            <v>BASE</v>
          </cell>
          <cell r="M452" t="str">
            <v>M/D</v>
          </cell>
          <cell r="N452" t="str">
            <v>U/P</v>
          </cell>
          <cell r="O452" t="str">
            <v>COST</v>
          </cell>
          <cell r="P452" t="str">
            <v>U/P</v>
          </cell>
          <cell r="Q452" t="str">
            <v>COST</v>
          </cell>
          <cell r="R452" t="str">
            <v>U/P</v>
          </cell>
          <cell r="S452" t="str">
            <v>COST</v>
          </cell>
          <cell r="T452" t="str">
            <v>TOTAL</v>
          </cell>
          <cell r="U452" t="str">
            <v>TOTAL</v>
          </cell>
          <cell r="X452" t="str">
            <v>OPERATOR</v>
          </cell>
          <cell r="Y452" t="str">
            <v>OPERATOR</v>
          </cell>
          <cell r="AB452" t="str">
            <v>WORKER</v>
          </cell>
          <cell r="AC452" t="str">
            <v>BRICK/</v>
          </cell>
          <cell r="AD452" t="str">
            <v>WORKER</v>
          </cell>
          <cell r="AF452" t="str">
            <v>SCAFFOLDER</v>
          </cell>
          <cell r="AG452" t="str">
            <v>WORKER</v>
          </cell>
          <cell r="AH452" t="str">
            <v>WELDER</v>
          </cell>
          <cell r="AJ452" t="str">
            <v>P. FITTER</v>
          </cell>
          <cell r="AL452" t="str">
            <v>BREAKER</v>
          </cell>
          <cell r="AM452" t="str">
            <v>TRUCK</v>
          </cell>
          <cell r="AN452" t="str">
            <v>WHEEL</v>
          </cell>
          <cell r="AO452" t="str">
            <v>CRAWLER</v>
          </cell>
          <cell r="AP452" t="str">
            <v>PILE HAMMER</v>
          </cell>
          <cell r="AQ452" t="str">
            <v>HAMMER</v>
          </cell>
          <cell r="AR452" t="str">
            <v>BORING M/C</v>
          </cell>
          <cell r="AS452" t="str">
            <v>LOADER</v>
          </cell>
          <cell r="AW452" t="str">
            <v>ROLLER</v>
          </cell>
          <cell r="AX452" t="str">
            <v>PUMP CAR</v>
          </cell>
          <cell r="AY452" t="str">
            <v>TRUCK</v>
          </cell>
          <cell r="AZ452" t="str">
            <v>MIXER TRUCK</v>
          </cell>
          <cell r="BA452" t="str">
            <v>MIXER</v>
          </cell>
          <cell r="BB452" t="str">
            <v>CUTTER</v>
          </cell>
          <cell r="BC452" t="str">
            <v>DISTRIBUTOR</v>
          </cell>
          <cell r="BD452" t="str">
            <v>FINISHER</v>
          </cell>
          <cell r="BE452" t="str">
            <v>ROLLER</v>
          </cell>
          <cell r="BF452" t="str">
            <v>COMPRESSOR</v>
          </cell>
          <cell r="BG452" t="str">
            <v>TRUCK</v>
          </cell>
          <cell r="BH452" t="str">
            <v>LIFT</v>
          </cell>
          <cell r="BI452" t="str">
            <v>BATCH PLANT</v>
          </cell>
          <cell r="BJ452" t="str">
            <v xml:space="preserve">M/C </v>
          </cell>
          <cell r="BK452" t="str">
            <v xml:space="preserve">M/C </v>
          </cell>
          <cell r="BM452" t="str">
            <v>COMPRESSOR</v>
          </cell>
        </row>
        <row r="453">
          <cell r="H453" t="str">
            <v>CHANGE</v>
          </cell>
          <cell r="AC453" t="str">
            <v>W.PROOFER</v>
          </cell>
          <cell r="AK453" t="str">
            <v>0.7 M3</v>
          </cell>
          <cell r="AL453" t="str">
            <v>0.7 M3</v>
          </cell>
          <cell r="AM453" t="str">
            <v>15 TON</v>
          </cell>
          <cell r="AN453" t="str">
            <v>25 TON</v>
          </cell>
          <cell r="AO453" t="str">
            <v>50 TON</v>
          </cell>
          <cell r="AP453" t="str">
            <v>3.2 TON</v>
          </cell>
          <cell r="AQ453" t="str">
            <v>3.2 TON</v>
          </cell>
          <cell r="AR453" t="str">
            <v>50 TON</v>
          </cell>
          <cell r="AS453" t="str">
            <v>2.4 M3</v>
          </cell>
          <cell r="AT453" t="str">
            <v>19 TON</v>
          </cell>
          <cell r="AU453" t="str">
            <v>32 TON</v>
          </cell>
          <cell r="AV453" t="str">
            <v>3.6 M</v>
          </cell>
          <cell r="AW453" t="str">
            <v>10 TON</v>
          </cell>
          <cell r="AX453" t="str">
            <v>80 M3/HR</v>
          </cell>
          <cell r="AY453" t="str">
            <v>10 M3</v>
          </cell>
          <cell r="AZ453" t="str">
            <v>6 M3</v>
          </cell>
          <cell r="BA453" t="str">
            <v>0.3 M3</v>
          </cell>
          <cell r="BB453" t="str">
            <v>D32 MM</v>
          </cell>
          <cell r="BC453" t="str">
            <v>3800 L</v>
          </cell>
          <cell r="BD453" t="str">
            <v>3 M</v>
          </cell>
          <cell r="BE453" t="str">
            <v>15 TON</v>
          </cell>
          <cell r="BF453" t="str">
            <v>250 CFM</v>
          </cell>
          <cell r="BG453" t="str">
            <v>11 TON</v>
          </cell>
          <cell r="BH453" t="str">
            <v>2.5 TON</v>
          </cell>
          <cell r="BI453" t="str">
            <v>60 M3/HR</v>
          </cell>
          <cell r="BJ453" t="str">
            <v>200 A.</v>
          </cell>
          <cell r="BL453" t="str">
            <v>115 KW</v>
          </cell>
          <cell r="BM453" t="str">
            <v>125 CFM</v>
          </cell>
          <cell r="BN453" t="str">
            <v>SET</v>
          </cell>
        </row>
        <row r="454">
          <cell r="I454">
            <v>0</v>
          </cell>
          <cell r="T454">
            <v>0</v>
          </cell>
        </row>
        <row r="455">
          <cell r="C455">
            <v>12000</v>
          </cell>
          <cell r="D455" t="str">
            <v>CHAIN LINK FENCE (SSD-1)</v>
          </cell>
          <cell r="E455" t="str">
            <v>M</v>
          </cell>
          <cell r="F455">
            <v>0</v>
          </cell>
          <cell r="G455">
            <v>32</v>
          </cell>
          <cell r="H455">
            <v>1.183875</v>
          </cell>
          <cell r="I455">
            <v>1</v>
          </cell>
          <cell r="J455">
            <v>37.884</v>
          </cell>
          <cell r="K455">
            <v>6.9</v>
          </cell>
          <cell r="L455">
            <v>0.182</v>
          </cell>
          <cell r="M455">
            <v>0</v>
          </cell>
          <cell r="N455">
            <v>33.35781647058824</v>
          </cell>
          <cell r="O455">
            <v>0</v>
          </cell>
          <cell r="P455">
            <v>3.25</v>
          </cell>
          <cell r="Q455">
            <v>0</v>
          </cell>
          <cell r="R455">
            <v>1.53</v>
          </cell>
          <cell r="S455">
            <v>0</v>
          </cell>
          <cell r="T455">
            <v>38.137816470588241</v>
          </cell>
          <cell r="U455">
            <v>0</v>
          </cell>
          <cell r="V455">
            <v>0.5</v>
          </cell>
          <cell r="W455">
            <v>5</v>
          </cell>
          <cell r="X455">
            <v>0.2</v>
          </cell>
          <cell r="Z455">
            <v>0.2</v>
          </cell>
          <cell r="AG455">
            <v>1</v>
          </cell>
          <cell r="AS455">
            <v>0.2</v>
          </cell>
          <cell r="BH455">
            <v>0.2</v>
          </cell>
        </row>
        <row r="456">
          <cell r="C456">
            <v>12010</v>
          </cell>
          <cell r="D456" t="str">
            <v>CHAIN LINK FENCE (SSD-2)</v>
          </cell>
          <cell r="E456" t="str">
            <v>M</v>
          </cell>
          <cell r="F456">
            <v>0</v>
          </cell>
          <cell r="G456">
            <v>50</v>
          </cell>
          <cell r="H456">
            <v>1.183875</v>
          </cell>
          <cell r="I456">
            <v>1</v>
          </cell>
          <cell r="J456">
            <v>59.193750000000001</v>
          </cell>
          <cell r="K456">
            <v>6.9</v>
          </cell>
          <cell r="L456">
            <v>0.11700000000000001</v>
          </cell>
          <cell r="M456">
            <v>0</v>
          </cell>
          <cell r="N456">
            <v>37.150400000000012</v>
          </cell>
          <cell r="O456">
            <v>0</v>
          </cell>
          <cell r="P456">
            <v>2.08</v>
          </cell>
          <cell r="Q456">
            <v>0</v>
          </cell>
          <cell r="R456">
            <v>0.98</v>
          </cell>
          <cell r="S456">
            <v>0</v>
          </cell>
          <cell r="T456">
            <v>40.210400000000007</v>
          </cell>
          <cell r="U456">
            <v>0</v>
          </cell>
          <cell r="V456">
            <v>0.5</v>
          </cell>
          <cell r="W456">
            <v>5</v>
          </cell>
          <cell r="X456">
            <v>0.2</v>
          </cell>
          <cell r="Z456">
            <v>0.2</v>
          </cell>
          <cell r="AG456">
            <v>1</v>
          </cell>
          <cell r="AS456">
            <v>0.2</v>
          </cell>
          <cell r="BH456">
            <v>0.2</v>
          </cell>
        </row>
        <row r="457">
          <cell r="C457">
            <v>12020</v>
          </cell>
          <cell r="D457" t="str">
            <v>CHAIN LINK FENCE (SSD-3)</v>
          </cell>
          <cell r="E457" t="str">
            <v>M</v>
          </cell>
          <cell r="F457">
            <v>0</v>
          </cell>
          <cell r="G457">
            <v>58</v>
          </cell>
          <cell r="H457">
            <v>1.183875</v>
          </cell>
          <cell r="I457">
            <v>1</v>
          </cell>
          <cell r="J457">
            <v>68.664749999999998</v>
          </cell>
          <cell r="K457">
            <v>6.9</v>
          </cell>
          <cell r="L457">
            <v>0.1</v>
          </cell>
          <cell r="M457">
            <v>0</v>
          </cell>
          <cell r="N457">
            <v>32.956000000000003</v>
          </cell>
          <cell r="O457">
            <v>0</v>
          </cell>
          <cell r="P457">
            <v>1.79</v>
          </cell>
          <cell r="Q457">
            <v>0</v>
          </cell>
          <cell r="R457">
            <v>0.84</v>
          </cell>
          <cell r="S457">
            <v>0</v>
          </cell>
          <cell r="T457">
            <v>35.586000000000006</v>
          </cell>
          <cell r="U457">
            <v>0</v>
          </cell>
          <cell r="V457">
            <v>0.5</v>
          </cell>
          <cell r="W457">
            <v>5</v>
          </cell>
          <cell r="X457">
            <v>0.2</v>
          </cell>
          <cell r="Z457">
            <v>0.2</v>
          </cell>
          <cell r="AG457">
            <v>1</v>
          </cell>
          <cell r="AS457">
            <v>0.2</v>
          </cell>
          <cell r="BH457">
            <v>0.2</v>
          </cell>
        </row>
        <row r="458">
          <cell r="C458">
            <v>12030</v>
          </cell>
          <cell r="D458" t="str">
            <v>CHAIN LINK FENCE (SSD-1)SUBCON.</v>
          </cell>
          <cell r="E458" t="str">
            <v>M</v>
          </cell>
          <cell r="F458">
            <v>0</v>
          </cell>
          <cell r="G458">
            <v>1</v>
          </cell>
          <cell r="H458">
            <v>1</v>
          </cell>
          <cell r="I458">
            <v>1</v>
          </cell>
          <cell r="J458">
            <v>1</v>
          </cell>
          <cell r="K458">
            <v>0.04</v>
          </cell>
          <cell r="L458">
            <v>0.04</v>
          </cell>
          <cell r="M458">
            <v>0</v>
          </cell>
          <cell r="N458">
            <v>106.66666666666667</v>
          </cell>
          <cell r="O458">
            <v>0</v>
          </cell>
          <cell r="P458">
            <v>0.64</v>
          </cell>
          <cell r="Q458">
            <v>0</v>
          </cell>
          <cell r="R458">
            <v>0</v>
          </cell>
          <cell r="S458">
            <v>0</v>
          </cell>
          <cell r="T458">
            <v>107.30666666666667</v>
          </cell>
          <cell r="U458">
            <v>0</v>
          </cell>
          <cell r="W458">
            <v>0.04</v>
          </cell>
        </row>
        <row r="459">
          <cell r="C459">
            <v>12040</v>
          </cell>
          <cell r="D459" t="str">
            <v>CHAIN LINK FENCE (SSD-2)SUBCON.</v>
          </cell>
          <cell r="E459" t="str">
            <v>M</v>
          </cell>
          <cell r="F459">
            <v>0</v>
          </cell>
          <cell r="G459">
            <v>1</v>
          </cell>
          <cell r="H459">
            <v>1</v>
          </cell>
          <cell r="I459">
            <v>1</v>
          </cell>
          <cell r="J459">
            <v>1</v>
          </cell>
          <cell r="K459">
            <v>0.04</v>
          </cell>
          <cell r="L459">
            <v>0.04</v>
          </cell>
          <cell r="M459">
            <v>0</v>
          </cell>
          <cell r="N459">
            <v>93.333333333333329</v>
          </cell>
          <cell r="O459">
            <v>0</v>
          </cell>
          <cell r="P459">
            <v>0.64</v>
          </cell>
          <cell r="Q459">
            <v>0</v>
          </cell>
          <cell r="R459">
            <v>0</v>
          </cell>
          <cell r="S459">
            <v>0</v>
          </cell>
          <cell r="T459">
            <v>93.973333333333329</v>
          </cell>
          <cell r="U459">
            <v>0</v>
          </cell>
          <cell r="W459">
            <v>0.04</v>
          </cell>
        </row>
        <row r="460">
          <cell r="C460">
            <v>12050</v>
          </cell>
          <cell r="D460" t="str">
            <v>CHAIN LINK FENCE (SSD-3)SUBCON.</v>
          </cell>
          <cell r="E460" t="str">
            <v>M</v>
          </cell>
          <cell r="F460">
            <v>0</v>
          </cell>
          <cell r="G460">
            <v>1</v>
          </cell>
          <cell r="H460">
            <v>1</v>
          </cell>
          <cell r="I460">
            <v>1</v>
          </cell>
          <cell r="J460">
            <v>1</v>
          </cell>
          <cell r="K460">
            <v>0.04</v>
          </cell>
          <cell r="L460">
            <v>0.04</v>
          </cell>
          <cell r="M460">
            <v>0</v>
          </cell>
          <cell r="N460">
            <v>80</v>
          </cell>
          <cell r="O460">
            <v>0</v>
          </cell>
          <cell r="P460">
            <v>0.64</v>
          </cell>
          <cell r="Q460">
            <v>0</v>
          </cell>
          <cell r="R460">
            <v>0</v>
          </cell>
          <cell r="S460">
            <v>0</v>
          </cell>
          <cell r="T460">
            <v>80.64</v>
          </cell>
          <cell r="U460">
            <v>0</v>
          </cell>
          <cell r="W460">
            <v>0.04</v>
          </cell>
        </row>
        <row r="461">
          <cell r="C461">
            <v>12060</v>
          </cell>
          <cell r="D461" t="str">
            <v>SSD-5 DOUBLE LIFT GATE 10M WIDE</v>
          </cell>
          <cell r="E461" t="str">
            <v>NOS</v>
          </cell>
          <cell r="F461">
            <v>0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>
            <v>0.5</v>
          </cell>
          <cell r="L461">
            <v>0.5</v>
          </cell>
          <cell r="M461">
            <v>0</v>
          </cell>
          <cell r="N461">
            <v>2133.3333333333335</v>
          </cell>
          <cell r="O461">
            <v>0</v>
          </cell>
          <cell r="P461">
            <v>8.0399999999999991</v>
          </cell>
          <cell r="Q461">
            <v>0</v>
          </cell>
          <cell r="R461">
            <v>0</v>
          </cell>
          <cell r="S461">
            <v>0</v>
          </cell>
          <cell r="T461">
            <v>2141.3733333333334</v>
          </cell>
          <cell r="U461">
            <v>0</v>
          </cell>
          <cell r="W461">
            <v>0.5</v>
          </cell>
        </row>
        <row r="462">
          <cell r="C462">
            <v>12070</v>
          </cell>
          <cell r="D462" t="str">
            <v>SAFTY BARRIER TYPE 1</v>
          </cell>
          <cell r="E462" t="str">
            <v>NOS</v>
          </cell>
          <cell r="F462">
            <v>0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0.5</v>
          </cell>
          <cell r="L462">
            <v>0.5</v>
          </cell>
          <cell r="M462">
            <v>0</v>
          </cell>
          <cell r="N462">
            <v>376.64000000000004</v>
          </cell>
          <cell r="O462">
            <v>0</v>
          </cell>
          <cell r="P462">
            <v>8.0399999999999991</v>
          </cell>
          <cell r="Q462">
            <v>0</v>
          </cell>
          <cell r="R462">
            <v>0</v>
          </cell>
          <cell r="S462">
            <v>0</v>
          </cell>
          <cell r="T462">
            <v>384.68000000000006</v>
          </cell>
          <cell r="U462">
            <v>0</v>
          </cell>
          <cell r="W462">
            <v>0.5</v>
          </cell>
        </row>
        <row r="463">
          <cell r="C463">
            <v>12080</v>
          </cell>
          <cell r="D463" t="str">
            <v>SAFTY BARRIER TYPE 2</v>
          </cell>
          <cell r="E463" t="str">
            <v>NOS</v>
          </cell>
          <cell r="F463">
            <v>0</v>
          </cell>
          <cell r="G463">
            <v>1</v>
          </cell>
          <cell r="H463">
            <v>1</v>
          </cell>
          <cell r="I463">
            <v>1</v>
          </cell>
          <cell r="J463">
            <v>1</v>
          </cell>
          <cell r="K463">
            <v>0.5</v>
          </cell>
          <cell r="L463">
            <v>0.5</v>
          </cell>
          <cell r="M463">
            <v>0</v>
          </cell>
          <cell r="N463">
            <v>103.03999999999999</v>
          </cell>
          <cell r="O463">
            <v>0</v>
          </cell>
          <cell r="P463">
            <v>8.0399999999999991</v>
          </cell>
          <cell r="Q463">
            <v>0</v>
          </cell>
          <cell r="R463">
            <v>0</v>
          </cell>
          <cell r="S463">
            <v>0</v>
          </cell>
          <cell r="T463">
            <v>111.07999999999998</v>
          </cell>
          <cell r="U463">
            <v>0</v>
          </cell>
          <cell r="W463">
            <v>0.5</v>
          </cell>
        </row>
        <row r="464">
          <cell r="C464">
            <v>12090</v>
          </cell>
          <cell r="D464" t="str">
            <v>ELEC RISING BARRIER (L=8M)</v>
          </cell>
          <cell r="E464" t="str">
            <v>NOS</v>
          </cell>
          <cell r="F464">
            <v>0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0.5</v>
          </cell>
          <cell r="L464">
            <v>0.5</v>
          </cell>
          <cell r="M464">
            <v>0</v>
          </cell>
          <cell r="N464">
            <v>5333.333333333333</v>
          </cell>
          <cell r="O464">
            <v>0</v>
          </cell>
          <cell r="P464">
            <v>8.0399999999999991</v>
          </cell>
          <cell r="Q464">
            <v>0</v>
          </cell>
          <cell r="R464">
            <v>0</v>
          </cell>
          <cell r="S464">
            <v>0</v>
          </cell>
          <cell r="T464">
            <v>5341.373333333333</v>
          </cell>
          <cell r="U464">
            <v>0</v>
          </cell>
          <cell r="W464">
            <v>0.5</v>
          </cell>
        </row>
        <row r="465">
          <cell r="C465">
            <v>12100</v>
          </cell>
          <cell r="D465" t="str">
            <v>CHAIN LINK GATE BY HAND (0.8x2.1h)</v>
          </cell>
          <cell r="E465" t="str">
            <v>NOS</v>
          </cell>
          <cell r="F465">
            <v>0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0.5</v>
          </cell>
          <cell r="L465">
            <v>0.5</v>
          </cell>
          <cell r="M465">
            <v>0</v>
          </cell>
          <cell r="N465">
            <v>640</v>
          </cell>
          <cell r="O465">
            <v>0</v>
          </cell>
          <cell r="P465">
            <v>8.0399999999999991</v>
          </cell>
          <cell r="Q465">
            <v>0</v>
          </cell>
          <cell r="R465">
            <v>0</v>
          </cell>
          <cell r="S465">
            <v>0</v>
          </cell>
          <cell r="T465">
            <v>648.04</v>
          </cell>
          <cell r="U465">
            <v>0</v>
          </cell>
          <cell r="W465">
            <v>0.5</v>
          </cell>
        </row>
        <row r="466">
          <cell r="C466">
            <v>12110</v>
          </cell>
          <cell r="D466" t="str">
            <v>GATE (1M)</v>
          </cell>
          <cell r="E466" t="str">
            <v>NOS</v>
          </cell>
          <cell r="F466">
            <v>0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0.5</v>
          </cell>
          <cell r="L466">
            <v>0.5</v>
          </cell>
          <cell r="M466">
            <v>0</v>
          </cell>
          <cell r="N466">
            <v>770.56</v>
          </cell>
          <cell r="O466">
            <v>0</v>
          </cell>
          <cell r="P466">
            <v>8.0399999999999991</v>
          </cell>
          <cell r="Q466">
            <v>0</v>
          </cell>
          <cell r="R466">
            <v>0</v>
          </cell>
          <cell r="S466">
            <v>0</v>
          </cell>
          <cell r="T466">
            <v>778.59999999999991</v>
          </cell>
          <cell r="U466">
            <v>0</v>
          </cell>
          <cell r="W466">
            <v>0.5</v>
          </cell>
        </row>
        <row r="467">
          <cell r="C467">
            <v>12120</v>
          </cell>
          <cell r="D467" t="str">
            <v>SSD-5 SINGLE LIFT GATE 1.2M WIDE</v>
          </cell>
          <cell r="E467" t="str">
            <v>NOS</v>
          </cell>
          <cell r="F467">
            <v>0</v>
          </cell>
          <cell r="G467">
            <v>1</v>
          </cell>
          <cell r="H467">
            <v>1</v>
          </cell>
          <cell r="I467">
            <v>1</v>
          </cell>
          <cell r="J467">
            <v>1</v>
          </cell>
          <cell r="K467">
            <v>0.5</v>
          </cell>
          <cell r="L467">
            <v>0.5</v>
          </cell>
          <cell r="M467">
            <v>0</v>
          </cell>
          <cell r="N467">
            <v>1066.6666666666667</v>
          </cell>
          <cell r="O467">
            <v>0</v>
          </cell>
          <cell r="P467">
            <v>8.0399999999999991</v>
          </cell>
          <cell r="Q467">
            <v>0</v>
          </cell>
          <cell r="R467">
            <v>0</v>
          </cell>
          <cell r="S467">
            <v>0</v>
          </cell>
          <cell r="T467">
            <v>1074.7066666666667</v>
          </cell>
          <cell r="U467">
            <v>0</v>
          </cell>
          <cell r="W467">
            <v>0.5</v>
          </cell>
        </row>
        <row r="468">
          <cell r="C468">
            <v>12130</v>
          </cell>
          <cell r="D468" t="str">
            <v>CHAIN LINK GATE BY HAND (2.1x8h)</v>
          </cell>
          <cell r="E468" t="str">
            <v>NOS</v>
          </cell>
          <cell r="F468">
            <v>0</v>
          </cell>
          <cell r="G468">
            <v>1</v>
          </cell>
          <cell r="H468">
            <v>1</v>
          </cell>
          <cell r="I468">
            <v>1</v>
          </cell>
          <cell r="J468">
            <v>1</v>
          </cell>
          <cell r="K468">
            <v>0.5</v>
          </cell>
          <cell r="L468">
            <v>0.5</v>
          </cell>
          <cell r="M468">
            <v>0</v>
          </cell>
          <cell r="N468">
            <v>933.33333333333337</v>
          </cell>
          <cell r="O468">
            <v>0</v>
          </cell>
          <cell r="P468">
            <v>8.0399999999999991</v>
          </cell>
          <cell r="Q468">
            <v>0</v>
          </cell>
          <cell r="R468">
            <v>0</v>
          </cell>
          <cell r="S468">
            <v>0</v>
          </cell>
          <cell r="T468">
            <v>941.37333333333333</v>
          </cell>
          <cell r="U468">
            <v>0</v>
          </cell>
          <cell r="W468">
            <v>0.5</v>
          </cell>
        </row>
        <row r="469">
          <cell r="C469">
            <v>12140</v>
          </cell>
          <cell r="D469" t="str">
            <v>GATE (4M)</v>
          </cell>
          <cell r="E469" t="str">
            <v>NOS</v>
          </cell>
          <cell r="F469">
            <v>0</v>
          </cell>
          <cell r="G469">
            <v>1</v>
          </cell>
          <cell r="H469">
            <v>1</v>
          </cell>
          <cell r="I469">
            <v>1</v>
          </cell>
          <cell r="J469">
            <v>1</v>
          </cell>
          <cell r="K469">
            <v>0.5</v>
          </cell>
          <cell r="L469">
            <v>0.5</v>
          </cell>
          <cell r="M469">
            <v>0</v>
          </cell>
          <cell r="N469">
            <v>1301.1199999999999</v>
          </cell>
          <cell r="O469">
            <v>0</v>
          </cell>
          <cell r="P469">
            <v>8.0399999999999991</v>
          </cell>
          <cell r="Q469">
            <v>0</v>
          </cell>
          <cell r="R469">
            <v>0</v>
          </cell>
          <cell r="S469">
            <v>0</v>
          </cell>
          <cell r="T469">
            <v>1309.1599999999999</v>
          </cell>
          <cell r="U469">
            <v>0</v>
          </cell>
          <cell r="W469">
            <v>0.5</v>
          </cell>
        </row>
        <row r="470">
          <cell r="C470">
            <v>12150</v>
          </cell>
          <cell r="D470" t="str">
            <v>GATE (6M)</v>
          </cell>
          <cell r="E470" t="str">
            <v>NOS</v>
          </cell>
          <cell r="F470">
            <v>0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0.5</v>
          </cell>
          <cell r="L470">
            <v>0.5</v>
          </cell>
          <cell r="M470">
            <v>0</v>
          </cell>
          <cell r="N470">
            <v>1968.96</v>
          </cell>
          <cell r="O470">
            <v>0</v>
          </cell>
          <cell r="P470">
            <v>8.0399999999999991</v>
          </cell>
          <cell r="Q470">
            <v>0</v>
          </cell>
          <cell r="R470">
            <v>0</v>
          </cell>
          <cell r="S470">
            <v>0</v>
          </cell>
          <cell r="T470">
            <v>1977</v>
          </cell>
          <cell r="U470">
            <v>0</v>
          </cell>
          <cell r="W470">
            <v>0.5</v>
          </cell>
        </row>
        <row r="471">
          <cell r="C471">
            <v>12160</v>
          </cell>
          <cell r="D471" t="str">
            <v>AUTO SLIDING GATE (6M*3M HIGHT)</v>
          </cell>
          <cell r="E471" t="str">
            <v>NOS</v>
          </cell>
          <cell r="F471">
            <v>0</v>
          </cell>
          <cell r="G471">
            <v>1</v>
          </cell>
          <cell r="H471">
            <v>1</v>
          </cell>
          <cell r="I471">
            <v>1</v>
          </cell>
          <cell r="J471">
            <v>1</v>
          </cell>
          <cell r="K471">
            <v>0.5</v>
          </cell>
          <cell r="L471">
            <v>0.5</v>
          </cell>
          <cell r="M471">
            <v>0</v>
          </cell>
          <cell r="N471">
            <v>7710.1333333333332</v>
          </cell>
          <cell r="O471">
            <v>0</v>
          </cell>
          <cell r="P471">
            <v>8.0399999999999991</v>
          </cell>
          <cell r="Q471">
            <v>0</v>
          </cell>
          <cell r="R471">
            <v>0</v>
          </cell>
          <cell r="S471">
            <v>0</v>
          </cell>
          <cell r="T471">
            <v>7718.1733333333332</v>
          </cell>
          <cell r="U471">
            <v>0</v>
          </cell>
          <cell r="W471">
            <v>0.5</v>
          </cell>
        </row>
        <row r="472">
          <cell r="C472">
            <v>13000</v>
          </cell>
          <cell r="D472" t="str">
            <v>ACID RESISTANT TILE/WALL</v>
          </cell>
          <cell r="E472" t="str">
            <v>M2</v>
          </cell>
          <cell r="F472">
            <v>0</v>
          </cell>
          <cell r="G472">
            <v>2.5</v>
          </cell>
          <cell r="H472">
            <v>1.183875</v>
          </cell>
          <cell r="I472">
            <v>1</v>
          </cell>
          <cell r="J472">
            <v>2.9596875000000002</v>
          </cell>
          <cell r="K472">
            <v>3.25</v>
          </cell>
          <cell r="L472">
            <v>1.0980000000000001</v>
          </cell>
          <cell r="M472">
            <v>0</v>
          </cell>
          <cell r="N472">
            <v>104.37</v>
          </cell>
          <cell r="O472">
            <v>0</v>
          </cell>
          <cell r="P472">
            <v>21.87</v>
          </cell>
          <cell r="Q472">
            <v>0</v>
          </cell>
          <cell r="R472">
            <v>0</v>
          </cell>
          <cell r="S472">
            <v>0</v>
          </cell>
          <cell r="T472">
            <v>126.24000000000001</v>
          </cell>
          <cell r="U472">
            <v>0</v>
          </cell>
          <cell r="V472">
            <v>0.25</v>
          </cell>
          <cell r="W472">
            <v>1</v>
          </cell>
          <cell r="AC472">
            <v>2</v>
          </cell>
        </row>
        <row r="473">
          <cell r="C473">
            <v>13010</v>
          </cell>
          <cell r="D473" t="str">
            <v>ACID RESISTANT TILE/FLOOR</v>
          </cell>
          <cell r="E473" t="str">
            <v>M2</v>
          </cell>
          <cell r="F473">
            <v>0</v>
          </cell>
          <cell r="G473">
            <v>4</v>
          </cell>
          <cell r="H473">
            <v>1.183875</v>
          </cell>
          <cell r="I473">
            <v>1</v>
          </cell>
          <cell r="J473">
            <v>4.7355</v>
          </cell>
          <cell r="K473">
            <v>3.25</v>
          </cell>
          <cell r="L473">
            <v>0.68600000000000005</v>
          </cell>
          <cell r="M473">
            <v>0</v>
          </cell>
          <cell r="N473">
            <v>104.37</v>
          </cell>
          <cell r="O473">
            <v>0</v>
          </cell>
          <cell r="P473">
            <v>13.67</v>
          </cell>
          <cell r="Q473">
            <v>0</v>
          </cell>
          <cell r="R473">
            <v>0</v>
          </cell>
          <cell r="S473">
            <v>0</v>
          </cell>
          <cell r="T473">
            <v>118.04</v>
          </cell>
          <cell r="U473">
            <v>0</v>
          </cell>
          <cell r="V473">
            <v>0.25</v>
          </cell>
          <cell r="W473">
            <v>1</v>
          </cell>
          <cell r="AC473">
            <v>2</v>
          </cell>
        </row>
        <row r="474">
          <cell r="C474">
            <v>13011</v>
          </cell>
          <cell r="D474" t="str">
            <v>CHMICAL COATING ON CONC (IPSAL)</v>
          </cell>
          <cell r="E474" t="str">
            <v>M2</v>
          </cell>
          <cell r="F474">
            <v>0</v>
          </cell>
          <cell r="G474">
            <v>1</v>
          </cell>
          <cell r="H474">
            <v>1</v>
          </cell>
          <cell r="I474">
            <v>1</v>
          </cell>
          <cell r="J474">
            <v>1</v>
          </cell>
          <cell r="K474">
            <v>0.05</v>
          </cell>
          <cell r="L474">
            <v>0.05</v>
          </cell>
          <cell r="M474">
            <v>0</v>
          </cell>
          <cell r="N474">
            <v>55.2</v>
          </cell>
          <cell r="O474">
            <v>0</v>
          </cell>
          <cell r="P474">
            <v>0.8</v>
          </cell>
          <cell r="Q474">
            <v>0</v>
          </cell>
          <cell r="R474">
            <v>0</v>
          </cell>
          <cell r="S474">
            <v>0</v>
          </cell>
          <cell r="T474">
            <v>56</v>
          </cell>
          <cell r="U474">
            <v>0</v>
          </cell>
          <cell r="W474">
            <v>0.05</v>
          </cell>
        </row>
        <row r="475">
          <cell r="C475">
            <v>13012</v>
          </cell>
          <cell r="D475" t="str">
            <v>CHMICAL COATING ON CONC (PLASITE)</v>
          </cell>
          <cell r="E475" t="str">
            <v>M2</v>
          </cell>
          <cell r="F475">
            <v>0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0.05</v>
          </cell>
          <cell r="L475">
            <v>0.05</v>
          </cell>
          <cell r="M475">
            <v>0</v>
          </cell>
          <cell r="N475">
            <v>97.066666666666663</v>
          </cell>
          <cell r="O475">
            <v>0</v>
          </cell>
          <cell r="P475">
            <v>0.8</v>
          </cell>
          <cell r="Q475">
            <v>0</v>
          </cell>
          <cell r="R475">
            <v>0</v>
          </cell>
          <cell r="S475">
            <v>0</v>
          </cell>
          <cell r="T475">
            <v>97.86666666666666</v>
          </cell>
          <cell r="U475">
            <v>0</v>
          </cell>
          <cell r="W475">
            <v>0.05</v>
          </cell>
        </row>
        <row r="476">
          <cell r="C476">
            <v>13013</v>
          </cell>
          <cell r="D476" t="str">
            <v>CHMICAL COATING ON CONC (ACID BRICK)</v>
          </cell>
          <cell r="E476" t="str">
            <v>M2</v>
          </cell>
          <cell r="F476">
            <v>0</v>
          </cell>
          <cell r="G476">
            <v>1</v>
          </cell>
          <cell r="H476">
            <v>1</v>
          </cell>
          <cell r="I476">
            <v>1</v>
          </cell>
          <cell r="J476">
            <v>1</v>
          </cell>
          <cell r="K476">
            <v>0.05</v>
          </cell>
          <cell r="L476">
            <v>0.05</v>
          </cell>
          <cell r="M476">
            <v>0</v>
          </cell>
          <cell r="N476">
            <v>448.26666666666665</v>
          </cell>
          <cell r="O476">
            <v>0</v>
          </cell>
          <cell r="P476">
            <v>0.8</v>
          </cell>
          <cell r="Q476">
            <v>0</v>
          </cell>
          <cell r="R476">
            <v>0</v>
          </cell>
          <cell r="S476">
            <v>0</v>
          </cell>
          <cell r="T476">
            <v>449.06666666666666</v>
          </cell>
          <cell r="U476">
            <v>0</v>
          </cell>
          <cell r="W476">
            <v>0.05</v>
          </cell>
        </row>
        <row r="477">
          <cell r="C477">
            <v>13014</v>
          </cell>
          <cell r="D477" t="str">
            <v>CHMICAL COATING ON CONC (SILOXIRANE 2033)</v>
          </cell>
          <cell r="E477" t="str">
            <v>M2</v>
          </cell>
          <cell r="F477">
            <v>0</v>
          </cell>
          <cell r="G477">
            <v>1</v>
          </cell>
          <cell r="H477">
            <v>1</v>
          </cell>
          <cell r="I477">
            <v>1</v>
          </cell>
          <cell r="J477">
            <v>1</v>
          </cell>
          <cell r="K477">
            <v>0.05</v>
          </cell>
          <cell r="L477">
            <v>0.05</v>
          </cell>
          <cell r="M477">
            <v>0</v>
          </cell>
          <cell r="N477">
            <v>73.066666666666663</v>
          </cell>
          <cell r="O477">
            <v>0</v>
          </cell>
          <cell r="P477">
            <v>0.8</v>
          </cell>
          <cell r="Q477">
            <v>0</v>
          </cell>
          <cell r="R477">
            <v>0</v>
          </cell>
          <cell r="S477">
            <v>0</v>
          </cell>
          <cell r="T477">
            <v>73.86666666666666</v>
          </cell>
          <cell r="U477">
            <v>0</v>
          </cell>
          <cell r="W477">
            <v>0.05</v>
          </cell>
        </row>
        <row r="478">
          <cell r="C478">
            <v>13020</v>
          </cell>
          <cell r="D478" t="str">
            <v>FRP LINING</v>
          </cell>
          <cell r="E478" t="str">
            <v>M2</v>
          </cell>
          <cell r="F478">
            <v>0</v>
          </cell>
          <cell r="G478">
            <v>1</v>
          </cell>
          <cell r="H478">
            <v>1</v>
          </cell>
          <cell r="I478">
            <v>1</v>
          </cell>
          <cell r="J478">
            <v>1</v>
          </cell>
          <cell r="K478">
            <v>0.05</v>
          </cell>
          <cell r="L478">
            <v>0.05</v>
          </cell>
          <cell r="M478">
            <v>0</v>
          </cell>
          <cell r="N478">
            <v>13.888</v>
          </cell>
          <cell r="O478">
            <v>0</v>
          </cell>
          <cell r="P478">
            <v>0.8</v>
          </cell>
          <cell r="Q478">
            <v>0</v>
          </cell>
          <cell r="R478">
            <v>0</v>
          </cell>
          <cell r="S478">
            <v>0</v>
          </cell>
          <cell r="T478">
            <v>14.688000000000001</v>
          </cell>
          <cell r="U478">
            <v>0</v>
          </cell>
          <cell r="W478">
            <v>0.05</v>
          </cell>
        </row>
        <row r="479">
          <cell r="C479">
            <v>13030</v>
          </cell>
          <cell r="D479" t="str">
            <v>ANTI ACID W/F MEMBRANE</v>
          </cell>
          <cell r="E479" t="str">
            <v>M2</v>
          </cell>
          <cell r="F479">
            <v>0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0.05</v>
          </cell>
          <cell r="L479">
            <v>0.05</v>
          </cell>
          <cell r="M479">
            <v>0</v>
          </cell>
          <cell r="N479">
            <v>13.888</v>
          </cell>
          <cell r="O479">
            <v>0</v>
          </cell>
          <cell r="P479">
            <v>0.8</v>
          </cell>
          <cell r="Q479">
            <v>0</v>
          </cell>
          <cell r="R479">
            <v>0</v>
          </cell>
          <cell r="S479">
            <v>0</v>
          </cell>
          <cell r="T479">
            <v>14.688000000000001</v>
          </cell>
          <cell r="U479">
            <v>0</v>
          </cell>
          <cell r="W479">
            <v>0.05</v>
          </cell>
        </row>
        <row r="480">
          <cell r="C480">
            <v>13040</v>
          </cell>
          <cell r="D480" t="str">
            <v>POND LINER(HDPE)</v>
          </cell>
          <cell r="E480" t="str">
            <v>M2</v>
          </cell>
          <cell r="F480">
            <v>0</v>
          </cell>
          <cell r="G480">
            <v>1</v>
          </cell>
          <cell r="H480">
            <v>1</v>
          </cell>
          <cell r="I480">
            <v>1</v>
          </cell>
          <cell r="J480">
            <v>1</v>
          </cell>
          <cell r="K480">
            <v>0.01</v>
          </cell>
          <cell r="L480">
            <v>0.01</v>
          </cell>
          <cell r="M480">
            <v>0</v>
          </cell>
          <cell r="N480">
            <v>5.333333333333333</v>
          </cell>
          <cell r="O480">
            <v>0</v>
          </cell>
          <cell r="P480">
            <v>0.16</v>
          </cell>
          <cell r="Q480">
            <v>0</v>
          </cell>
          <cell r="R480">
            <v>0</v>
          </cell>
          <cell r="S480">
            <v>0</v>
          </cell>
          <cell r="T480">
            <v>5.4933333333333332</v>
          </cell>
          <cell r="U480">
            <v>0</v>
          </cell>
          <cell r="W480">
            <v>0.01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BOQ Mayorada"/>
      <sheetName val="PdO"/>
    </sheetNames>
    <sheetDataSet>
      <sheetData sheetId="0" refreshError="1"/>
      <sheetData sheetId="1"/>
      <sheetData sheetId="2" refreshError="1"/>
      <sheetData sheetId="3" refreshError="1"/>
      <sheetData sheetId="4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5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6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7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8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9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0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1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2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3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4">
        <row r="18">
          <cell r="C18" t="str">
            <v>NB1</v>
          </cell>
          <cell r="T18">
            <v>0</v>
          </cell>
        </row>
        <row r="19">
          <cell r="C19" t="str">
            <v>NB2</v>
          </cell>
          <cell r="T19">
            <v>0</v>
          </cell>
        </row>
        <row r="20">
          <cell r="C20" t="str">
            <v>NB3</v>
          </cell>
          <cell r="T20">
            <v>0</v>
          </cell>
        </row>
        <row r="21">
          <cell r="C21" t="str">
            <v>NB5</v>
          </cell>
          <cell r="T21">
            <v>0</v>
          </cell>
        </row>
        <row r="22">
          <cell r="T22">
            <v>0</v>
          </cell>
        </row>
        <row r="23">
          <cell r="C23" t="str">
            <v>NC4</v>
          </cell>
          <cell r="T23">
            <v>0</v>
          </cell>
        </row>
        <row r="24">
          <cell r="C24" t="str">
            <v>NC4</v>
          </cell>
          <cell r="T24">
            <v>0</v>
          </cell>
        </row>
        <row r="25">
          <cell r="T25">
            <v>0</v>
          </cell>
        </row>
        <row r="26">
          <cell r="C26" t="str">
            <v>NE3</v>
          </cell>
          <cell r="T26">
            <v>0</v>
          </cell>
        </row>
        <row r="27">
          <cell r="C27" t="str">
            <v>NE3</v>
          </cell>
          <cell r="T27">
            <v>0</v>
          </cell>
        </row>
        <row r="28">
          <cell r="C28" t="str">
            <v>NE3</v>
          </cell>
          <cell r="T28">
            <v>0</v>
          </cell>
        </row>
        <row r="29">
          <cell r="T29">
            <v>0</v>
          </cell>
        </row>
        <row r="30">
          <cell r="C30" t="str">
            <v>NF1</v>
          </cell>
          <cell r="T30">
            <v>0</v>
          </cell>
        </row>
        <row r="31">
          <cell r="C31" t="str">
            <v>NF1</v>
          </cell>
          <cell r="T31">
            <v>0</v>
          </cell>
        </row>
        <row r="32">
          <cell r="C32" t="str">
            <v>NF3</v>
          </cell>
          <cell r="T32">
            <v>0</v>
          </cell>
        </row>
        <row r="33">
          <cell r="C33" t="str">
            <v>NF3</v>
          </cell>
          <cell r="T33">
            <v>0</v>
          </cell>
        </row>
        <row r="34">
          <cell r="T34">
            <v>0</v>
          </cell>
        </row>
        <row r="35">
          <cell r="C35" t="str">
            <v>NG1</v>
          </cell>
          <cell r="T35">
            <v>0</v>
          </cell>
        </row>
        <row r="36">
          <cell r="T36">
            <v>0</v>
          </cell>
        </row>
        <row r="37">
          <cell r="C37" t="str">
            <v>NH1</v>
          </cell>
          <cell r="T37">
            <v>0</v>
          </cell>
        </row>
        <row r="38">
          <cell r="T38">
            <v>0</v>
          </cell>
        </row>
        <row r="39">
          <cell r="C39" t="str">
            <v>NJ1</v>
          </cell>
          <cell r="T39">
            <v>0</v>
          </cell>
        </row>
        <row r="40">
          <cell r="C40" t="str">
            <v>NJ1</v>
          </cell>
          <cell r="T40">
            <v>0</v>
          </cell>
        </row>
        <row r="41">
          <cell r="C41" t="str">
            <v>NJ3</v>
          </cell>
          <cell r="T41">
            <v>0</v>
          </cell>
        </row>
        <row r="42">
          <cell r="C42" t="str">
            <v>NJ3</v>
          </cell>
          <cell r="T42">
            <v>0</v>
          </cell>
        </row>
        <row r="43">
          <cell r="T43">
            <v>0</v>
          </cell>
        </row>
        <row r="44">
          <cell r="T44">
            <v>0</v>
          </cell>
        </row>
        <row r="46">
          <cell r="T46">
            <v>0</v>
          </cell>
        </row>
      </sheetData>
      <sheetData sheetId="15" refreshError="1"/>
      <sheetData sheetId="1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References"/>
      <sheetName val="HPS"/>
      <sheetName val="MPS"/>
      <sheetName val="LPS"/>
      <sheetName val="AW"/>
      <sheetName val="VT"/>
      <sheetName val="PG"/>
      <sheetName val="CD"/>
      <sheetName val="DW"/>
      <sheetName val="CA"/>
      <sheetName val="NG"/>
      <sheetName val="MW2"/>
      <sheetName val="Uniliever"/>
      <sheetName val="Cover_Sheet"/>
    </sheetNames>
    <sheetDataSet>
      <sheetData sheetId="0"/>
      <sheetData sheetId="1">
        <row r="5">
          <cell r="D5">
            <v>0.5</v>
          </cell>
          <cell r="E5">
            <v>15</v>
          </cell>
          <cell r="G5" t="str">
            <v>API 5L Gr.B</v>
          </cell>
          <cell r="J5" t="str">
            <v>Steam:HP</v>
          </cell>
          <cell r="K5">
            <v>2</v>
          </cell>
          <cell r="L5" t="str">
            <v>G</v>
          </cell>
          <cell r="N5" t="str">
            <v>ASME B.31.1</v>
          </cell>
        </row>
        <row r="6">
          <cell r="D6">
            <v>0.75</v>
          </cell>
          <cell r="E6">
            <v>20</v>
          </cell>
          <cell r="G6" t="str">
            <v>A106 Gr.B</v>
          </cell>
          <cell r="J6" t="str">
            <v>Steam: MP</v>
          </cell>
          <cell r="K6">
            <v>2</v>
          </cell>
          <cell r="L6" t="str">
            <v>G</v>
          </cell>
          <cell r="N6" t="str">
            <v>ASME B.31.3</v>
          </cell>
        </row>
        <row r="7">
          <cell r="D7">
            <v>1</v>
          </cell>
          <cell r="E7">
            <v>25</v>
          </cell>
          <cell r="G7" t="str">
            <v xml:space="preserve">A106 Gr.C </v>
          </cell>
          <cell r="J7" t="str">
            <v>Steam: LP</v>
          </cell>
          <cell r="K7">
            <v>2</v>
          </cell>
          <cell r="L7" t="str">
            <v>G</v>
          </cell>
          <cell r="N7" t="str">
            <v>97/23/CE</v>
          </cell>
        </row>
        <row r="8">
          <cell r="D8">
            <v>1.5</v>
          </cell>
          <cell r="E8">
            <v>40</v>
          </cell>
          <cell r="G8" t="str">
            <v>A 312 TP304L</v>
          </cell>
          <cell r="J8" t="str">
            <v>Water: demineralized</v>
          </cell>
          <cell r="K8">
            <v>2</v>
          </cell>
          <cell r="L8" t="str">
            <v>L</v>
          </cell>
        </row>
        <row r="9">
          <cell r="D9">
            <v>2</v>
          </cell>
          <cell r="E9">
            <v>50</v>
          </cell>
          <cell r="G9" t="str">
            <v>A 312 TP316L</v>
          </cell>
          <cell r="J9" t="str">
            <v>Water: purges</v>
          </cell>
          <cell r="K9">
            <v>2</v>
          </cell>
          <cell r="L9" t="str">
            <v>L</v>
          </cell>
          <cell r="N9" t="str">
            <v>ASME B.31.1</v>
          </cell>
        </row>
        <row r="10">
          <cell r="D10">
            <v>2.5</v>
          </cell>
          <cell r="E10">
            <v>65</v>
          </cell>
          <cell r="G10" t="str">
            <v>A 335 P1</v>
          </cell>
          <cell r="J10" t="str">
            <v>Water: condensate</v>
          </cell>
          <cell r="K10">
            <v>2</v>
          </cell>
          <cell r="L10" t="str">
            <v>L</v>
          </cell>
          <cell r="N10" t="str">
            <v>ASME B.31.3</v>
          </cell>
        </row>
        <row r="11">
          <cell r="D11">
            <v>3</v>
          </cell>
          <cell r="E11">
            <v>80</v>
          </cell>
          <cell r="G11" t="str">
            <v>A 335 P11</v>
          </cell>
          <cell r="J11" t="str">
            <v>Water: feed</v>
          </cell>
          <cell r="K11">
            <v>2</v>
          </cell>
          <cell r="L11" t="str">
            <v>L</v>
          </cell>
        </row>
        <row r="12">
          <cell r="D12">
            <v>4</v>
          </cell>
          <cell r="E12">
            <v>100</v>
          </cell>
          <cell r="G12" t="str">
            <v>A 335 P22</v>
          </cell>
          <cell r="J12" t="str">
            <v>Water: cooling (towers)</v>
          </cell>
          <cell r="K12">
            <v>2</v>
          </cell>
          <cell r="L12" t="str">
            <v>L</v>
          </cell>
        </row>
        <row r="13">
          <cell r="D13">
            <v>6</v>
          </cell>
          <cell r="E13">
            <v>150</v>
          </cell>
          <cell r="G13" t="str">
            <v>A 335 P91</v>
          </cell>
          <cell r="J13" t="str">
            <v>Water: cooling</v>
          </cell>
          <cell r="K13">
            <v>2</v>
          </cell>
          <cell r="L13" t="str">
            <v>L</v>
          </cell>
        </row>
        <row r="14">
          <cell r="D14">
            <v>8</v>
          </cell>
          <cell r="E14">
            <v>200</v>
          </cell>
          <cell r="G14" t="str">
            <v>HDPE 100</v>
          </cell>
          <cell r="J14" t="str">
            <v>Water: Industrial and service</v>
          </cell>
          <cell r="K14">
            <v>2</v>
          </cell>
          <cell r="L14" t="str">
            <v>L</v>
          </cell>
        </row>
        <row r="15">
          <cell r="D15">
            <v>10</v>
          </cell>
          <cell r="E15">
            <v>250</v>
          </cell>
          <cell r="J15" t="str">
            <v>Water: drinking</v>
          </cell>
          <cell r="K15">
            <v>2</v>
          </cell>
          <cell r="L15" t="str">
            <v>L</v>
          </cell>
        </row>
        <row r="16">
          <cell r="D16">
            <v>12</v>
          </cell>
          <cell r="E16">
            <v>300</v>
          </cell>
          <cell r="J16" t="str">
            <v>Water: chemical</v>
          </cell>
          <cell r="K16">
            <v>2</v>
          </cell>
          <cell r="L16" t="str">
            <v>L</v>
          </cell>
        </row>
        <row r="17">
          <cell r="D17">
            <v>14</v>
          </cell>
          <cell r="E17">
            <v>350</v>
          </cell>
          <cell r="J17" t="str">
            <v>Water: domestic</v>
          </cell>
          <cell r="K17">
            <v>1</v>
          </cell>
          <cell r="L17" t="str">
            <v>G</v>
          </cell>
        </row>
        <row r="18">
          <cell r="D18">
            <v>16</v>
          </cell>
          <cell r="E18">
            <v>400</v>
          </cell>
          <cell r="J18" t="str">
            <v>Water: fire</v>
          </cell>
          <cell r="K18">
            <v>1</v>
          </cell>
          <cell r="L18" t="str">
            <v>G</v>
          </cell>
        </row>
        <row r="19">
          <cell r="D19">
            <v>18</v>
          </cell>
          <cell r="E19">
            <v>450</v>
          </cell>
          <cell r="J19" t="str">
            <v>Fuel: natural gas</v>
          </cell>
          <cell r="K19">
            <v>2</v>
          </cell>
          <cell r="L19" t="str">
            <v>G</v>
          </cell>
        </row>
        <row r="20">
          <cell r="D20">
            <v>20</v>
          </cell>
          <cell r="E20">
            <v>500</v>
          </cell>
          <cell r="J20" t="str">
            <v>Fuel: biogas</v>
          </cell>
          <cell r="K20">
            <v>2</v>
          </cell>
          <cell r="L20" t="str">
            <v>G</v>
          </cell>
        </row>
        <row r="21">
          <cell r="D21">
            <v>22</v>
          </cell>
          <cell r="E21">
            <v>550</v>
          </cell>
          <cell r="J21" t="str">
            <v>Air: Instrumentation</v>
          </cell>
          <cell r="K21">
            <v>2</v>
          </cell>
          <cell r="L21" t="str">
            <v>L</v>
          </cell>
        </row>
        <row r="22">
          <cell r="D22">
            <v>24</v>
          </cell>
          <cell r="E22">
            <v>600</v>
          </cell>
          <cell r="J22" t="str">
            <v>Air: Industrial</v>
          </cell>
        </row>
        <row r="23">
          <cell r="D23">
            <v>26</v>
          </cell>
          <cell r="E23">
            <v>650</v>
          </cell>
          <cell r="J23" t="str">
            <v xml:space="preserve">Foam </v>
          </cell>
        </row>
        <row r="24">
          <cell r="D24">
            <v>5</v>
          </cell>
          <cell r="E24">
            <v>125</v>
          </cell>
        </row>
        <row r="35">
          <cell r="C35" t="str">
            <v>x</v>
          </cell>
          <cell r="D35">
            <v>37.777777777777779</v>
          </cell>
          <cell r="E35">
            <v>93.333333333333329</v>
          </cell>
          <cell r="F35">
            <v>148.88888888888889</v>
          </cell>
          <cell r="G35">
            <v>204.44444444444446</v>
          </cell>
          <cell r="H35">
            <v>260</v>
          </cell>
          <cell r="I35">
            <v>315.55555555555554</v>
          </cell>
          <cell r="J35">
            <v>343.33333333333331</v>
          </cell>
          <cell r="K35">
            <v>371.11111111111109</v>
          </cell>
          <cell r="L35">
            <v>398.88888888888891</v>
          </cell>
          <cell r="M35">
            <v>426.66666666666669</v>
          </cell>
          <cell r="N35">
            <v>454.44444444444446</v>
          </cell>
          <cell r="O35">
            <v>482.22222222222223</v>
          </cell>
          <cell r="P35">
            <v>510</v>
          </cell>
          <cell r="Q35">
            <v>537.77777777777783</v>
          </cell>
          <cell r="R35">
            <v>565.55555555555554</v>
          </cell>
          <cell r="S35">
            <v>593.33333333333337</v>
          </cell>
        </row>
        <row r="36">
          <cell r="C36" t="str">
            <v>API 5L Gr.B</v>
          </cell>
          <cell r="D36">
            <v>17.100000000000001</v>
          </cell>
          <cell r="E36">
            <v>17.100000000000001</v>
          </cell>
          <cell r="F36">
            <v>17.100000000000001</v>
          </cell>
          <cell r="G36">
            <v>17.100000000000001</v>
          </cell>
          <cell r="H36">
            <v>17.100000000000001</v>
          </cell>
          <cell r="I36">
            <v>17.100000000000001</v>
          </cell>
          <cell r="J36">
            <v>17.100000000000001</v>
          </cell>
          <cell r="K36">
            <v>15.6</v>
          </cell>
          <cell r="L36">
            <v>13</v>
          </cell>
          <cell r="M36">
            <v>10.8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A106 Gr.B</v>
          </cell>
          <cell r="D37">
            <v>17.100000000000001</v>
          </cell>
          <cell r="E37">
            <v>17.100000000000001</v>
          </cell>
          <cell r="F37">
            <v>17.100000000000001</v>
          </cell>
          <cell r="G37">
            <v>17.100000000000001</v>
          </cell>
          <cell r="H37">
            <v>17.100000000000001</v>
          </cell>
          <cell r="I37">
            <v>17.100000000000001</v>
          </cell>
          <cell r="J37">
            <v>17.100000000000001</v>
          </cell>
          <cell r="K37">
            <v>15.6</v>
          </cell>
          <cell r="L37">
            <v>13</v>
          </cell>
          <cell r="M37">
            <v>10.8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 xml:space="preserve">A106 Gr.C </v>
          </cell>
          <cell r="D38">
            <v>20</v>
          </cell>
          <cell r="E38">
            <v>20</v>
          </cell>
          <cell r="F38">
            <v>20</v>
          </cell>
          <cell r="G38">
            <v>20</v>
          </cell>
          <cell r="H38">
            <v>20</v>
          </cell>
          <cell r="I38">
            <v>20</v>
          </cell>
          <cell r="J38">
            <v>19.8</v>
          </cell>
          <cell r="K38">
            <v>18.3</v>
          </cell>
          <cell r="L38">
            <v>14.8</v>
          </cell>
          <cell r="M38">
            <v>12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A 312 TP304L</v>
          </cell>
          <cell r="D39">
            <v>16.7</v>
          </cell>
          <cell r="E39">
            <v>14.3</v>
          </cell>
          <cell r="F39">
            <v>12.8</v>
          </cell>
          <cell r="G39">
            <v>11.7</v>
          </cell>
          <cell r="H39">
            <v>10.9</v>
          </cell>
          <cell r="I39">
            <v>10.4</v>
          </cell>
          <cell r="J39">
            <v>10.199999999999999</v>
          </cell>
          <cell r="K39">
            <v>10</v>
          </cell>
          <cell r="L39">
            <v>9.8000000000000007</v>
          </cell>
          <cell r="M39">
            <v>9.6999999999999993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A 312 TP316L</v>
          </cell>
          <cell r="D40">
            <v>16.7</v>
          </cell>
          <cell r="E40">
            <v>14.2</v>
          </cell>
          <cell r="F40">
            <v>12.7</v>
          </cell>
          <cell r="G40">
            <v>11.7</v>
          </cell>
          <cell r="H40">
            <v>10.9</v>
          </cell>
          <cell r="I40">
            <v>10.4</v>
          </cell>
          <cell r="J40">
            <v>10.199999999999999</v>
          </cell>
          <cell r="K40">
            <v>10</v>
          </cell>
          <cell r="L40">
            <v>9.8000000000000007</v>
          </cell>
          <cell r="M40">
            <v>9.6</v>
          </cell>
          <cell r="N40">
            <v>9.4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A 335 P1</v>
          </cell>
          <cell r="D41">
            <v>15.7</v>
          </cell>
          <cell r="E41">
            <v>15.7</v>
          </cell>
          <cell r="F41">
            <v>15.7</v>
          </cell>
          <cell r="G41">
            <v>15.7</v>
          </cell>
          <cell r="H41">
            <v>15.7</v>
          </cell>
          <cell r="I41">
            <v>15.7</v>
          </cell>
          <cell r="J41">
            <v>15.7</v>
          </cell>
          <cell r="K41">
            <v>15.7</v>
          </cell>
          <cell r="L41">
            <v>15.4</v>
          </cell>
          <cell r="M41">
            <v>14.9</v>
          </cell>
          <cell r="N41">
            <v>14.5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A 335 P11</v>
          </cell>
          <cell r="D42">
            <v>17.100000000000001</v>
          </cell>
          <cell r="E42">
            <v>17.100000000000001</v>
          </cell>
          <cell r="F42">
            <v>17.100000000000001</v>
          </cell>
          <cell r="G42">
            <v>16.8</v>
          </cell>
          <cell r="H42">
            <v>16.2</v>
          </cell>
          <cell r="I42">
            <v>15.7</v>
          </cell>
          <cell r="J42">
            <v>15.4</v>
          </cell>
          <cell r="K42">
            <v>15.1</v>
          </cell>
          <cell r="L42">
            <v>14.8</v>
          </cell>
          <cell r="M42">
            <v>14.4</v>
          </cell>
          <cell r="N42">
            <v>14</v>
          </cell>
          <cell r="O42">
            <v>13.6</v>
          </cell>
          <cell r="P42">
            <v>9.3000000000000007</v>
          </cell>
          <cell r="Q42">
            <v>6.3</v>
          </cell>
          <cell r="R42">
            <v>4.2</v>
          </cell>
          <cell r="S42">
            <v>2.8</v>
          </cell>
        </row>
        <row r="43">
          <cell r="C43" t="str">
            <v>A 335 P22</v>
          </cell>
          <cell r="D43">
            <v>17.100000000000001</v>
          </cell>
          <cell r="E43">
            <v>17.100000000000001</v>
          </cell>
          <cell r="F43">
            <v>16.600000000000001</v>
          </cell>
          <cell r="G43">
            <v>16.600000000000001</v>
          </cell>
          <cell r="H43">
            <v>16.600000000000001</v>
          </cell>
          <cell r="I43">
            <v>16.600000000000001</v>
          </cell>
          <cell r="J43">
            <v>16.600000000000001</v>
          </cell>
          <cell r="K43">
            <v>16.600000000000001</v>
          </cell>
          <cell r="L43">
            <v>16.600000000000001</v>
          </cell>
          <cell r="M43">
            <v>16.600000000000001</v>
          </cell>
          <cell r="N43">
            <v>16.600000000000001</v>
          </cell>
          <cell r="O43">
            <v>13.6</v>
          </cell>
          <cell r="P43">
            <v>10.8</v>
          </cell>
          <cell r="Q43">
            <v>8</v>
          </cell>
          <cell r="R43">
            <v>5.7</v>
          </cell>
          <cell r="S43">
            <v>3.8</v>
          </cell>
        </row>
        <row r="44">
          <cell r="C44" t="str">
            <v>A 335 P91</v>
          </cell>
          <cell r="D44">
            <v>24.3</v>
          </cell>
          <cell r="E44">
            <v>24.3</v>
          </cell>
          <cell r="F44">
            <v>24.3</v>
          </cell>
          <cell r="G44">
            <v>24.2</v>
          </cell>
          <cell r="H44">
            <v>24.1</v>
          </cell>
          <cell r="I44">
            <v>23.7</v>
          </cell>
          <cell r="J44">
            <v>23.4</v>
          </cell>
          <cell r="K44">
            <v>22.9</v>
          </cell>
          <cell r="L44">
            <v>22.2</v>
          </cell>
          <cell r="M44">
            <v>21.3</v>
          </cell>
          <cell r="N44">
            <v>20.3</v>
          </cell>
          <cell r="O44">
            <v>19.100000000000001</v>
          </cell>
          <cell r="P44">
            <v>17.8</v>
          </cell>
          <cell r="Q44">
            <v>16.3</v>
          </cell>
          <cell r="R44">
            <v>14</v>
          </cell>
          <cell r="S44">
            <v>10.3</v>
          </cell>
        </row>
        <row r="45">
          <cell r="C45" t="str">
            <v>HDPE 100</v>
          </cell>
        </row>
        <row r="46">
          <cell r="C46">
            <v>0</v>
          </cell>
        </row>
        <row r="53">
          <cell r="C53" t="str">
            <v>x</v>
          </cell>
          <cell r="D53">
            <v>37.777777777777779</v>
          </cell>
          <cell r="E53">
            <v>93.333333333333329</v>
          </cell>
          <cell r="F53">
            <v>148.88888888888889</v>
          </cell>
          <cell r="G53">
            <v>204.44444444444446</v>
          </cell>
          <cell r="H53">
            <v>260</v>
          </cell>
          <cell r="I53">
            <v>315.55555555555554</v>
          </cell>
          <cell r="J53">
            <v>343.33333333333331</v>
          </cell>
          <cell r="K53">
            <v>371.11111111111109</v>
          </cell>
          <cell r="L53">
            <v>398.88888888888891</v>
          </cell>
          <cell r="M53">
            <v>426.66666666666669</v>
          </cell>
          <cell r="N53">
            <v>454.44444444444446</v>
          </cell>
          <cell r="O53">
            <v>482.22222222222223</v>
          </cell>
          <cell r="P53">
            <v>510</v>
          </cell>
          <cell r="Q53">
            <v>537.77777777777783</v>
          </cell>
          <cell r="R53">
            <v>565.55555555555554</v>
          </cell>
          <cell r="S53">
            <v>593.33333333333337</v>
          </cell>
        </row>
        <row r="54">
          <cell r="C54" t="str">
            <v>API 5L Gr.B</v>
          </cell>
          <cell r="D54">
            <v>20</v>
          </cell>
          <cell r="E54">
            <v>20</v>
          </cell>
          <cell r="F54">
            <v>20</v>
          </cell>
          <cell r="G54">
            <v>20</v>
          </cell>
          <cell r="H54">
            <v>18.899999999999999</v>
          </cell>
          <cell r="I54">
            <v>17.3</v>
          </cell>
          <cell r="J54">
            <v>17</v>
          </cell>
          <cell r="K54">
            <v>16.5</v>
          </cell>
          <cell r="L54">
            <v>13</v>
          </cell>
          <cell r="M54">
            <v>10.8</v>
          </cell>
          <cell r="N54">
            <v>8.6999999999999993</v>
          </cell>
          <cell r="O54">
            <v>6.5</v>
          </cell>
          <cell r="P54">
            <v>4.5</v>
          </cell>
          <cell r="Q54">
            <v>2.5</v>
          </cell>
          <cell r="R54">
            <v>1.6</v>
          </cell>
          <cell r="S54">
            <v>1</v>
          </cell>
        </row>
        <row r="55">
          <cell r="C55" t="str">
            <v>A106 Gr.B</v>
          </cell>
          <cell r="D55">
            <v>20</v>
          </cell>
          <cell r="E55">
            <v>20</v>
          </cell>
          <cell r="F55">
            <v>20</v>
          </cell>
          <cell r="G55">
            <v>20</v>
          </cell>
          <cell r="H55">
            <v>18.899999999999999</v>
          </cell>
          <cell r="I55">
            <v>17.3</v>
          </cell>
          <cell r="J55">
            <v>17</v>
          </cell>
          <cell r="K55">
            <v>16.5</v>
          </cell>
          <cell r="L55">
            <v>13</v>
          </cell>
          <cell r="M55">
            <v>10.8</v>
          </cell>
          <cell r="N55">
            <v>8.6999999999999993</v>
          </cell>
          <cell r="O55">
            <v>6.5</v>
          </cell>
          <cell r="P55">
            <v>4.5</v>
          </cell>
          <cell r="Q55">
            <v>2.5</v>
          </cell>
          <cell r="R55">
            <v>1.6</v>
          </cell>
          <cell r="S55">
            <v>1</v>
          </cell>
        </row>
        <row r="56">
          <cell r="C56" t="str">
            <v xml:space="preserve">A106 Gr.C </v>
          </cell>
          <cell r="D56">
            <v>23.3</v>
          </cell>
          <cell r="E56">
            <v>23.3</v>
          </cell>
          <cell r="F56">
            <v>23.3</v>
          </cell>
          <cell r="G56">
            <v>22.9</v>
          </cell>
          <cell r="H56">
            <v>21.6</v>
          </cell>
          <cell r="I56">
            <v>19.7</v>
          </cell>
          <cell r="J56">
            <v>19.399999999999999</v>
          </cell>
          <cell r="K56">
            <v>19.2</v>
          </cell>
          <cell r="L56">
            <v>14.8</v>
          </cell>
          <cell r="M56">
            <v>12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C57" t="str">
            <v>A 312 TP304L</v>
          </cell>
          <cell r="D57">
            <v>16.7</v>
          </cell>
          <cell r="E57">
            <v>16.7</v>
          </cell>
          <cell r="F57">
            <v>16.7</v>
          </cell>
          <cell r="G57">
            <v>15.8</v>
          </cell>
          <cell r="H57">
            <v>14.8</v>
          </cell>
          <cell r="I57">
            <v>14</v>
          </cell>
          <cell r="J57">
            <v>13.7</v>
          </cell>
          <cell r="K57">
            <v>13.5</v>
          </cell>
          <cell r="L57">
            <v>13.3</v>
          </cell>
          <cell r="M57">
            <v>13</v>
          </cell>
          <cell r="N57">
            <v>12.8</v>
          </cell>
          <cell r="O57">
            <v>11.9</v>
          </cell>
          <cell r="P57">
            <v>9.9</v>
          </cell>
          <cell r="Q57">
            <v>7.8</v>
          </cell>
          <cell r="R57">
            <v>6.3</v>
          </cell>
          <cell r="S57">
            <v>5.0999999999999996</v>
          </cell>
        </row>
        <row r="58">
          <cell r="C58" t="str">
            <v>A 312 TP316L</v>
          </cell>
          <cell r="D58">
            <v>16.7</v>
          </cell>
          <cell r="E58">
            <v>16.7</v>
          </cell>
          <cell r="F58">
            <v>16.7</v>
          </cell>
          <cell r="G58">
            <v>15.5</v>
          </cell>
          <cell r="H58">
            <v>14.4</v>
          </cell>
          <cell r="I58">
            <v>13.5</v>
          </cell>
          <cell r="J58">
            <v>13.2</v>
          </cell>
          <cell r="K58">
            <v>12.9</v>
          </cell>
          <cell r="L58">
            <v>12.6</v>
          </cell>
          <cell r="M58">
            <v>12.4</v>
          </cell>
          <cell r="N58">
            <v>12.1</v>
          </cell>
          <cell r="O58">
            <v>11.8</v>
          </cell>
          <cell r="P58">
            <v>11.5</v>
          </cell>
          <cell r="Q58">
            <v>11.2</v>
          </cell>
          <cell r="R58">
            <v>10.8</v>
          </cell>
          <cell r="S58">
            <v>10.199999999999999</v>
          </cell>
        </row>
        <row r="59">
          <cell r="C59" t="str">
            <v>A 335 P1</v>
          </cell>
          <cell r="D59">
            <v>18.3</v>
          </cell>
          <cell r="E59">
            <v>18.3</v>
          </cell>
          <cell r="F59">
            <v>17.5</v>
          </cell>
          <cell r="G59">
            <v>16.899999999999999</v>
          </cell>
          <cell r="H59">
            <v>16.3</v>
          </cell>
          <cell r="I59">
            <v>15.7</v>
          </cell>
          <cell r="J59">
            <v>15.4</v>
          </cell>
          <cell r="K59">
            <v>15.1</v>
          </cell>
          <cell r="L59">
            <v>13.8</v>
          </cell>
          <cell r="M59">
            <v>13.5</v>
          </cell>
          <cell r="N59">
            <v>13.2</v>
          </cell>
          <cell r="O59">
            <v>12.7</v>
          </cell>
          <cell r="P59">
            <v>8.1999999999999993</v>
          </cell>
          <cell r="Q59">
            <v>4.8</v>
          </cell>
          <cell r="R59">
            <v>4</v>
          </cell>
          <cell r="S59">
            <v>2.4</v>
          </cell>
        </row>
        <row r="60">
          <cell r="C60" t="str">
            <v>A 335 P11</v>
          </cell>
          <cell r="D60">
            <v>20</v>
          </cell>
          <cell r="E60">
            <v>18.7</v>
          </cell>
          <cell r="F60">
            <v>18</v>
          </cell>
          <cell r="G60">
            <v>17.5</v>
          </cell>
          <cell r="H60">
            <v>17.2</v>
          </cell>
          <cell r="I60">
            <v>16.7</v>
          </cell>
          <cell r="J60">
            <v>16.2</v>
          </cell>
          <cell r="K60">
            <v>15.6</v>
          </cell>
          <cell r="L60">
            <v>15.2</v>
          </cell>
          <cell r="M60">
            <v>15</v>
          </cell>
          <cell r="N60">
            <v>14.5</v>
          </cell>
          <cell r="O60">
            <v>12.8</v>
          </cell>
          <cell r="P60">
            <v>9.3000000000000007</v>
          </cell>
          <cell r="Q60">
            <v>6.3</v>
          </cell>
          <cell r="R60">
            <v>4.2</v>
          </cell>
          <cell r="S60">
            <v>2.8</v>
          </cell>
        </row>
        <row r="61">
          <cell r="C61" t="str">
            <v>A 335 P22</v>
          </cell>
          <cell r="D61">
            <v>20</v>
          </cell>
          <cell r="E61">
            <v>18.5</v>
          </cell>
          <cell r="F61">
            <v>18</v>
          </cell>
          <cell r="G61">
            <v>17.899999999999999</v>
          </cell>
          <cell r="H61">
            <v>17.899999999999999</v>
          </cell>
          <cell r="I61">
            <v>17.899999999999999</v>
          </cell>
          <cell r="J61">
            <v>17.899999999999999</v>
          </cell>
          <cell r="K61">
            <v>17.899999999999999</v>
          </cell>
          <cell r="L61">
            <v>17.899999999999999</v>
          </cell>
          <cell r="M61">
            <v>17.8</v>
          </cell>
          <cell r="N61">
            <v>14.5</v>
          </cell>
          <cell r="O61">
            <v>12.8</v>
          </cell>
          <cell r="P61">
            <v>10.8</v>
          </cell>
          <cell r="Q61">
            <v>7.8</v>
          </cell>
          <cell r="R61">
            <v>5.0999999999999996</v>
          </cell>
          <cell r="S61">
            <v>3.2</v>
          </cell>
        </row>
        <row r="62">
          <cell r="C62" t="str">
            <v>A 335 P91</v>
          </cell>
          <cell r="D62">
            <v>28.3</v>
          </cell>
          <cell r="E62">
            <v>28.3</v>
          </cell>
          <cell r="F62">
            <v>28.3</v>
          </cell>
          <cell r="G62">
            <v>28.2</v>
          </cell>
          <cell r="H62">
            <v>28.1</v>
          </cell>
          <cell r="I62">
            <v>27.7</v>
          </cell>
          <cell r="J62">
            <v>27.3</v>
          </cell>
          <cell r="K62">
            <v>26.7</v>
          </cell>
          <cell r="L62">
            <v>25.9</v>
          </cell>
          <cell r="M62">
            <v>24.9</v>
          </cell>
          <cell r="N62">
            <v>23.7</v>
          </cell>
          <cell r="O62">
            <v>22.3</v>
          </cell>
          <cell r="P62">
            <v>20.7</v>
          </cell>
          <cell r="Q62">
            <v>18</v>
          </cell>
          <cell r="R62">
            <v>14</v>
          </cell>
          <cell r="S62">
            <v>10.3</v>
          </cell>
        </row>
        <row r="63">
          <cell r="C63" t="str">
            <v>HDPE 100</v>
          </cell>
        </row>
        <row r="64">
          <cell r="C64">
            <v>0</v>
          </cell>
        </row>
        <row r="70">
          <cell r="D70">
            <v>100</v>
          </cell>
          <cell r="E70">
            <v>200</v>
          </cell>
          <cell r="F70">
            <v>300</v>
          </cell>
          <cell r="G70">
            <v>400</v>
          </cell>
          <cell r="H70">
            <v>500</v>
          </cell>
          <cell r="I70">
            <v>600</v>
          </cell>
          <cell r="J70">
            <v>650</v>
          </cell>
          <cell r="K70">
            <v>700</v>
          </cell>
          <cell r="L70">
            <v>750</v>
          </cell>
          <cell r="M70">
            <v>800</v>
          </cell>
          <cell r="N70">
            <v>850</v>
          </cell>
          <cell r="O70">
            <v>900</v>
          </cell>
          <cell r="P70">
            <v>950</v>
          </cell>
          <cell r="Q70">
            <v>1000</v>
          </cell>
          <cell r="R70">
            <v>1050</v>
          </cell>
          <cell r="S70">
            <v>1100</v>
          </cell>
        </row>
        <row r="71">
          <cell r="D71">
            <v>2</v>
          </cell>
          <cell r="E71">
            <v>3</v>
          </cell>
          <cell r="F71">
            <v>4</v>
          </cell>
          <cell r="G71">
            <v>5</v>
          </cell>
          <cell r="H71">
            <v>6</v>
          </cell>
          <cell r="I71">
            <v>7</v>
          </cell>
          <cell r="J71">
            <v>8</v>
          </cell>
          <cell r="K71">
            <v>9</v>
          </cell>
          <cell r="L71">
            <v>10</v>
          </cell>
          <cell r="M71">
            <v>11</v>
          </cell>
          <cell r="N71">
            <v>12</v>
          </cell>
          <cell r="O71">
            <v>13</v>
          </cell>
          <cell r="P71">
            <v>14</v>
          </cell>
          <cell r="Q71">
            <v>15</v>
          </cell>
          <cell r="R71">
            <v>16</v>
          </cell>
          <cell r="S71">
            <v>17</v>
          </cell>
        </row>
        <row r="77">
          <cell r="C77">
            <v>0</v>
          </cell>
          <cell r="D77">
            <v>75</v>
          </cell>
          <cell r="E77">
            <v>125</v>
          </cell>
          <cell r="F77">
            <v>175</v>
          </cell>
          <cell r="G77">
            <v>225</v>
          </cell>
          <cell r="H77">
            <v>275</v>
          </cell>
          <cell r="I77">
            <v>325</v>
          </cell>
          <cell r="J77">
            <v>375</v>
          </cell>
          <cell r="K77">
            <v>425</v>
          </cell>
          <cell r="L77">
            <v>475</v>
          </cell>
          <cell r="M77">
            <v>525</v>
          </cell>
          <cell r="N77">
            <v>575</v>
          </cell>
          <cell r="O77">
            <v>625</v>
          </cell>
          <cell r="P77">
            <v>675</v>
          </cell>
          <cell r="Q77">
            <v>725</v>
          </cell>
        </row>
        <row r="78">
          <cell r="C78">
            <v>2</v>
          </cell>
          <cell r="D78">
            <v>3</v>
          </cell>
          <cell r="E78">
            <v>4</v>
          </cell>
          <cell r="F78">
            <v>5</v>
          </cell>
          <cell r="G78">
            <v>6</v>
          </cell>
          <cell r="H78">
            <v>7</v>
          </cell>
          <cell r="I78">
            <v>8</v>
          </cell>
          <cell r="J78">
            <v>9</v>
          </cell>
          <cell r="K78">
            <v>10</v>
          </cell>
          <cell r="L78">
            <v>11</v>
          </cell>
          <cell r="M78">
            <v>12</v>
          </cell>
          <cell r="N78">
            <v>13</v>
          </cell>
          <cell r="O78">
            <v>14</v>
          </cell>
          <cell r="P78">
            <v>15</v>
          </cell>
          <cell r="Q78">
            <v>16</v>
          </cell>
        </row>
        <row r="103">
          <cell r="C103">
            <v>0</v>
          </cell>
          <cell r="D103">
            <v>60</v>
          </cell>
          <cell r="E103">
            <v>150</v>
          </cell>
          <cell r="F103">
            <v>205</v>
          </cell>
          <cell r="G103">
            <v>260</v>
          </cell>
          <cell r="H103">
            <v>315</v>
          </cell>
          <cell r="I103">
            <v>370</v>
          </cell>
          <cell r="J103">
            <v>425</v>
          </cell>
          <cell r="K103">
            <v>480</v>
          </cell>
          <cell r="L103">
            <v>535</v>
          </cell>
          <cell r="M103">
            <v>590</v>
          </cell>
          <cell r="N103">
            <v>650</v>
          </cell>
        </row>
        <row r="104">
          <cell r="C104">
            <v>2</v>
          </cell>
          <cell r="D104">
            <v>3</v>
          </cell>
          <cell r="E104">
            <v>4</v>
          </cell>
          <cell r="F104">
            <v>5</v>
          </cell>
          <cell r="G104">
            <v>6</v>
          </cell>
          <cell r="H104">
            <v>7</v>
          </cell>
          <cell r="I104">
            <v>8</v>
          </cell>
          <cell r="J104">
            <v>9</v>
          </cell>
          <cell r="K104">
            <v>10</v>
          </cell>
          <cell r="L104">
            <v>11</v>
          </cell>
          <cell r="M104">
            <v>12</v>
          </cell>
          <cell r="N104">
            <v>13</v>
          </cell>
        </row>
        <row r="129">
          <cell r="C129">
            <v>-130</v>
          </cell>
          <cell r="D129">
            <v>-120</v>
          </cell>
          <cell r="E129">
            <v>-110</v>
          </cell>
          <cell r="F129">
            <v>-100</v>
          </cell>
          <cell r="G129">
            <v>-90</v>
          </cell>
          <cell r="H129">
            <v>-80</v>
          </cell>
          <cell r="I129">
            <v>-70</v>
          </cell>
          <cell r="J129">
            <v>-60</v>
          </cell>
          <cell r="K129">
            <v>-50</v>
          </cell>
          <cell r="L129">
            <v>-40</v>
          </cell>
          <cell r="M129">
            <v>-30</v>
          </cell>
          <cell r="N129">
            <v>-20</v>
          </cell>
          <cell r="O129">
            <v>-10</v>
          </cell>
          <cell r="P129">
            <v>0</v>
          </cell>
          <cell r="Q129">
            <v>10</v>
          </cell>
        </row>
        <row r="130">
          <cell r="C130">
            <v>2</v>
          </cell>
          <cell r="D130">
            <v>3</v>
          </cell>
          <cell r="E130">
            <v>4</v>
          </cell>
          <cell r="F130">
            <v>5</v>
          </cell>
          <cell r="G130">
            <v>6</v>
          </cell>
          <cell r="H130">
            <v>7</v>
          </cell>
          <cell r="I130">
            <v>8</v>
          </cell>
          <cell r="J130">
            <v>9</v>
          </cell>
          <cell r="K130">
            <v>10</v>
          </cell>
          <cell r="L130">
            <v>11</v>
          </cell>
          <cell r="M130">
            <v>12</v>
          </cell>
          <cell r="N130">
            <v>13</v>
          </cell>
          <cell r="O130">
            <v>14</v>
          </cell>
          <cell r="P130">
            <v>15</v>
          </cell>
          <cell r="Q130">
            <v>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"/>
      <sheetName val="export coeff"/>
      <sheetName val="result"/>
      <sheetName val="detail"/>
      <sheetName val="p.sch.coeff"/>
      <sheetName val="BDP POSTE Dar_El_beida"/>
      <sheetName val="Récap DAR EL BEIDA"/>
      <sheetName val="DAR EL BEIDA"/>
      <sheetName val="PDR HT"/>
      <sheetName val="Récap MT"/>
      <sheetName val="MT"/>
      <sheetName val="PDR"/>
      <sheetName val="OUTILLAGES"/>
      <sheetName val="RECAP PAR POSTE"/>
      <sheetName val="Aide"/>
      <sheetName val="old OUTILLAGES"/>
      <sheetName val="BDP POSTE AEB"/>
      <sheetName val="Récap DJELFA"/>
      <sheetName val="Fourniture DJELFA"/>
      <sheetName val="PDR - DJELFA"/>
      <sheetName val="Récap DJELFA MT"/>
      <sheetName val="MT - DJELFA"/>
      <sheetName val="PDR - DJELFA MT "/>
      <sheetName val="recap BOUIRA"/>
      <sheetName val="BOUIRA"/>
      <sheetName val="PDR BOUIRA"/>
      <sheetName val="DG"/>
      <sheetName val="DAF"/>
      <sheetName val="CHERCHAR"/>
      <sheetName val="BDP POSTE CHECHAR"/>
      <sheetName val="Récap G"/>
      <sheetName val="TAB Récap CHECHAR"/>
      <sheetName val="CHECHAR"/>
      <sheetName val="PDR - CHECHAR"/>
      <sheetName val="MT - CHECHAR"/>
      <sheetName val="Pièces de Rechange MT "/>
      <sheetName val="export_coeff"/>
      <sheetName val="p_sch_coeff"/>
      <sheetName val="BDP_POSTE_Dar_El_beida"/>
      <sheetName val="Récap_DAR_EL_BEIDA"/>
      <sheetName val="DAR_EL_BEIDA"/>
      <sheetName val="PDR_HT"/>
      <sheetName val="Récap_MT"/>
      <sheetName val="RECAP_PAR_POSTE"/>
      <sheetName val="old_OUTILLAGES"/>
      <sheetName val="BDP_POSTE_AEB"/>
      <sheetName val="Récap_DJELFA"/>
      <sheetName val="Fourniture_DJELFA"/>
      <sheetName val="PDR_-_DJELFA"/>
      <sheetName val="Récap_DJELFA_MT"/>
      <sheetName val="MT_-_DJELFA"/>
      <sheetName val="PDR_-_DJELFA_MT_"/>
      <sheetName val="recap_BOUIRA"/>
      <sheetName val="PDR_BOUIRA"/>
      <sheetName val="BDP_POSTE_CHECHAR"/>
      <sheetName val="Récap_G"/>
      <sheetName val="TAB_Récap_CHECHAR"/>
      <sheetName val="PDR_-_CHECHAR"/>
      <sheetName val="MT_-_CHECHAR"/>
      <sheetName val="Pièces_de_Rechange_MT_"/>
      <sheetName val="export_coeff1"/>
      <sheetName val="p_sch_coeff1"/>
      <sheetName val="BDP_POSTE_Dar_El_beida1"/>
      <sheetName val="Récap_DAR_EL_BEIDA1"/>
      <sheetName val="DAR_EL_BEIDA1"/>
      <sheetName val="PDR_HT1"/>
      <sheetName val="Récap_MT1"/>
      <sheetName val="RECAP_PAR_POSTE1"/>
      <sheetName val="old_OUTILLAGES1"/>
      <sheetName val="BDP_POSTE_AEB1"/>
      <sheetName val="Récap_DJELFA1"/>
      <sheetName val="Fourniture_DJELFA1"/>
      <sheetName val="PDR_-_DJELFA1"/>
      <sheetName val="Récap_DJELFA_MT1"/>
      <sheetName val="MT_-_DJELFA1"/>
      <sheetName val="PDR_-_DJELFA_MT_1"/>
      <sheetName val="recap_BOUIRA1"/>
      <sheetName val="PDR_BOUIRA1"/>
      <sheetName val="BDP_POSTE_CHECHAR1"/>
      <sheetName val="Récap_G1"/>
      <sheetName val="TAB_Récap_CHECHAR1"/>
      <sheetName val="PDR_-_CHECHAR1"/>
      <sheetName val="MT_-_CHECHAR1"/>
      <sheetName val="Pièces_de_Rechange_MT_1"/>
      <sheetName val="export_coeff2"/>
      <sheetName val="p_sch_coeff2"/>
      <sheetName val="BDP_POSTE_Dar_El_beida2"/>
      <sheetName val="Récap_DAR_EL_BEIDA2"/>
      <sheetName val="DAR_EL_BEIDA2"/>
      <sheetName val="PDR_HT2"/>
      <sheetName val="Récap_MT2"/>
      <sheetName val="RECAP_PAR_POSTE2"/>
      <sheetName val="old_OUTILLAGES2"/>
      <sheetName val="BDP_POSTE_AEB2"/>
      <sheetName val="Récap_DJELFA2"/>
      <sheetName val="Fourniture_DJELFA2"/>
      <sheetName val="PDR_-_DJELFA2"/>
      <sheetName val="Récap_DJELFA_MT2"/>
      <sheetName val="MT_-_DJELFA2"/>
      <sheetName val="PDR_-_DJELFA_MT_2"/>
      <sheetName val="recap_BOUIRA2"/>
      <sheetName val="PDR_BOUIRA2"/>
      <sheetName val="BDP_POSTE_CHECHAR2"/>
      <sheetName val="Récap_G2"/>
      <sheetName val="TAB_Récap_CHECHAR2"/>
      <sheetName val="PDR_-_CHECHAR2"/>
      <sheetName val="MT_-_CHECHAR2"/>
      <sheetName val="Pièces_de_Rechange_MT_2"/>
      <sheetName val="export_coeff3"/>
      <sheetName val="p_sch_coeff3"/>
      <sheetName val="BDP_POSTE_Dar_El_beida3"/>
      <sheetName val="Récap_DAR_EL_BEIDA3"/>
      <sheetName val="DAR_EL_BEIDA3"/>
      <sheetName val="PDR_HT3"/>
      <sheetName val="Récap_MT3"/>
      <sheetName val="RECAP_PAR_POSTE3"/>
      <sheetName val="old_OUTILLAGES3"/>
      <sheetName val="BDP_POSTE_AEB3"/>
      <sheetName val="Récap_DJELFA3"/>
      <sheetName val="Fourniture_DJELFA3"/>
      <sheetName val="PDR_-_DJELFA3"/>
      <sheetName val="Récap_DJELFA_MT3"/>
      <sheetName val="MT_-_DJELFA3"/>
      <sheetName val="PDR_-_DJELFA_MT_3"/>
      <sheetName val="recap_BOUIRA3"/>
      <sheetName val="PDR_BOUIRA3"/>
      <sheetName val="BDP_POSTE_CHECHAR3"/>
      <sheetName val="Récap_G3"/>
      <sheetName val="TAB_Récap_CHECHAR3"/>
      <sheetName val="PDR_-_CHECHAR3"/>
      <sheetName val="MT_-_CHECHAR3"/>
      <sheetName val="Pièces_de_Rechange_MT_3"/>
      <sheetName val="BDP POSTE 400_220 kV"/>
      <sheetName val="Récap OUED EL ABTAL"/>
      <sheetName val="FOURNITURE OUED EL ABTAL"/>
      <sheetName val="PDR -OUED EL ABTAL"/>
    </sheetNames>
    <sheetDataSet>
      <sheetData sheetId="0" refreshError="1">
        <row r="16">
          <cell r="B16">
            <v>9.5238095238095247E-3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Breakdown"/>
      <sheetName val="Finance Summary"/>
      <sheetName val="Services (Various)"/>
      <sheetName val="Spares"/>
      <sheetName val="Module1"/>
      <sheetName val="Module3"/>
      <sheetName val="Module4"/>
      <sheetName val="Module5"/>
      <sheetName val="Module6"/>
      <sheetName val="Module7"/>
      <sheetName val="Module8"/>
      <sheetName val="Module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s"/>
      <sheetName val="LOD"/>
      <sheetName val="Spares"/>
      <sheetName val="Services"/>
      <sheetName val="D25"/>
      <sheetName val="IO"/>
      <sheetName val="Module2"/>
      <sheetName val="Price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Subc.rates"/>
      <sheetName val="POE"/>
      <sheetName val="Factors"/>
      <sheetName val="Add_Factors"/>
      <sheetName val="Subc_Item"/>
    </sheetNames>
    <sheetDataSet>
      <sheetData sheetId="0"/>
      <sheetData sheetId="1">
        <row r="1">
          <cell r="A1" t="str">
            <v>Subc.item</v>
          </cell>
          <cell r="B1" t="str">
            <v>Subc.</v>
          </cell>
          <cell r="C1" t="str">
            <v>Code</v>
          </cell>
          <cell r="D1" t="str">
            <v>Currency</v>
          </cell>
          <cell r="E1" t="str">
            <v>Rate</v>
          </cell>
          <cell r="F1" t="str">
            <v>rate per ...</v>
          </cell>
          <cell r="G1" t="str">
            <v>mat incl?</v>
          </cell>
          <cell r="H1" t="str">
            <v>Conditions</v>
          </cell>
          <cell r="K1" t="str">
            <v>sub group</v>
          </cell>
        </row>
        <row r="2">
          <cell r="A2" t="str">
            <v>3FOBBBAntwerp</v>
          </cell>
          <cell r="B2" t="str">
            <v>WI</v>
          </cell>
          <cell r="C2" t="str">
            <v>3FOBBBAntwerpWI</v>
          </cell>
          <cell r="D2" t="str">
            <v>EUR</v>
          </cell>
          <cell r="E2">
            <v>10</v>
          </cell>
          <cell r="F2" t="str">
            <v>EUR/t</v>
          </cell>
          <cell r="H2" t="str">
            <v>file TRP Pricematrix.xls</v>
          </cell>
          <cell r="K2" t="str">
            <v>FOB cost</v>
          </cell>
        </row>
        <row r="3">
          <cell r="A3" t="str">
            <v>3FOBBBHamburg</v>
          </cell>
          <cell r="B3" t="str">
            <v>WI</v>
          </cell>
          <cell r="C3" t="str">
            <v>3FOBBBHamburgWI</v>
          </cell>
          <cell r="D3" t="str">
            <v>EUR</v>
          </cell>
          <cell r="E3">
            <v>13.65</v>
          </cell>
          <cell r="F3" t="str">
            <v>EUR/t</v>
          </cell>
          <cell r="H3" t="str">
            <v>file TRP Pricematrix.xls</v>
          </cell>
          <cell r="K3" t="str">
            <v>FOB cost</v>
          </cell>
        </row>
        <row r="4">
          <cell r="A4" t="str">
            <v>3FOBBBKillinghome</v>
          </cell>
          <cell r="B4" t="str">
            <v>WI</v>
          </cell>
          <cell r="C4" t="str">
            <v>3FOBBBKillinghomeWI</v>
          </cell>
          <cell r="D4" t="str">
            <v>EUR</v>
          </cell>
          <cell r="E4">
            <v>16.8</v>
          </cell>
          <cell r="F4" t="str">
            <v>EUR/t</v>
          </cell>
          <cell r="H4" t="str">
            <v>file TRP Pricematrix.xls</v>
          </cell>
          <cell r="K4" t="str">
            <v>FOB cost</v>
          </cell>
        </row>
        <row r="5">
          <cell r="A5" t="str">
            <v>3FOBBBSalerno</v>
          </cell>
          <cell r="B5" t="str">
            <v>WI</v>
          </cell>
          <cell r="C5" t="str">
            <v>3FOBBBSalernoWI</v>
          </cell>
          <cell r="D5" t="str">
            <v>EUR</v>
          </cell>
          <cell r="E5">
            <v>10.5</v>
          </cell>
          <cell r="F5" t="str">
            <v>EUR/t</v>
          </cell>
          <cell r="H5" t="str">
            <v>file TRP Pricematrix.xls</v>
          </cell>
          <cell r="K5" t="str">
            <v>FOB cost</v>
          </cell>
        </row>
        <row r="6">
          <cell r="A6" t="str">
            <v>3FOBHVAntwerp</v>
          </cell>
          <cell r="B6" t="str">
            <v>WI</v>
          </cell>
          <cell r="C6" t="str">
            <v>3FOBHVAntwerpWI</v>
          </cell>
          <cell r="D6" t="str">
            <v>EUR</v>
          </cell>
          <cell r="E6">
            <v>5</v>
          </cell>
          <cell r="F6" t="str">
            <v>EUR/t</v>
          </cell>
          <cell r="H6" t="str">
            <v>file TRP Pricematrix.xls</v>
          </cell>
          <cell r="K6" t="str">
            <v>FOB cost</v>
          </cell>
        </row>
        <row r="7">
          <cell r="A7" t="str">
            <v>3FRBBAntwerpAlbany</v>
          </cell>
          <cell r="B7" t="str">
            <v>WI</v>
          </cell>
          <cell r="C7" t="str">
            <v>3FRBBAntwerpAlbanyWI</v>
          </cell>
          <cell r="D7" t="str">
            <v>US$</v>
          </cell>
          <cell r="E7">
            <v>94.5</v>
          </cell>
          <cell r="F7" t="str">
            <v>US$/wm</v>
          </cell>
          <cell r="H7" t="str">
            <v>file TRP Pricematrix.xls</v>
          </cell>
          <cell r="K7" t="str">
            <v>bulk mat'l</v>
          </cell>
        </row>
        <row r="8">
          <cell r="A8" t="str">
            <v>3FRBBAntwerpCartagena</v>
          </cell>
          <cell r="B8" t="str">
            <v>WI</v>
          </cell>
          <cell r="C8" t="str">
            <v>3FRBBAntwerpCartagenaWI</v>
          </cell>
          <cell r="D8" t="str">
            <v>US$</v>
          </cell>
          <cell r="E8">
            <v>70</v>
          </cell>
          <cell r="F8" t="str">
            <v>US$/wm</v>
          </cell>
          <cell r="H8" t="str">
            <v>Altamira A.52469</v>
          </cell>
          <cell r="K8" t="str">
            <v>bulk mat'l</v>
          </cell>
        </row>
        <row r="9">
          <cell r="A9" t="str">
            <v>3FRBBAntwerpCharleston</v>
          </cell>
          <cell r="B9" t="str">
            <v>WI</v>
          </cell>
          <cell r="C9" t="str">
            <v>3FRBBAntwerpCharlestonWI</v>
          </cell>
          <cell r="D9" t="str">
            <v>US$</v>
          </cell>
          <cell r="E9">
            <v>66</v>
          </cell>
          <cell r="F9" t="str">
            <v>US$/frt</v>
          </cell>
          <cell r="G9" t="str">
            <v>no</v>
          </cell>
          <cell r="H9" t="str">
            <v>rate for TVA Memphis</v>
          </cell>
          <cell r="K9" t="str">
            <v>bulk mat'l</v>
          </cell>
        </row>
        <row r="10">
          <cell r="A10" t="str">
            <v>3FRBBAntwerpChennai</v>
          </cell>
          <cell r="B10" t="str">
            <v>WI</v>
          </cell>
          <cell r="C10" t="str">
            <v>3FRBBAntwerpChennaiWI</v>
          </cell>
          <cell r="D10" t="str">
            <v>US$</v>
          </cell>
          <cell r="E10">
            <v>84</v>
          </cell>
          <cell r="F10" t="str">
            <v>US$/t</v>
          </cell>
          <cell r="H10" t="str">
            <v>file TRP Pricematrix.xls</v>
          </cell>
          <cell r="K10" t="str">
            <v>bulk mat'l</v>
          </cell>
        </row>
        <row r="11">
          <cell r="A11" t="str">
            <v>3FRBBAntwerpChennai</v>
          </cell>
          <cell r="B11" t="str">
            <v>WI</v>
          </cell>
          <cell r="C11" t="str">
            <v>3FRBBAntwerpChennaiWI</v>
          </cell>
          <cell r="D11" t="str">
            <v>US$</v>
          </cell>
          <cell r="E11">
            <v>94.5</v>
          </cell>
          <cell r="F11" t="str">
            <v>US$/t</v>
          </cell>
          <cell r="H11" t="str">
            <v>file TRP Pricematrix.xls</v>
          </cell>
          <cell r="K11" t="str">
            <v>bulk mat'l</v>
          </cell>
        </row>
        <row r="12">
          <cell r="A12" t="str">
            <v>3FRBBAntwerpChennai</v>
          </cell>
          <cell r="B12" t="str">
            <v>WI</v>
          </cell>
          <cell r="C12" t="str">
            <v>3FRBBAntwerpChennaiWI</v>
          </cell>
          <cell r="D12" t="str">
            <v>US$</v>
          </cell>
          <cell r="E12">
            <v>183.5</v>
          </cell>
          <cell r="F12" t="str">
            <v>US$/t</v>
          </cell>
          <cell r="H12" t="str">
            <v>file TRP Pricematrix.xls</v>
          </cell>
          <cell r="K12" t="str">
            <v>bulk mat'l</v>
          </cell>
        </row>
        <row r="13">
          <cell r="A13" t="str">
            <v>3FRBBAntwerpHouston</v>
          </cell>
          <cell r="B13" t="str">
            <v>WI</v>
          </cell>
          <cell r="C13" t="str">
            <v>3FRBBAntwerpHoustonWI</v>
          </cell>
          <cell r="D13" t="str">
            <v>US$</v>
          </cell>
          <cell r="E13">
            <v>63</v>
          </cell>
          <cell r="F13" t="str">
            <v>US$/wm</v>
          </cell>
          <cell r="H13" t="str">
            <v>file TRP Pricematrix.xls</v>
          </cell>
          <cell r="K13" t="str">
            <v>bulk mat'l</v>
          </cell>
        </row>
        <row r="14">
          <cell r="A14" t="str">
            <v>3FRBBAntwerpHouston</v>
          </cell>
          <cell r="B14" t="str">
            <v>WI</v>
          </cell>
          <cell r="C14" t="str">
            <v>3FRBBAntwerpHoustonWI</v>
          </cell>
          <cell r="D14" t="str">
            <v>US$</v>
          </cell>
          <cell r="E14">
            <v>68.25</v>
          </cell>
          <cell r="F14" t="str">
            <v>US$/wm</v>
          </cell>
          <cell r="H14" t="str">
            <v>file TRP Pricematrix.xls</v>
          </cell>
          <cell r="K14" t="str">
            <v>bulk mat'l</v>
          </cell>
        </row>
        <row r="15">
          <cell r="A15" t="str">
            <v>3FRBBAntwerpMontevideo</v>
          </cell>
          <cell r="B15" t="str">
            <v>WI</v>
          </cell>
          <cell r="C15" t="str">
            <v>3FRBBAntwerpMontevideoWI</v>
          </cell>
          <cell r="D15" t="str">
            <v>US$</v>
          </cell>
          <cell r="E15">
            <v>73.5</v>
          </cell>
          <cell r="F15" t="str">
            <v>US$/t</v>
          </cell>
          <cell r="H15" t="str">
            <v>file TRP Pricematrix.xls</v>
          </cell>
          <cell r="K15" t="str">
            <v>bulk mat'l</v>
          </cell>
        </row>
        <row r="16">
          <cell r="A16" t="str">
            <v>3FRBBAntwerpPusan</v>
          </cell>
          <cell r="B16" t="str">
            <v>WI</v>
          </cell>
          <cell r="C16" t="str">
            <v>3FRBBAntwerpPusanWI</v>
          </cell>
          <cell r="D16" t="str">
            <v>US$</v>
          </cell>
          <cell r="E16">
            <v>84</v>
          </cell>
          <cell r="F16" t="str">
            <v>US$/t</v>
          </cell>
          <cell r="H16" t="str">
            <v>file TRP Pricematrix.xls</v>
          </cell>
          <cell r="K16" t="str">
            <v>bulk mat'l</v>
          </cell>
        </row>
        <row r="17">
          <cell r="A17" t="str">
            <v>3FRBBAntwerpPusan</v>
          </cell>
          <cell r="B17" t="str">
            <v>WI</v>
          </cell>
          <cell r="C17" t="str">
            <v>3FRBBAntwerpPusanWI</v>
          </cell>
          <cell r="D17" t="str">
            <v>US$</v>
          </cell>
          <cell r="E17">
            <v>94.5</v>
          </cell>
          <cell r="F17" t="str">
            <v>US$/t</v>
          </cell>
          <cell r="H17" t="str">
            <v>file TRP Pricematrix.xls</v>
          </cell>
          <cell r="K17" t="str">
            <v>bulk mat'l</v>
          </cell>
        </row>
        <row r="18">
          <cell r="A18" t="str">
            <v>3FRBBAntwerpSantos</v>
          </cell>
          <cell r="B18" t="str">
            <v>WI</v>
          </cell>
          <cell r="C18" t="str">
            <v>3FRBBAntwerpSantosWI</v>
          </cell>
          <cell r="D18" t="str">
            <v>US$</v>
          </cell>
          <cell r="E18">
            <v>84</v>
          </cell>
          <cell r="F18" t="str">
            <v>US$/t</v>
          </cell>
          <cell r="H18" t="str">
            <v>file TRP Pricematrix.xls</v>
          </cell>
          <cell r="K18" t="str">
            <v>bulk mat'l</v>
          </cell>
        </row>
        <row r="19">
          <cell r="A19" t="str">
            <v>3FRBBAntwerpSantos</v>
          </cell>
          <cell r="B19" t="str">
            <v>WI</v>
          </cell>
          <cell r="C19" t="str">
            <v>3FRBBAntwerpSantosWI</v>
          </cell>
          <cell r="D19" t="str">
            <v>US$</v>
          </cell>
          <cell r="E19">
            <v>89.25</v>
          </cell>
          <cell r="F19" t="str">
            <v>US$/t</v>
          </cell>
          <cell r="H19" t="str">
            <v>file TRP Pricematrix.xls</v>
          </cell>
          <cell r="K19" t="str">
            <v>bulk mat'l</v>
          </cell>
        </row>
        <row r="20">
          <cell r="A20" t="str">
            <v>3FRBBAntwerpSetubal</v>
          </cell>
          <cell r="B20" t="str">
            <v>WI</v>
          </cell>
          <cell r="C20" t="str">
            <v>3FRBBAntwerpSetubalWI</v>
          </cell>
          <cell r="D20" t="str">
            <v>EUR</v>
          </cell>
          <cell r="E20">
            <v>36.75</v>
          </cell>
          <cell r="F20" t="str">
            <v>EUR/t</v>
          </cell>
          <cell r="H20" t="str">
            <v>file TRP Pricematrix.xls</v>
          </cell>
          <cell r="K20" t="str">
            <v>bulk mat'l</v>
          </cell>
        </row>
        <row r="21">
          <cell r="A21" t="str">
            <v>3FRBBAntwerpSetubal</v>
          </cell>
          <cell r="B21" t="str">
            <v>WI</v>
          </cell>
          <cell r="C21" t="str">
            <v>3FRBBAntwerpSetubalWI</v>
          </cell>
          <cell r="D21" t="str">
            <v>EUR</v>
          </cell>
          <cell r="E21">
            <v>52.5</v>
          </cell>
          <cell r="F21" t="str">
            <v>EUR/t</v>
          </cell>
          <cell r="H21" t="str">
            <v>file TRP Pricematrix.xls</v>
          </cell>
          <cell r="K21" t="str">
            <v>bulk mat'l</v>
          </cell>
        </row>
        <row r="22">
          <cell r="A22" t="str">
            <v>3FRBBAshdodBaltimore</v>
          </cell>
          <cell r="B22" t="str">
            <v>WI</v>
          </cell>
          <cell r="C22" t="str">
            <v>3FRBBAshdodBaltimoreWI</v>
          </cell>
          <cell r="D22" t="str">
            <v>US$</v>
          </cell>
          <cell r="E22">
            <v>75</v>
          </cell>
          <cell r="F22" t="str">
            <v>US$/t</v>
          </cell>
          <cell r="H22" t="str">
            <v>rate for Fairless</v>
          </cell>
          <cell r="K22" t="str">
            <v>bulk mat'l</v>
          </cell>
        </row>
        <row r="23">
          <cell r="A23" t="str">
            <v>3FRBBAshdodHouston</v>
          </cell>
          <cell r="B23" t="str">
            <v>WI</v>
          </cell>
          <cell r="C23" t="str">
            <v>3FRBBAshdodHoustonWI</v>
          </cell>
          <cell r="D23" t="str">
            <v>US$</v>
          </cell>
          <cell r="E23">
            <v>78</v>
          </cell>
          <cell r="F23" t="str">
            <v>US$/t</v>
          </cell>
          <cell r="H23" t="str">
            <v>rate for Brazos Valley</v>
          </cell>
          <cell r="K23" t="str">
            <v>bulk mat'l</v>
          </cell>
        </row>
        <row r="24">
          <cell r="A24" t="str">
            <v>3FRBBBangkokBatangas</v>
          </cell>
          <cell r="B24" t="str">
            <v>WI</v>
          </cell>
          <cell r="C24" t="str">
            <v>3FRBBBangkokBatangasWI</v>
          </cell>
          <cell r="D24" t="str">
            <v>US$</v>
          </cell>
          <cell r="E24">
            <v>73.5</v>
          </cell>
          <cell r="F24" t="str">
            <v>US$/t</v>
          </cell>
          <cell r="H24" t="str">
            <v>file TRP Pricematrix.xls</v>
          </cell>
          <cell r="K24" t="str">
            <v>bulk mat'l</v>
          </cell>
        </row>
        <row r="25">
          <cell r="A25" t="str">
            <v>3FRBBBangkokCartagena</v>
          </cell>
          <cell r="B25" t="str">
            <v>WI</v>
          </cell>
          <cell r="C25" t="str">
            <v>3FRBBBangkokCartagenaWI</v>
          </cell>
          <cell r="D25" t="str">
            <v>US$</v>
          </cell>
          <cell r="E25">
            <v>99.25</v>
          </cell>
          <cell r="F25" t="str">
            <v>US$/t</v>
          </cell>
          <cell r="H25" t="str">
            <v>Altamira A.52469</v>
          </cell>
          <cell r="K25" t="str">
            <v>bulk mat'l</v>
          </cell>
        </row>
        <row r="26">
          <cell r="A26" t="str">
            <v>3FRBBBangkokHouston</v>
          </cell>
          <cell r="B26" t="str">
            <v>WI</v>
          </cell>
          <cell r="C26" t="str">
            <v>3FRBBBangkokHoustonWI</v>
          </cell>
          <cell r="D26" t="str">
            <v>US$</v>
          </cell>
          <cell r="E26">
            <v>94.5</v>
          </cell>
          <cell r="F26" t="str">
            <v>US$/t</v>
          </cell>
          <cell r="H26" t="str">
            <v>file TRP Pricematrix.xls</v>
          </cell>
          <cell r="K26" t="str">
            <v>bulk mat'l</v>
          </cell>
        </row>
        <row r="27">
          <cell r="A27" t="str">
            <v>3FRBBBangkokHouston</v>
          </cell>
          <cell r="B27" t="str">
            <v>WI</v>
          </cell>
          <cell r="C27" t="str">
            <v>3FRBBBangkokHoustonWI</v>
          </cell>
          <cell r="D27" t="str">
            <v>US$</v>
          </cell>
          <cell r="E27">
            <v>99.75</v>
          </cell>
          <cell r="F27" t="str">
            <v>US$/t</v>
          </cell>
          <cell r="H27" t="str">
            <v>file TRP Pricematrix.xls</v>
          </cell>
          <cell r="K27" t="str">
            <v>bulk mat'l</v>
          </cell>
        </row>
        <row r="28">
          <cell r="A28" t="str">
            <v>3FRBBConstanzaBaltimore</v>
          </cell>
          <cell r="B28" t="str">
            <v>WI</v>
          </cell>
          <cell r="C28" t="str">
            <v>3FRBBConstanzaBaltimoreWI</v>
          </cell>
          <cell r="D28" t="str">
            <v>US$</v>
          </cell>
          <cell r="E28">
            <v>120</v>
          </cell>
          <cell r="F28" t="str">
            <v>US$/t</v>
          </cell>
          <cell r="H28" t="str">
            <v>rate for Fairless</v>
          </cell>
          <cell r="K28" t="str">
            <v>bulk mat'l</v>
          </cell>
        </row>
        <row r="29">
          <cell r="A29" t="str">
            <v>3FRBBHamburgHouston</v>
          </cell>
          <cell r="B29" t="str">
            <v>WI</v>
          </cell>
          <cell r="C29" t="str">
            <v>3FRBBHamburgHoustonWI</v>
          </cell>
          <cell r="D29" t="str">
            <v>US$</v>
          </cell>
          <cell r="E29">
            <v>68.25</v>
          </cell>
          <cell r="F29" t="str">
            <v>US$/wm</v>
          </cell>
          <cell r="H29" t="str">
            <v>file TRP Pricematrix.xls</v>
          </cell>
          <cell r="K29" t="str">
            <v>bulk mat'l</v>
          </cell>
        </row>
        <row r="30">
          <cell r="A30" t="str">
            <v>3FRBBPaderbornAntwerp</v>
          </cell>
          <cell r="B30" t="str">
            <v>WI</v>
          </cell>
          <cell r="C30" t="str">
            <v>3FRBBPaderbornAntwerpWI</v>
          </cell>
          <cell r="D30" t="str">
            <v>EUR</v>
          </cell>
          <cell r="E30">
            <v>33.5</v>
          </cell>
          <cell r="F30" t="str">
            <v>EUR/t</v>
          </cell>
          <cell r="H30" t="str">
            <v>Benteler contract 2001-2002</v>
          </cell>
          <cell r="K30" t="str">
            <v>bulk mat'l</v>
          </cell>
        </row>
        <row r="31">
          <cell r="A31" t="str">
            <v>3FRBBPaderbornFinner</v>
          </cell>
          <cell r="B31" t="str">
            <v>WI</v>
          </cell>
          <cell r="C31" t="str">
            <v>3FRBBPaderbornFinnerWI</v>
          </cell>
          <cell r="D31" t="str">
            <v>EUR</v>
          </cell>
          <cell r="E31">
            <v>43.5</v>
          </cell>
          <cell r="F31" t="str">
            <v>EUR/t</v>
          </cell>
          <cell r="H31" t="str">
            <v>Benteler contract 2001</v>
          </cell>
          <cell r="K31" t="str">
            <v>bulk mat'l</v>
          </cell>
        </row>
        <row r="32">
          <cell r="A32" t="str">
            <v>3FRBBPaderbornGent</v>
          </cell>
          <cell r="B32" t="str">
            <v>WI</v>
          </cell>
          <cell r="C32" t="str">
            <v>3FRBBPaderbornGentWI</v>
          </cell>
          <cell r="D32" t="str">
            <v>EUR</v>
          </cell>
          <cell r="E32">
            <v>27</v>
          </cell>
          <cell r="F32" t="str">
            <v>EUR/t</v>
          </cell>
          <cell r="H32" t="str">
            <v>Benteler contract 2001-2002</v>
          </cell>
          <cell r="K32" t="str">
            <v>bulk mat'l</v>
          </cell>
        </row>
        <row r="33">
          <cell r="A33" t="str">
            <v>3FRBBPaderbornNordhorn</v>
          </cell>
          <cell r="B33" t="str">
            <v>WI</v>
          </cell>
          <cell r="C33" t="str">
            <v>3FRBBPaderbornNordhornWI</v>
          </cell>
          <cell r="D33" t="str">
            <v>EUR</v>
          </cell>
          <cell r="E33">
            <v>29.5</v>
          </cell>
          <cell r="F33" t="str">
            <v>EUR/t</v>
          </cell>
          <cell r="H33" t="str">
            <v>Benteler contract 2001-2002</v>
          </cell>
          <cell r="K33" t="str">
            <v>bulk mat'l</v>
          </cell>
        </row>
        <row r="34">
          <cell r="A34" t="str">
            <v>3FRBBPaderbornSalerno</v>
          </cell>
          <cell r="B34" t="str">
            <v>WI</v>
          </cell>
          <cell r="C34" t="str">
            <v>3FRBBPaderbornSalernoWI</v>
          </cell>
          <cell r="D34" t="str">
            <v>EUR</v>
          </cell>
          <cell r="E34">
            <v>59</v>
          </cell>
          <cell r="F34" t="str">
            <v>EUR/t</v>
          </cell>
          <cell r="H34" t="str">
            <v>Benteler contract 2001-2002</v>
          </cell>
          <cell r="K34" t="str">
            <v>bulk mat'l</v>
          </cell>
        </row>
        <row r="35">
          <cell r="A35" t="str">
            <v>3FRBBPaderbornScheemda</v>
          </cell>
          <cell r="B35" t="str">
            <v>WI</v>
          </cell>
          <cell r="C35" t="str">
            <v>3FRBBPaderbornScheemdaWI</v>
          </cell>
          <cell r="D35" t="str">
            <v>EUR</v>
          </cell>
          <cell r="E35">
            <v>72.5</v>
          </cell>
          <cell r="F35" t="str">
            <v>EUR/t</v>
          </cell>
          <cell r="H35" t="str">
            <v>Benteler contract 2001-2002</v>
          </cell>
          <cell r="K35" t="str">
            <v>bulk mat'l</v>
          </cell>
        </row>
        <row r="36">
          <cell r="A36" t="str">
            <v>3FRBBPaderbornThonon</v>
          </cell>
          <cell r="B36" t="str">
            <v>WI</v>
          </cell>
          <cell r="C36" t="str">
            <v>3FRBBPaderbornThononWI</v>
          </cell>
          <cell r="D36" t="str">
            <v>EUR</v>
          </cell>
          <cell r="E36">
            <v>45.5</v>
          </cell>
          <cell r="F36" t="str">
            <v>EUR/t</v>
          </cell>
          <cell r="H36" t="str">
            <v>Benteler contract 2001-2002</v>
          </cell>
          <cell r="K36" t="str">
            <v>bulk mat'l</v>
          </cell>
        </row>
        <row r="37">
          <cell r="A37" t="str">
            <v>3FRBBPaderbornWakefield</v>
          </cell>
          <cell r="B37" t="str">
            <v>WI</v>
          </cell>
          <cell r="C37" t="str">
            <v>3FRBBPaderbornWakefieldWI</v>
          </cell>
          <cell r="D37" t="str">
            <v>EUR</v>
          </cell>
          <cell r="E37">
            <v>77.5</v>
          </cell>
          <cell r="F37" t="str">
            <v>EUR/t</v>
          </cell>
          <cell r="H37" t="str">
            <v>Benteler contract 2001</v>
          </cell>
          <cell r="K37" t="str">
            <v>bulk mat'l</v>
          </cell>
        </row>
        <row r="38">
          <cell r="A38" t="str">
            <v>3FRBBR'damBrno</v>
          </cell>
          <cell r="B38" t="str">
            <v>WI</v>
          </cell>
          <cell r="C38" t="str">
            <v>3FRBBR'damBrnoWI</v>
          </cell>
          <cell r="D38" t="str">
            <v>EUR</v>
          </cell>
          <cell r="E38">
            <v>200</v>
          </cell>
          <cell r="F38" t="str">
            <v>EUR/t</v>
          </cell>
          <cell r="H38" t="str">
            <v>as from Antwerp</v>
          </cell>
          <cell r="K38" t="str">
            <v>bulk mat'l</v>
          </cell>
        </row>
        <row r="39">
          <cell r="A39" t="str">
            <v>3FRBBR'damChennai</v>
          </cell>
          <cell r="B39" t="str">
            <v>WI</v>
          </cell>
          <cell r="C39" t="str">
            <v>3FRBBR'damChennaiWI</v>
          </cell>
          <cell r="D39" t="str">
            <v>US$</v>
          </cell>
          <cell r="E39">
            <v>90</v>
          </cell>
          <cell r="F39" t="str">
            <v>US$/t</v>
          </cell>
          <cell r="H39" t="str">
            <v>as from Antwerp</v>
          </cell>
          <cell r="K39" t="str">
            <v>bulk mat'l</v>
          </cell>
        </row>
        <row r="40">
          <cell r="A40" t="str">
            <v>3FRBBR'damGemlik</v>
          </cell>
          <cell r="B40" t="str">
            <v>WI</v>
          </cell>
          <cell r="C40" t="str">
            <v>3FRBBR'damGemlikWI</v>
          </cell>
          <cell r="D40" t="str">
            <v>US$</v>
          </cell>
          <cell r="E40">
            <v>88.2</v>
          </cell>
          <cell r="F40" t="str">
            <v>US$/t</v>
          </cell>
          <cell r="K40" t="str">
            <v>bulk mat'l</v>
          </cell>
        </row>
        <row r="41">
          <cell r="A41" t="str">
            <v>3FRBBR'damHamburg</v>
          </cell>
          <cell r="B41" t="str">
            <v>WI</v>
          </cell>
          <cell r="C41" t="str">
            <v>3FRBBR'damHamburgWI</v>
          </cell>
          <cell r="D41" t="str">
            <v>EUR</v>
          </cell>
          <cell r="E41">
            <v>175</v>
          </cell>
          <cell r="F41" t="str">
            <v>EUR/t</v>
          </cell>
          <cell r="H41" t="str">
            <v>as from Antwerp</v>
          </cell>
          <cell r="K41" t="str">
            <v>bulk mat'l</v>
          </cell>
        </row>
        <row r="42">
          <cell r="A42" t="str">
            <v>3FRBBR'damHouston</v>
          </cell>
          <cell r="B42" t="str">
            <v>WI</v>
          </cell>
          <cell r="C42" t="str">
            <v>3FRBBR'damHoustonWI</v>
          </cell>
          <cell r="D42" t="str">
            <v>US$</v>
          </cell>
          <cell r="E42">
            <v>68.25</v>
          </cell>
          <cell r="F42" t="str">
            <v>US$/t</v>
          </cell>
          <cell r="H42" t="str">
            <v>as from Antwerp</v>
          </cell>
          <cell r="K42" t="str">
            <v>bulk mat'l</v>
          </cell>
        </row>
        <row r="43">
          <cell r="A43" t="str">
            <v>3FRBBR'damPusan</v>
          </cell>
          <cell r="B43" t="str">
            <v>WI</v>
          </cell>
          <cell r="C43" t="str">
            <v>3FRBBR'damPusanWI</v>
          </cell>
          <cell r="D43" t="str">
            <v>US$</v>
          </cell>
          <cell r="E43">
            <v>94.5</v>
          </cell>
          <cell r="F43" t="str">
            <v>US$/t</v>
          </cell>
          <cell r="H43" t="str">
            <v>as from Antwerp</v>
          </cell>
          <cell r="K43" t="str">
            <v>bulk mat'l</v>
          </cell>
        </row>
        <row r="44">
          <cell r="A44" t="str">
            <v>3FRBBR'damSantos</v>
          </cell>
          <cell r="B44" t="str">
            <v>WI</v>
          </cell>
          <cell r="C44" t="str">
            <v>3FRBBR'damSantosWI</v>
          </cell>
          <cell r="D44" t="str">
            <v>US$</v>
          </cell>
          <cell r="E44">
            <v>89.25</v>
          </cell>
          <cell r="F44" t="str">
            <v>US$/t</v>
          </cell>
          <cell r="H44" t="str">
            <v>as from Antwerp</v>
          </cell>
          <cell r="K44" t="str">
            <v>bulk mat'l</v>
          </cell>
        </row>
        <row r="45">
          <cell r="A45" t="str">
            <v>3FRBBR'damSetubal</v>
          </cell>
          <cell r="B45" t="str">
            <v>WI</v>
          </cell>
          <cell r="C45" t="str">
            <v>3FRBBR'damSetubalWI</v>
          </cell>
          <cell r="D45" t="str">
            <v>EUR</v>
          </cell>
          <cell r="E45">
            <v>77.5</v>
          </cell>
          <cell r="F45" t="str">
            <v>EUR/t</v>
          </cell>
          <cell r="H45" t="str">
            <v>Antwerp 52.5/t + 25 R'dam_Antwerp</v>
          </cell>
          <cell r="K45" t="str">
            <v>bulk mat'l</v>
          </cell>
        </row>
        <row r="46">
          <cell r="A46" t="str">
            <v>3FRBBSalernoChennai</v>
          </cell>
          <cell r="B46" t="str">
            <v>WI</v>
          </cell>
          <cell r="C46" t="str">
            <v>3FRBBSalernoChennaiWI</v>
          </cell>
          <cell r="D46" t="str">
            <v>US$</v>
          </cell>
          <cell r="E46">
            <v>89.25</v>
          </cell>
          <cell r="F46" t="str">
            <v>US$/t</v>
          </cell>
          <cell r="H46" t="str">
            <v>file TRP Pricematrix.xls</v>
          </cell>
          <cell r="K46" t="str">
            <v>bulk mat'l</v>
          </cell>
        </row>
        <row r="47">
          <cell r="A47" t="str">
            <v>3FRBBSalernoChennai</v>
          </cell>
          <cell r="B47" t="str">
            <v>WI</v>
          </cell>
          <cell r="C47" t="str">
            <v>3FRBBSalernoChennaiWI</v>
          </cell>
          <cell r="D47" t="str">
            <v>US$</v>
          </cell>
          <cell r="E47">
            <v>90</v>
          </cell>
          <cell r="F47" t="str">
            <v>US$/t</v>
          </cell>
          <cell r="H47" t="str">
            <v>file TRP Pricematrix.xls</v>
          </cell>
          <cell r="K47" t="str">
            <v>bulk mat'l</v>
          </cell>
        </row>
        <row r="48">
          <cell r="A48" t="str">
            <v>3FRBBSalernoPusan</v>
          </cell>
          <cell r="B48" t="str">
            <v>WI</v>
          </cell>
          <cell r="C48" t="str">
            <v>3FRBBSalernoPusanWI</v>
          </cell>
          <cell r="D48" t="str">
            <v>US$</v>
          </cell>
          <cell r="E48">
            <v>89.25</v>
          </cell>
          <cell r="F48" t="str">
            <v>US$/t</v>
          </cell>
          <cell r="H48" t="str">
            <v>file TRP Pricematrix.xls</v>
          </cell>
          <cell r="K48" t="str">
            <v>bulk mat'l</v>
          </cell>
        </row>
        <row r="49">
          <cell r="A49" t="str">
            <v>3FRBBSalernoPusan</v>
          </cell>
          <cell r="B49" t="str">
            <v>WI</v>
          </cell>
          <cell r="C49" t="str">
            <v>3FRBBSalernoPusanWI</v>
          </cell>
          <cell r="D49" t="str">
            <v>US$</v>
          </cell>
          <cell r="E49">
            <v>94.5</v>
          </cell>
          <cell r="F49" t="str">
            <v>US$/t</v>
          </cell>
          <cell r="H49" t="str">
            <v>file TRP Pricematrix.xls</v>
          </cell>
          <cell r="K49" t="str">
            <v>bulk mat'l</v>
          </cell>
        </row>
        <row r="50">
          <cell r="A50" t="str">
            <v>3FRBBSalernoSantos</v>
          </cell>
          <cell r="B50" t="str">
            <v>WI</v>
          </cell>
          <cell r="C50" t="str">
            <v>3FRBBSalernoSantosWI</v>
          </cell>
          <cell r="D50" t="str">
            <v>US$</v>
          </cell>
          <cell r="E50">
            <v>94.5</v>
          </cell>
          <cell r="F50" t="str">
            <v>US$/t</v>
          </cell>
          <cell r="H50" t="str">
            <v>file TRP Pricematrix.xls</v>
          </cell>
          <cell r="K50" t="str">
            <v>bulk mat'l</v>
          </cell>
        </row>
        <row r="51">
          <cell r="A51" t="str">
            <v>3FRBBSalernoSantos</v>
          </cell>
          <cell r="B51" t="str">
            <v>WI</v>
          </cell>
          <cell r="C51" t="str">
            <v>3FRBBSalernoSantosWI</v>
          </cell>
          <cell r="D51" t="str">
            <v>US$</v>
          </cell>
          <cell r="E51">
            <v>105</v>
          </cell>
          <cell r="F51" t="str">
            <v>US$/t</v>
          </cell>
          <cell r="H51" t="str">
            <v>file TRP Pricematrix.xls</v>
          </cell>
          <cell r="K51" t="str">
            <v>bulk mat'l</v>
          </cell>
        </row>
        <row r="52">
          <cell r="A52" t="str">
            <v>3FRBBSalernoSantos</v>
          </cell>
          <cell r="B52" t="str">
            <v>WI</v>
          </cell>
          <cell r="C52" t="str">
            <v>3FRBBSalernoSantosWI</v>
          </cell>
          <cell r="D52" t="str">
            <v>US$</v>
          </cell>
          <cell r="E52">
            <v>168</v>
          </cell>
          <cell r="F52" t="str">
            <v>US$/t</v>
          </cell>
          <cell r="G52" t="str">
            <v>no</v>
          </cell>
          <cell r="H52" t="str">
            <v>file TRP Pricematrix.xls</v>
          </cell>
          <cell r="K52" t="str">
            <v>bulk mat'l</v>
          </cell>
        </row>
        <row r="53">
          <cell r="A53" t="str">
            <v>3FRCTAntwerpAshdod</v>
          </cell>
          <cell r="B53" t="str">
            <v>WI</v>
          </cell>
          <cell r="C53" t="str">
            <v>3FRCTAntwerpAshdodWI</v>
          </cell>
          <cell r="D53" t="str">
            <v>US$</v>
          </cell>
          <cell r="E53">
            <v>2400</v>
          </cell>
          <cell r="F53" t="str">
            <v>US$/ea</v>
          </cell>
          <cell r="G53" t="str">
            <v>no</v>
          </cell>
          <cell r="H53" t="str">
            <v>Altamira A.52469</v>
          </cell>
          <cell r="K53" t="str">
            <v>container</v>
          </cell>
        </row>
        <row r="54">
          <cell r="A54" t="str">
            <v>3FRCTAntwerpBangkok</v>
          </cell>
          <cell r="B54" t="str">
            <v>WI</v>
          </cell>
          <cell r="C54" t="str">
            <v>3FRCTAntwerpBangkokWI</v>
          </cell>
          <cell r="D54" t="str">
            <v>US$</v>
          </cell>
          <cell r="E54">
            <v>968</v>
          </cell>
          <cell r="F54" t="str">
            <v>US$/ea</v>
          </cell>
          <cell r="G54" t="str">
            <v>no</v>
          </cell>
          <cell r="H54" t="str">
            <v>Altamira A.52469</v>
          </cell>
          <cell r="K54" t="str">
            <v>container</v>
          </cell>
        </row>
        <row r="55">
          <cell r="A55" t="str">
            <v>3FRCTAntwerpCartagena</v>
          </cell>
          <cell r="B55" t="str">
            <v>WI</v>
          </cell>
          <cell r="C55" t="str">
            <v>3FRCTAntwerpCartagenaWI</v>
          </cell>
          <cell r="D55" t="str">
            <v>US$</v>
          </cell>
          <cell r="E55">
            <v>3500</v>
          </cell>
          <cell r="F55" t="str">
            <v>US$/ea</v>
          </cell>
          <cell r="G55" t="str">
            <v>no</v>
          </cell>
          <cell r="H55" t="str">
            <v>rate for Altamira</v>
          </cell>
          <cell r="K55" t="str">
            <v>container</v>
          </cell>
        </row>
        <row r="56">
          <cell r="A56" t="str">
            <v>3FRCTAntwerpCharleston</v>
          </cell>
          <cell r="B56" t="str">
            <v>WI</v>
          </cell>
          <cell r="C56" t="str">
            <v>3FRCTAntwerpCharlestonWI</v>
          </cell>
          <cell r="D56" t="str">
            <v>US$</v>
          </cell>
          <cell r="E56">
            <v>2520</v>
          </cell>
          <cell r="F56" t="str">
            <v>US$/ea</v>
          </cell>
          <cell r="G56" t="str">
            <v>no</v>
          </cell>
          <cell r="H56" t="str">
            <v>file TRP Pricematrix.xls</v>
          </cell>
          <cell r="K56" t="str">
            <v>container</v>
          </cell>
        </row>
        <row r="57">
          <cell r="A57" t="str">
            <v>3FRCTAntwerpChennai</v>
          </cell>
          <cell r="B57" t="str">
            <v>WI</v>
          </cell>
          <cell r="C57" t="str">
            <v>3FRCTAntwerpChennaiWI</v>
          </cell>
          <cell r="D57" t="str">
            <v>US$</v>
          </cell>
          <cell r="E57">
            <v>2205</v>
          </cell>
          <cell r="F57" t="str">
            <v>US$/ea</v>
          </cell>
          <cell r="H57" t="str">
            <v>file TRP Pricematrix.xls</v>
          </cell>
          <cell r="K57" t="str">
            <v>container</v>
          </cell>
        </row>
        <row r="58">
          <cell r="A58" t="str">
            <v>3FRCTAntwerpHouston</v>
          </cell>
          <cell r="B58" t="str">
            <v>WI</v>
          </cell>
          <cell r="C58" t="str">
            <v>3FRCTAntwerpHoustonWI</v>
          </cell>
          <cell r="D58" t="str">
            <v>US$</v>
          </cell>
          <cell r="E58">
            <v>2835</v>
          </cell>
          <cell r="F58" t="str">
            <v>US$/ea</v>
          </cell>
          <cell r="H58" t="str">
            <v>file TRP Pricematrix.xls</v>
          </cell>
          <cell r="K58" t="str">
            <v>container</v>
          </cell>
        </row>
        <row r="59">
          <cell r="A59" t="str">
            <v>3FRCTAntwerpMontevideo</v>
          </cell>
          <cell r="B59" t="str">
            <v>WI</v>
          </cell>
          <cell r="C59" t="str">
            <v>3FRCTAntwerpMontevideoWI</v>
          </cell>
          <cell r="D59" t="str">
            <v>US$</v>
          </cell>
          <cell r="E59">
            <v>3045</v>
          </cell>
          <cell r="F59" t="str">
            <v>US$/ea</v>
          </cell>
          <cell r="H59" t="str">
            <v>file TRP Pricematrix.xls</v>
          </cell>
          <cell r="K59" t="str">
            <v>container</v>
          </cell>
        </row>
        <row r="60">
          <cell r="A60" t="str">
            <v>3FRCTAntwerpSantos</v>
          </cell>
          <cell r="B60" t="str">
            <v>WI</v>
          </cell>
          <cell r="C60" t="str">
            <v>3FRCTAntwerpSantosWI</v>
          </cell>
          <cell r="D60" t="str">
            <v>US$</v>
          </cell>
          <cell r="E60">
            <v>2757</v>
          </cell>
          <cell r="F60" t="str">
            <v>US$/ea</v>
          </cell>
          <cell r="H60" t="str">
            <v>file TRP Pricematrix.xls</v>
          </cell>
          <cell r="K60" t="str">
            <v>container</v>
          </cell>
        </row>
        <row r="61">
          <cell r="A61" t="str">
            <v>3FRCTAntwerpSetubal</v>
          </cell>
          <cell r="B61" t="str">
            <v>WI</v>
          </cell>
          <cell r="C61" t="str">
            <v>3FRCTAntwerpSetubalWI</v>
          </cell>
          <cell r="D61" t="str">
            <v>EUR</v>
          </cell>
          <cell r="E61">
            <v>2805.6</v>
          </cell>
          <cell r="F61" t="str">
            <v>EUR/ea</v>
          </cell>
          <cell r="H61" t="str">
            <v>file TRP Pricematrix.xls</v>
          </cell>
          <cell r="K61" t="str">
            <v>container</v>
          </cell>
        </row>
        <row r="62">
          <cell r="A62" t="str">
            <v>3FRCTAshdodBaltimore</v>
          </cell>
          <cell r="B62" t="str">
            <v>WI</v>
          </cell>
          <cell r="C62" t="str">
            <v>3FRCTAshdodBaltimoreWI</v>
          </cell>
          <cell r="D62" t="str">
            <v>US$</v>
          </cell>
          <cell r="E62">
            <v>2150</v>
          </cell>
          <cell r="F62" t="str">
            <v>US$/ea</v>
          </cell>
          <cell r="H62" t="str">
            <v>fairless</v>
          </cell>
          <cell r="K62" t="str">
            <v>container</v>
          </cell>
        </row>
        <row r="63">
          <cell r="A63" t="str">
            <v>3FRCTBucarestBoston</v>
          </cell>
          <cell r="B63" t="str">
            <v>WI</v>
          </cell>
          <cell r="C63" t="str">
            <v>3FRCTBucarestBostonWI</v>
          </cell>
          <cell r="D63" t="str">
            <v>US$</v>
          </cell>
          <cell r="E63">
            <v>3350</v>
          </cell>
          <cell r="F63" t="str">
            <v>US$/ea</v>
          </cell>
          <cell r="H63" t="str">
            <v>file TRP Pricematrix.xls</v>
          </cell>
          <cell r="K63" t="str">
            <v>container</v>
          </cell>
        </row>
        <row r="64">
          <cell r="A64" t="str">
            <v>3FRCTBucarestCharleston</v>
          </cell>
          <cell r="B64" t="str">
            <v>WI</v>
          </cell>
          <cell r="C64" t="str">
            <v>3FRCTBucarestCharlestonWI</v>
          </cell>
          <cell r="D64" t="str">
            <v>US$</v>
          </cell>
          <cell r="E64">
            <v>3150</v>
          </cell>
          <cell r="F64" t="str">
            <v>US$/ea</v>
          </cell>
          <cell r="H64" t="str">
            <v>file TRP Pricematrix.xls</v>
          </cell>
          <cell r="K64" t="str">
            <v>container</v>
          </cell>
        </row>
        <row r="65">
          <cell r="A65" t="str">
            <v>3FRCTBucarestHouston</v>
          </cell>
          <cell r="B65" t="str">
            <v>WI</v>
          </cell>
          <cell r="C65" t="str">
            <v>3FRCTBucarestHoustonWI</v>
          </cell>
          <cell r="D65" t="str">
            <v>US$</v>
          </cell>
          <cell r="E65">
            <v>3150</v>
          </cell>
          <cell r="F65" t="str">
            <v>US$/ea</v>
          </cell>
          <cell r="H65" t="str">
            <v>file TRP Pricematrix.xls</v>
          </cell>
          <cell r="K65" t="str">
            <v>container</v>
          </cell>
        </row>
        <row r="66">
          <cell r="A66" t="str">
            <v>3FRCTBucarestMobile</v>
          </cell>
          <cell r="B66" t="str">
            <v>WI</v>
          </cell>
          <cell r="C66" t="str">
            <v>3FRCTBucarestMobileWI</v>
          </cell>
          <cell r="D66" t="str">
            <v>US$</v>
          </cell>
          <cell r="E66">
            <v>3150</v>
          </cell>
          <cell r="F66" t="str">
            <v>US$/ea</v>
          </cell>
          <cell r="H66" t="str">
            <v>file TRP Pricematrix.xls</v>
          </cell>
          <cell r="K66" t="str">
            <v>container</v>
          </cell>
        </row>
        <row r="67">
          <cell r="A67" t="str">
            <v>3FRCTBucarestNewark</v>
          </cell>
          <cell r="B67" t="str">
            <v>WI</v>
          </cell>
          <cell r="C67" t="str">
            <v>3FRCTBucarestNewarkWI</v>
          </cell>
          <cell r="D67" t="str">
            <v>US$</v>
          </cell>
          <cell r="E67">
            <v>3350</v>
          </cell>
          <cell r="F67" t="str">
            <v>US$/ea</v>
          </cell>
          <cell r="H67" t="str">
            <v>file TRP Pricematrix.xls</v>
          </cell>
          <cell r="K67" t="str">
            <v>container</v>
          </cell>
        </row>
        <row r="68">
          <cell r="A68" t="str">
            <v>3FRCTBudapestHouston</v>
          </cell>
          <cell r="B68" t="str">
            <v>WI</v>
          </cell>
          <cell r="C68" t="str">
            <v>3FRCTBudapestHoustonWI</v>
          </cell>
          <cell r="D68" t="str">
            <v>US$</v>
          </cell>
          <cell r="E68">
            <v>4500</v>
          </cell>
          <cell r="F68" t="str">
            <v>US$/ea</v>
          </cell>
          <cell r="H68" t="str">
            <v>Ganz Ruck ex-works to Houston, A.41064 Cliffs</v>
          </cell>
          <cell r="K68" t="str">
            <v>heavies</v>
          </cell>
        </row>
        <row r="69">
          <cell r="A69" t="str">
            <v>3FRCTChennaiBangkok</v>
          </cell>
          <cell r="B69" t="str">
            <v>WI</v>
          </cell>
          <cell r="C69" t="str">
            <v>3FRCTChennaiBangkokWI</v>
          </cell>
          <cell r="D69" t="str">
            <v>US$</v>
          </cell>
          <cell r="E69">
            <v>1178</v>
          </cell>
          <cell r="F69" t="str">
            <v>US$/ea</v>
          </cell>
          <cell r="H69" t="str">
            <v>Altamira A.52469</v>
          </cell>
          <cell r="K69" t="str">
            <v>container</v>
          </cell>
        </row>
        <row r="70">
          <cell r="A70" t="str">
            <v>3FRCTConstanzaBaltimore</v>
          </cell>
          <cell r="B70" t="str">
            <v>WI</v>
          </cell>
          <cell r="C70" t="str">
            <v>3FRCTConstanzaBaltimoreWI</v>
          </cell>
          <cell r="D70" t="str">
            <v>US$</v>
          </cell>
          <cell r="E70">
            <v>2700</v>
          </cell>
          <cell r="F70" t="str">
            <v>US$/ea</v>
          </cell>
          <cell r="H70" t="str">
            <v>fairless</v>
          </cell>
          <cell r="K70" t="str">
            <v>container</v>
          </cell>
        </row>
        <row r="71">
          <cell r="A71" t="str">
            <v>3FRCTGemlikBoston</v>
          </cell>
          <cell r="B71" t="str">
            <v>WI</v>
          </cell>
          <cell r="C71" t="str">
            <v>3FRCTGemlikBostonWI</v>
          </cell>
          <cell r="D71" t="str">
            <v>US$</v>
          </cell>
          <cell r="E71">
            <v>5250</v>
          </cell>
          <cell r="F71" t="str">
            <v>US$/ea</v>
          </cell>
          <cell r="H71" t="str">
            <v>file TRP Pricematrix.xls</v>
          </cell>
          <cell r="K71" t="str">
            <v>container</v>
          </cell>
        </row>
        <row r="72">
          <cell r="A72" t="str">
            <v>3FRCTGemlikCharleston</v>
          </cell>
          <cell r="B72" t="str">
            <v>WI</v>
          </cell>
          <cell r="C72" t="str">
            <v>3FRCTGemlikCharlestonWI</v>
          </cell>
          <cell r="D72" t="str">
            <v>US$</v>
          </cell>
          <cell r="E72">
            <v>3675</v>
          </cell>
          <cell r="F72" t="str">
            <v>US$/ea</v>
          </cell>
          <cell r="H72" t="str">
            <v>file TRP Pricematrix.xls</v>
          </cell>
          <cell r="K72" t="str">
            <v>container</v>
          </cell>
        </row>
        <row r="73">
          <cell r="A73" t="str">
            <v>3FRCTGemlikHouston</v>
          </cell>
          <cell r="B73" t="str">
            <v>WI</v>
          </cell>
          <cell r="C73" t="str">
            <v>3FRCTGemlikHoustonWI</v>
          </cell>
          <cell r="D73" t="str">
            <v>US$</v>
          </cell>
          <cell r="E73">
            <v>5250</v>
          </cell>
          <cell r="F73" t="str">
            <v>US$/ea</v>
          </cell>
          <cell r="H73" t="str">
            <v>file TRP Pricematrix.xls</v>
          </cell>
          <cell r="K73" t="str">
            <v>container</v>
          </cell>
        </row>
        <row r="74">
          <cell r="A74" t="str">
            <v>3FRCTGemlikMobile</v>
          </cell>
          <cell r="B74" t="str">
            <v>WI</v>
          </cell>
          <cell r="C74" t="str">
            <v>3FRCTGemlikMobileWI</v>
          </cell>
          <cell r="D74" t="str">
            <v>US$</v>
          </cell>
          <cell r="E74">
            <v>3675</v>
          </cell>
          <cell r="F74" t="str">
            <v>US$/ea</v>
          </cell>
          <cell r="H74" t="str">
            <v>file TRP Pricematrix.xls</v>
          </cell>
          <cell r="K74" t="str">
            <v>container</v>
          </cell>
        </row>
        <row r="75">
          <cell r="A75" t="str">
            <v>3FRCTGemlikNewark</v>
          </cell>
          <cell r="B75" t="str">
            <v>WI</v>
          </cell>
          <cell r="C75" t="str">
            <v>3FRCTGemlikNewarkWI</v>
          </cell>
          <cell r="D75" t="str">
            <v>US$</v>
          </cell>
          <cell r="E75">
            <v>3832</v>
          </cell>
          <cell r="F75" t="str">
            <v>US$/ea</v>
          </cell>
          <cell r="H75" t="str">
            <v>file TRP Pricematrix.xls</v>
          </cell>
          <cell r="K75" t="str">
            <v>container</v>
          </cell>
        </row>
        <row r="76">
          <cell r="A76" t="str">
            <v>3FRCTLancasterNiemodlin</v>
          </cell>
          <cell r="B76" t="str">
            <v>WI</v>
          </cell>
          <cell r="C76" t="str">
            <v>3FRCTLancasterNiemodlinWI</v>
          </cell>
          <cell r="D76" t="str">
            <v>EUR</v>
          </cell>
          <cell r="E76">
            <v>1269</v>
          </cell>
          <cell r="F76" t="str">
            <v>EUR/ea</v>
          </cell>
          <cell r="H76" t="str">
            <v>same as truckload</v>
          </cell>
          <cell r="K76" t="str">
            <v>container</v>
          </cell>
        </row>
        <row r="77">
          <cell r="A77" t="str">
            <v>3FRCTLancasterSantos</v>
          </cell>
          <cell r="B77" t="str">
            <v>WI</v>
          </cell>
          <cell r="C77" t="str">
            <v>3FRCTLancasterSantosWI</v>
          </cell>
          <cell r="D77" t="str">
            <v>US$</v>
          </cell>
          <cell r="E77">
            <v>3158</v>
          </cell>
          <cell r="F77" t="str">
            <v>EUR/ea</v>
          </cell>
          <cell r="H77" t="str">
            <v>file mtrxtest</v>
          </cell>
          <cell r="K77" t="str">
            <v>container</v>
          </cell>
        </row>
        <row r="78">
          <cell r="A78" t="str">
            <v>3FRCTPusanBoston</v>
          </cell>
          <cell r="B78" t="str">
            <v>WI</v>
          </cell>
          <cell r="C78" t="str">
            <v>3FRCTPusanBostonWI</v>
          </cell>
          <cell r="D78" t="str">
            <v>US$</v>
          </cell>
          <cell r="E78">
            <v>5340</v>
          </cell>
          <cell r="F78" t="str">
            <v>US$/ea</v>
          </cell>
          <cell r="H78" t="str">
            <v>file TRP Pricematrix.xls</v>
          </cell>
          <cell r="K78" t="str">
            <v>container</v>
          </cell>
        </row>
        <row r="79">
          <cell r="A79" t="str">
            <v>3FRCTPusanMobile</v>
          </cell>
          <cell r="B79" t="str">
            <v>WI</v>
          </cell>
          <cell r="C79" t="str">
            <v>3FRCTPusanMobileWI</v>
          </cell>
          <cell r="D79" t="str">
            <v>US$</v>
          </cell>
          <cell r="E79">
            <v>4725</v>
          </cell>
          <cell r="F79" t="str">
            <v>US$/ea</v>
          </cell>
          <cell r="H79" t="str">
            <v>file TRP Pricematrix.xls</v>
          </cell>
          <cell r="K79" t="str">
            <v>container</v>
          </cell>
        </row>
        <row r="80">
          <cell r="A80" t="str">
            <v>3FRCTPusanNewark</v>
          </cell>
          <cell r="B80" t="str">
            <v>WI</v>
          </cell>
          <cell r="C80" t="str">
            <v>3FRCTPusanNewarkWI</v>
          </cell>
          <cell r="D80" t="str">
            <v>US$</v>
          </cell>
          <cell r="E80">
            <v>5340</v>
          </cell>
          <cell r="F80" t="str">
            <v>US$/ea</v>
          </cell>
          <cell r="H80" t="str">
            <v>file TRP Pricematrix.xls</v>
          </cell>
          <cell r="K80" t="str">
            <v>container</v>
          </cell>
        </row>
        <row r="81">
          <cell r="A81" t="str">
            <v>3FRCTR'damAntwerp</v>
          </cell>
          <cell r="B81" t="str">
            <v>WI</v>
          </cell>
          <cell r="C81" t="str">
            <v>3FRCTR'damAntwerpWI</v>
          </cell>
          <cell r="D81" t="str">
            <v>EUR</v>
          </cell>
          <cell r="E81">
            <v>343</v>
          </cell>
          <cell r="F81" t="str">
            <v>EUR/ea</v>
          </cell>
          <cell r="G81" t="str">
            <v>no</v>
          </cell>
          <cell r="H81" t="str">
            <v>file MTRXtest.xls</v>
          </cell>
          <cell r="K81" t="str">
            <v>container</v>
          </cell>
        </row>
        <row r="82">
          <cell r="A82" t="str">
            <v>3FRCTR'damAshdod</v>
          </cell>
          <cell r="B82" t="str">
            <v>WI</v>
          </cell>
          <cell r="C82" t="str">
            <v>3FRCTR'damAshdodWI</v>
          </cell>
          <cell r="D82" t="str">
            <v>US$</v>
          </cell>
          <cell r="E82">
            <v>2400</v>
          </cell>
          <cell r="F82" t="str">
            <v>US$/ea</v>
          </cell>
          <cell r="G82" t="str">
            <v>no</v>
          </cell>
          <cell r="H82" t="str">
            <v>file TRP Pricematrix.xls</v>
          </cell>
          <cell r="K82" t="str">
            <v>container</v>
          </cell>
        </row>
        <row r="83">
          <cell r="A83" t="str">
            <v>3FRCTR'damBaltimore</v>
          </cell>
          <cell r="B83" t="str">
            <v>WI</v>
          </cell>
          <cell r="C83" t="str">
            <v>3FRCTR'damBaltimoreWI</v>
          </cell>
          <cell r="D83" t="str">
            <v>US$</v>
          </cell>
          <cell r="E83">
            <v>1837.5</v>
          </cell>
          <cell r="F83" t="str">
            <v>US$/ea</v>
          </cell>
          <cell r="H83" t="str">
            <v>file TRP Pricematrix.xls</v>
          </cell>
          <cell r="K83" t="str">
            <v>container</v>
          </cell>
        </row>
        <row r="84">
          <cell r="A84" t="str">
            <v>3FRCTR'damBoston</v>
          </cell>
          <cell r="B84" t="str">
            <v>WI</v>
          </cell>
          <cell r="C84" t="str">
            <v>3FRCTR'damBostonWI</v>
          </cell>
          <cell r="D84" t="str">
            <v>US$</v>
          </cell>
          <cell r="E84">
            <v>2530</v>
          </cell>
          <cell r="F84" t="str">
            <v>US$/ea</v>
          </cell>
          <cell r="H84" t="str">
            <v>door-door Ifamesa</v>
          </cell>
          <cell r="K84" t="str">
            <v>container</v>
          </cell>
        </row>
        <row r="85">
          <cell r="A85" t="str">
            <v>3FRCTR'damCartagena</v>
          </cell>
          <cell r="B85" t="str">
            <v>WI</v>
          </cell>
          <cell r="C85" t="str">
            <v>3FRCTR'damCartagenaWI</v>
          </cell>
          <cell r="D85" t="str">
            <v>US$</v>
          </cell>
          <cell r="E85">
            <v>4500</v>
          </cell>
          <cell r="F85" t="str">
            <v>US$/ea</v>
          </cell>
          <cell r="H85" t="str">
            <v>door-door Ifamesa</v>
          </cell>
          <cell r="K85" t="str">
            <v>container</v>
          </cell>
        </row>
        <row r="86">
          <cell r="A86" t="str">
            <v>3FRCTR'damCharleston</v>
          </cell>
          <cell r="B86" t="str">
            <v>WI</v>
          </cell>
          <cell r="C86" t="str">
            <v>3FRCTR'damCharlestonWI</v>
          </cell>
          <cell r="D86" t="str">
            <v>US$</v>
          </cell>
          <cell r="E86">
            <v>1837.5</v>
          </cell>
          <cell r="F86" t="str">
            <v>EUR/ea</v>
          </cell>
          <cell r="H86" t="str">
            <v>file TRP Pricematrix.xls</v>
          </cell>
          <cell r="K86" t="str">
            <v>container</v>
          </cell>
        </row>
        <row r="87">
          <cell r="A87" t="str">
            <v>3FRCTR'damChennai</v>
          </cell>
          <cell r="B87" t="str">
            <v>WI</v>
          </cell>
          <cell r="C87" t="str">
            <v>3FRCTR'damChennaiWI</v>
          </cell>
          <cell r="D87" t="str">
            <v>US$</v>
          </cell>
          <cell r="E87">
            <v>1785</v>
          </cell>
          <cell r="F87" t="str">
            <v>US$/ea</v>
          </cell>
          <cell r="H87" t="str">
            <v>from Vogel to India</v>
          </cell>
          <cell r="K87" t="str">
            <v>container</v>
          </cell>
        </row>
        <row r="88">
          <cell r="A88" t="str">
            <v>3FRCTR'damChennai</v>
          </cell>
          <cell r="B88" t="str">
            <v>WI</v>
          </cell>
          <cell r="C88" t="str">
            <v>3FRCTR'damChennaiWI</v>
          </cell>
          <cell r="D88" t="str">
            <v>US$</v>
          </cell>
          <cell r="E88">
            <v>2205</v>
          </cell>
          <cell r="F88" t="str">
            <v>US$/ea</v>
          </cell>
          <cell r="H88" t="str">
            <v>file TRP Pricematrix.xls</v>
          </cell>
          <cell r="K88" t="str">
            <v>container</v>
          </cell>
        </row>
        <row r="89">
          <cell r="A89" t="str">
            <v>3FRCTR'damConstanza</v>
          </cell>
          <cell r="B89" t="str">
            <v>WI</v>
          </cell>
          <cell r="C89" t="str">
            <v>3FRCTR'damConstanzaWI</v>
          </cell>
          <cell r="D89" t="str">
            <v>EUR</v>
          </cell>
          <cell r="E89">
            <v>2265</v>
          </cell>
          <cell r="F89" t="str">
            <v>EUR/ea</v>
          </cell>
          <cell r="H89" t="str">
            <v>file MTRXtest.xls</v>
          </cell>
          <cell r="K89" t="str">
            <v>container</v>
          </cell>
        </row>
        <row r="90">
          <cell r="A90" t="str">
            <v>3FRCTR'damGemlik</v>
          </cell>
          <cell r="B90" t="str">
            <v>WI</v>
          </cell>
          <cell r="C90" t="str">
            <v>3FRCTR'damGemlikWI</v>
          </cell>
          <cell r="D90" t="str">
            <v>EUR</v>
          </cell>
          <cell r="E90">
            <v>2673</v>
          </cell>
          <cell r="F90" t="str">
            <v>EUR/ea</v>
          </cell>
          <cell r="H90" t="str">
            <v>file MTRXtest.xls</v>
          </cell>
          <cell r="K90" t="str">
            <v>container</v>
          </cell>
        </row>
        <row r="91">
          <cell r="A91" t="str">
            <v>3FRCTR'damHouston</v>
          </cell>
          <cell r="B91" t="str">
            <v>WI</v>
          </cell>
          <cell r="C91" t="str">
            <v>3FRCTR'damHoustonWI</v>
          </cell>
          <cell r="D91" t="str">
            <v>US$</v>
          </cell>
          <cell r="E91">
            <v>2835</v>
          </cell>
          <cell r="F91" t="str">
            <v>US$/ea</v>
          </cell>
          <cell r="H91" t="str">
            <v>file TRP Pricematrix.xls</v>
          </cell>
          <cell r="K91" t="str">
            <v>container</v>
          </cell>
        </row>
        <row r="92">
          <cell r="A92" t="str">
            <v>3FRCTR'damMobile</v>
          </cell>
          <cell r="B92" t="str">
            <v>WI</v>
          </cell>
          <cell r="C92" t="str">
            <v>3FRCTR'damMobileWI</v>
          </cell>
          <cell r="D92" t="str">
            <v>US$</v>
          </cell>
          <cell r="E92">
            <v>2278</v>
          </cell>
          <cell r="F92" t="str">
            <v>US$/ea</v>
          </cell>
          <cell r="H92" t="str">
            <v>file TRP Pricematrix.xls</v>
          </cell>
          <cell r="K92" t="str">
            <v>container</v>
          </cell>
        </row>
        <row r="93">
          <cell r="A93" t="str">
            <v>3FRCTR'damMoravsky</v>
          </cell>
          <cell r="B93" t="str">
            <v>WI</v>
          </cell>
          <cell r="C93" t="str">
            <v>3FRCTR'damMoravskyWI</v>
          </cell>
          <cell r="D93" t="str">
            <v>EUR</v>
          </cell>
          <cell r="E93">
            <v>2572</v>
          </cell>
          <cell r="F93" t="str">
            <v>EUR/ea</v>
          </cell>
          <cell r="H93" t="str">
            <v>same as truckload</v>
          </cell>
          <cell r="K93" t="str">
            <v>container</v>
          </cell>
        </row>
        <row r="94">
          <cell r="A94" t="str">
            <v>3FRCTR'damNewOrleans</v>
          </cell>
          <cell r="B94" t="str">
            <v>WI</v>
          </cell>
          <cell r="C94" t="str">
            <v>3FRCTR'damNewOrleansWI</v>
          </cell>
          <cell r="D94" t="str">
            <v>US$</v>
          </cell>
          <cell r="E94">
            <v>1837</v>
          </cell>
          <cell r="F94" t="str">
            <v>US$/ea</v>
          </cell>
          <cell r="H94" t="str">
            <v>file TRP Pricematrix.xls</v>
          </cell>
          <cell r="K94" t="str">
            <v>container</v>
          </cell>
        </row>
        <row r="95">
          <cell r="A95" t="str">
            <v>3FRCTR'damPusan</v>
          </cell>
          <cell r="B95" t="str">
            <v>WI</v>
          </cell>
          <cell r="C95" t="str">
            <v>3FRCTR'damPusanWI</v>
          </cell>
          <cell r="D95" t="str">
            <v>US$</v>
          </cell>
          <cell r="E95">
            <v>4173.5</v>
          </cell>
          <cell r="F95" t="str">
            <v>US$/ea</v>
          </cell>
          <cell r="H95" t="str">
            <v>file TRP Pricematrix.xls</v>
          </cell>
          <cell r="K95" t="str">
            <v>container</v>
          </cell>
        </row>
        <row r="96">
          <cell r="A96" t="str">
            <v>3FRCTR'damSantos</v>
          </cell>
          <cell r="B96" t="str">
            <v>WI</v>
          </cell>
          <cell r="C96" t="str">
            <v>3FRCTR'damSantosWI</v>
          </cell>
          <cell r="D96" t="str">
            <v>US$</v>
          </cell>
          <cell r="E96">
            <v>2793</v>
          </cell>
          <cell r="F96" t="str">
            <v>US$/ea</v>
          </cell>
          <cell r="H96" t="str">
            <v>file TRP Pricematrix.xls</v>
          </cell>
          <cell r="K96" t="str">
            <v>container</v>
          </cell>
        </row>
        <row r="97">
          <cell r="A97" t="str">
            <v>3FRCTR'damSetubal</v>
          </cell>
          <cell r="B97" t="str">
            <v>WI</v>
          </cell>
          <cell r="C97" t="str">
            <v>3FRCTR'damSetubalWI</v>
          </cell>
          <cell r="D97" t="str">
            <v>EUR</v>
          </cell>
          <cell r="E97">
            <v>2805</v>
          </cell>
          <cell r="F97" t="str">
            <v>EUR/ea</v>
          </cell>
          <cell r="H97" t="str">
            <v>file TRP Pricematrix.xls</v>
          </cell>
          <cell r="K97" t="str">
            <v>container</v>
          </cell>
        </row>
        <row r="98">
          <cell r="A98" t="str">
            <v>3FRCTSalernoSetubal</v>
          </cell>
          <cell r="B98" t="str">
            <v>WI</v>
          </cell>
          <cell r="C98" t="str">
            <v>3FRCTSalernoSetubalWI</v>
          </cell>
          <cell r="D98" t="str">
            <v>EUR</v>
          </cell>
          <cell r="E98">
            <v>42</v>
          </cell>
          <cell r="F98" t="str">
            <v>EUR/t</v>
          </cell>
          <cell r="H98" t="str">
            <v>file TRP Pricematrix.xls</v>
          </cell>
          <cell r="K98" t="str">
            <v>bulk mat'l</v>
          </cell>
        </row>
        <row r="99">
          <cell r="A99" t="str">
            <v>3FRCTSteenbergenMoravsky</v>
          </cell>
          <cell r="B99" t="str">
            <v>WI</v>
          </cell>
          <cell r="C99" t="str">
            <v>3FRCTSteenbergenMoravskyWI</v>
          </cell>
          <cell r="D99" t="str">
            <v>EUR</v>
          </cell>
          <cell r="E99">
            <v>1269</v>
          </cell>
          <cell r="F99" t="str">
            <v>EUR/ea</v>
          </cell>
          <cell r="H99" t="str">
            <v>same as truckload</v>
          </cell>
          <cell r="K99" t="str">
            <v>container</v>
          </cell>
        </row>
        <row r="100">
          <cell r="A100" t="str">
            <v>3FRCTSteenbergenNiemodlin</v>
          </cell>
          <cell r="B100" t="str">
            <v>WI</v>
          </cell>
          <cell r="C100" t="str">
            <v>3FRCTSteenbergenNiemodlinWI</v>
          </cell>
          <cell r="D100" t="str">
            <v>EUR</v>
          </cell>
          <cell r="E100">
            <v>1269</v>
          </cell>
          <cell r="F100" t="str">
            <v>EUR/ea</v>
          </cell>
          <cell r="H100" t="str">
            <v>same as truckload</v>
          </cell>
          <cell r="K100" t="str">
            <v>container</v>
          </cell>
        </row>
        <row r="101">
          <cell r="A101" t="str">
            <v>3FRHVAntwerpHouston</v>
          </cell>
          <cell r="B101" t="str">
            <v>WI</v>
          </cell>
          <cell r="C101" t="str">
            <v>3FRHVAntwerpHoustonWI</v>
          </cell>
          <cell r="D101" t="str">
            <v>US$</v>
          </cell>
          <cell r="E101">
            <v>85</v>
          </cell>
          <cell r="F101" t="str">
            <v>US$/wm</v>
          </cell>
          <cell r="H101" t="str">
            <v>file TRP Pricematrix.xls</v>
          </cell>
          <cell r="K101" t="str">
            <v>heavies</v>
          </cell>
        </row>
        <row r="102">
          <cell r="A102" t="str">
            <v>3FRHVAntwerpHouston</v>
          </cell>
          <cell r="B102" t="str">
            <v>WI</v>
          </cell>
          <cell r="C102" t="str">
            <v>3FRHVAntwerpHoustonWI</v>
          </cell>
          <cell r="D102" t="str">
            <v>US$</v>
          </cell>
          <cell r="E102">
            <v>136.5</v>
          </cell>
          <cell r="F102" t="str">
            <v>US$/wm</v>
          </cell>
          <cell r="H102" t="str">
            <v>file TRP Pricematrix.xls</v>
          </cell>
          <cell r="K102" t="str">
            <v>heavies</v>
          </cell>
        </row>
        <row r="103">
          <cell r="A103" t="str">
            <v>3FRHVBudapestHouston</v>
          </cell>
          <cell r="B103" t="str">
            <v>WI</v>
          </cell>
          <cell r="C103" t="str">
            <v>3FRHVBudapestHoustonWI</v>
          </cell>
          <cell r="D103" t="str">
            <v>US$</v>
          </cell>
          <cell r="E103">
            <v>250</v>
          </cell>
          <cell r="F103" t="str">
            <v>US$/wm</v>
          </cell>
          <cell r="H103" t="str">
            <v>Ganz Ruck ex-works to Houston, A.41064 Cliffs</v>
          </cell>
          <cell r="K103" t="str">
            <v>heavies</v>
          </cell>
        </row>
        <row r="104">
          <cell r="A104" t="str">
            <v>3FRHVChennaiBaltimore</v>
          </cell>
          <cell r="B104" t="str">
            <v>WI</v>
          </cell>
          <cell r="C104" t="str">
            <v>3FRHVChennaiBaltimoreWI</v>
          </cell>
          <cell r="D104" t="str">
            <v>US$</v>
          </cell>
          <cell r="E104">
            <v>105</v>
          </cell>
          <cell r="F104" t="str">
            <v>US$/wm</v>
          </cell>
          <cell r="H104" t="str">
            <v>file TRP Pricematrix.xls</v>
          </cell>
          <cell r="K104" t="str">
            <v>heavies</v>
          </cell>
        </row>
        <row r="105">
          <cell r="A105" t="str">
            <v>3FRHVChennaiBaltimore</v>
          </cell>
          <cell r="B105" t="str">
            <v>WI</v>
          </cell>
          <cell r="C105" t="str">
            <v>3FRHVChennaiBaltimoreWI</v>
          </cell>
          <cell r="D105" t="str">
            <v>US$</v>
          </cell>
          <cell r="E105">
            <v>120.75</v>
          </cell>
          <cell r="F105" t="str">
            <v>US$/wm</v>
          </cell>
          <cell r="H105" t="str">
            <v>file TRP Pricematrix.xls</v>
          </cell>
          <cell r="K105" t="str">
            <v>heavies</v>
          </cell>
        </row>
        <row r="106">
          <cell r="A106" t="str">
            <v>3FRHVChennaiCartagena</v>
          </cell>
          <cell r="B106" t="str">
            <v>WI</v>
          </cell>
          <cell r="C106" t="str">
            <v>3FRHVChennaiCartagenaWI</v>
          </cell>
          <cell r="D106" t="str">
            <v>US$</v>
          </cell>
          <cell r="E106">
            <v>120.75</v>
          </cell>
          <cell r="F106" t="str">
            <v>US$/wm</v>
          </cell>
          <cell r="G106" t="str">
            <v>no</v>
          </cell>
          <cell r="H106" t="str">
            <v>Altamira A.52469</v>
          </cell>
          <cell r="K106" t="str">
            <v>heavies</v>
          </cell>
        </row>
        <row r="107">
          <cell r="A107" t="str">
            <v>3FRHVChennaiCharleston</v>
          </cell>
          <cell r="B107" t="str">
            <v>WI</v>
          </cell>
          <cell r="C107" t="str">
            <v>3FRHVChennaiCharlestonWI</v>
          </cell>
          <cell r="D107" t="str">
            <v>US$</v>
          </cell>
          <cell r="E107">
            <v>100</v>
          </cell>
          <cell r="F107" t="str">
            <v>US$/frt</v>
          </cell>
          <cell r="G107" t="str">
            <v>no</v>
          </cell>
          <cell r="H107" t="str">
            <v>file TRP Pricematrix.xls</v>
          </cell>
          <cell r="K107" t="str">
            <v>heavies</v>
          </cell>
        </row>
        <row r="108">
          <cell r="A108" t="str">
            <v>3FRHVChennaiHouston</v>
          </cell>
          <cell r="B108" t="str">
            <v>WI</v>
          </cell>
          <cell r="C108" t="str">
            <v>3FRHVChennaiHoustonWI</v>
          </cell>
          <cell r="D108" t="str">
            <v>US$</v>
          </cell>
          <cell r="E108">
            <v>120.75</v>
          </cell>
          <cell r="F108" t="str">
            <v>US$/wm</v>
          </cell>
          <cell r="H108" t="str">
            <v>file TRP Pricematrix.xls</v>
          </cell>
          <cell r="K108" t="str">
            <v>heavies</v>
          </cell>
        </row>
        <row r="109">
          <cell r="A109" t="str">
            <v>3FRHVChennaiSaudi</v>
          </cell>
          <cell r="B109" t="str">
            <v>WI</v>
          </cell>
          <cell r="C109" t="str">
            <v>3FRHVChennaiSaudiWI</v>
          </cell>
          <cell r="D109" t="str">
            <v>US$</v>
          </cell>
          <cell r="E109">
            <v>78.75</v>
          </cell>
          <cell r="F109" t="str">
            <v>US$/wm</v>
          </cell>
          <cell r="H109" t="str">
            <v>file TRP Pricematrix.xls</v>
          </cell>
          <cell r="K109" t="str">
            <v>heavies</v>
          </cell>
        </row>
        <row r="110">
          <cell r="A110" t="str">
            <v>3FRHVChennaiSpain</v>
          </cell>
          <cell r="B110" t="str">
            <v>WI</v>
          </cell>
          <cell r="C110" t="str">
            <v>3FRHVChennaiSpainWI</v>
          </cell>
          <cell r="D110" t="str">
            <v>US$</v>
          </cell>
          <cell r="E110">
            <v>89.25</v>
          </cell>
          <cell r="F110" t="str">
            <v>US$/wm</v>
          </cell>
          <cell r="H110" t="str">
            <v>file TRP Pricematrix.xls</v>
          </cell>
          <cell r="K110" t="str">
            <v>heavies</v>
          </cell>
        </row>
        <row r="111">
          <cell r="A111" t="str">
            <v>3FRHVConstanzaCharleston</v>
          </cell>
          <cell r="B111" t="str">
            <v>WI</v>
          </cell>
          <cell r="C111" t="str">
            <v>3FRHVConstanzaCharlestonWI</v>
          </cell>
          <cell r="D111" t="str">
            <v>US$</v>
          </cell>
          <cell r="E111">
            <v>250</v>
          </cell>
          <cell r="F111" t="str">
            <v>US$/wm</v>
          </cell>
          <cell r="G111" t="str">
            <v>no</v>
          </cell>
          <cell r="H111" t="str">
            <v>questimate</v>
          </cell>
          <cell r="K111" t="str">
            <v>heavies</v>
          </cell>
        </row>
        <row r="112">
          <cell r="A112" t="str">
            <v>3FRHVConstanzaHouston</v>
          </cell>
          <cell r="B112" t="str">
            <v>WI</v>
          </cell>
          <cell r="C112" t="str">
            <v>3FRHVConstanzaHoustonWI</v>
          </cell>
          <cell r="D112" t="str">
            <v>US$</v>
          </cell>
          <cell r="E112">
            <v>205</v>
          </cell>
          <cell r="F112" t="str">
            <v>US$/frt</v>
          </cell>
          <cell r="G112" t="str">
            <v>no</v>
          </cell>
          <cell r="H112" t="str">
            <v>rate for TVA Memphis</v>
          </cell>
          <cell r="K112" t="str">
            <v>heavies</v>
          </cell>
        </row>
        <row r="113">
          <cell r="A113" t="str">
            <v>3FRHVConstanzaHouston</v>
          </cell>
          <cell r="B113" t="str">
            <v>WI</v>
          </cell>
          <cell r="C113" t="str">
            <v>3FRHVConstanzaHoustonWI</v>
          </cell>
          <cell r="D113" t="str">
            <v>US$</v>
          </cell>
          <cell r="E113">
            <v>105</v>
          </cell>
          <cell r="F113" t="str">
            <v>US$/frt</v>
          </cell>
          <cell r="G113" t="str">
            <v>no</v>
          </cell>
          <cell r="H113" t="str">
            <v>file TRP Pricematrix.xls</v>
          </cell>
          <cell r="K113" t="str">
            <v>heavies</v>
          </cell>
        </row>
        <row r="114">
          <cell r="A114" t="str">
            <v>3FRHVConstanzaMontevideo</v>
          </cell>
          <cell r="B114" t="str">
            <v>WI</v>
          </cell>
          <cell r="C114" t="str">
            <v>3FRHVConstanzaMontevideoWI</v>
          </cell>
          <cell r="D114" t="str">
            <v>US$</v>
          </cell>
          <cell r="E114">
            <v>115</v>
          </cell>
          <cell r="F114" t="str">
            <v>US$/frt</v>
          </cell>
          <cell r="G114" t="str">
            <v>no</v>
          </cell>
          <cell r="H114" t="str">
            <v>questimate</v>
          </cell>
          <cell r="K114" t="str">
            <v>heavies</v>
          </cell>
        </row>
        <row r="115">
          <cell r="A115" t="str">
            <v>3FRHVHamburgHouston</v>
          </cell>
          <cell r="B115" t="str">
            <v>WI</v>
          </cell>
          <cell r="C115" t="str">
            <v>3FRHVHamburgHoustonWI</v>
          </cell>
          <cell r="D115" t="str">
            <v>US$</v>
          </cell>
          <cell r="E115">
            <v>200</v>
          </cell>
          <cell r="F115" t="str">
            <v>US$/wm</v>
          </cell>
          <cell r="H115" t="str">
            <v>questimate</v>
          </cell>
          <cell r="K115" t="str">
            <v>heavies</v>
          </cell>
        </row>
        <row r="116">
          <cell r="A116" t="str">
            <v>3FRHVPusanBaltimore</v>
          </cell>
          <cell r="B116" t="str">
            <v>WI</v>
          </cell>
          <cell r="C116" t="str">
            <v>3FRHVPusanBaltimoreWI</v>
          </cell>
          <cell r="D116" t="str">
            <v>US$</v>
          </cell>
          <cell r="E116">
            <v>105</v>
          </cell>
          <cell r="F116" t="str">
            <v>US$/wm</v>
          </cell>
          <cell r="G116" t="str">
            <v>no</v>
          </cell>
          <cell r="H116" t="str">
            <v>file TRP Pricematrix.xls</v>
          </cell>
          <cell r="K116" t="str">
            <v>heavies</v>
          </cell>
        </row>
        <row r="117">
          <cell r="A117" t="str">
            <v>3FRHVPusanCharleston</v>
          </cell>
          <cell r="B117" t="str">
            <v>WI</v>
          </cell>
          <cell r="C117" t="str">
            <v>3FRHVPusanCharlestonWI</v>
          </cell>
          <cell r="D117" t="str">
            <v>US$</v>
          </cell>
          <cell r="E117">
            <v>111</v>
          </cell>
          <cell r="F117" t="str">
            <v>US$/frt</v>
          </cell>
          <cell r="G117" t="str">
            <v>no</v>
          </cell>
          <cell r="H117" t="str">
            <v>file TRP Pricematrix.xls</v>
          </cell>
          <cell r="K117" t="str">
            <v>heavies</v>
          </cell>
        </row>
        <row r="118">
          <cell r="A118" t="str">
            <v>3FRHVPusanHouston</v>
          </cell>
          <cell r="B118" t="str">
            <v>WI</v>
          </cell>
          <cell r="C118" t="str">
            <v>3FRHVPusanHoustonWI</v>
          </cell>
          <cell r="D118" t="str">
            <v>US$</v>
          </cell>
          <cell r="E118">
            <v>105</v>
          </cell>
          <cell r="F118" t="str">
            <v>US$/wm</v>
          </cell>
          <cell r="H118" t="str">
            <v>file TRP Pricematrix.xls</v>
          </cell>
          <cell r="K118" t="str">
            <v>heavies</v>
          </cell>
        </row>
        <row r="119">
          <cell r="A119" t="str">
            <v>3FRHVPusanMontevideo</v>
          </cell>
          <cell r="B119" t="str">
            <v>WI</v>
          </cell>
          <cell r="C119" t="str">
            <v>3FRHVPusanMontevideoWI</v>
          </cell>
          <cell r="D119" t="str">
            <v>US$</v>
          </cell>
          <cell r="E119">
            <v>105</v>
          </cell>
          <cell r="F119" t="str">
            <v>US$/wm</v>
          </cell>
          <cell r="H119" t="str">
            <v>file TRP Pricematrix.xls</v>
          </cell>
          <cell r="K119" t="str">
            <v>heavies</v>
          </cell>
        </row>
        <row r="120">
          <cell r="A120" t="str">
            <v>3FRHVSantosBaltimore</v>
          </cell>
          <cell r="B120" t="str">
            <v>WI</v>
          </cell>
          <cell r="C120" t="str">
            <v>3FRHVSantosBaltimoreWI</v>
          </cell>
          <cell r="D120" t="str">
            <v>US$</v>
          </cell>
          <cell r="E120">
            <v>95</v>
          </cell>
          <cell r="F120" t="str">
            <v>US$/wm</v>
          </cell>
          <cell r="H120" t="str">
            <v>file TRP Pricematrix.xls</v>
          </cell>
          <cell r="K120" t="str">
            <v>heavies</v>
          </cell>
        </row>
        <row r="121">
          <cell r="A121" t="str">
            <v>3FRHVSantosCharleston</v>
          </cell>
          <cell r="B121" t="str">
            <v>WI</v>
          </cell>
          <cell r="C121" t="str">
            <v>3FRHVSantosCharlestonWI</v>
          </cell>
          <cell r="D121" t="str">
            <v>US$</v>
          </cell>
          <cell r="E121">
            <v>105</v>
          </cell>
          <cell r="F121" t="str">
            <v>US$/wm</v>
          </cell>
          <cell r="H121" t="str">
            <v>file TRP Pricematrix.xls</v>
          </cell>
          <cell r="K121" t="str">
            <v>heavies</v>
          </cell>
        </row>
        <row r="122">
          <cell r="A122" t="str">
            <v>3FRHVSantosHouston</v>
          </cell>
          <cell r="B122" t="str">
            <v>WI</v>
          </cell>
          <cell r="C122" t="str">
            <v>3FRHVSantosHoustonWI</v>
          </cell>
          <cell r="D122" t="str">
            <v>US$</v>
          </cell>
          <cell r="E122">
            <v>84</v>
          </cell>
          <cell r="F122" t="str">
            <v>US$/wm</v>
          </cell>
          <cell r="H122" t="str">
            <v>file TRP Pricematrix.xls</v>
          </cell>
          <cell r="K122" t="str">
            <v>heavies</v>
          </cell>
        </row>
        <row r="123">
          <cell r="A123" t="str">
            <v>3FRHVSantosMontevideo</v>
          </cell>
          <cell r="B123" t="str">
            <v>WI</v>
          </cell>
          <cell r="C123" t="str">
            <v>3FRHVSantosMontevideoWI</v>
          </cell>
          <cell r="D123" t="str">
            <v>US$</v>
          </cell>
          <cell r="E123">
            <v>58</v>
          </cell>
          <cell r="F123" t="str">
            <v>US$/wm</v>
          </cell>
          <cell r="H123" t="str">
            <v>file TRP Pricematrix.xls</v>
          </cell>
          <cell r="K123" t="str">
            <v>heavies</v>
          </cell>
        </row>
        <row r="124">
          <cell r="A124" t="str">
            <v>3FRHVSantosNewark</v>
          </cell>
          <cell r="B124" t="str">
            <v>WI</v>
          </cell>
          <cell r="C124" t="str">
            <v>3FRHVSantosNewarkWI</v>
          </cell>
          <cell r="D124" t="str">
            <v>US$</v>
          </cell>
          <cell r="E124">
            <v>95</v>
          </cell>
          <cell r="F124" t="str">
            <v>US$/wm</v>
          </cell>
          <cell r="H124" t="str">
            <v>file TRP Pricematrix.xls</v>
          </cell>
          <cell r="K124" t="str">
            <v>heavies</v>
          </cell>
        </row>
        <row r="125">
          <cell r="A125" t="str">
            <v>3FRHVSetubalBaltimore</v>
          </cell>
          <cell r="B125" t="str">
            <v>WI</v>
          </cell>
          <cell r="C125" t="str">
            <v>3FRHVSetubalBaltimoreWI</v>
          </cell>
          <cell r="D125" t="str">
            <v>US$</v>
          </cell>
          <cell r="E125">
            <v>84</v>
          </cell>
          <cell r="F125" t="str">
            <v>US$/wm</v>
          </cell>
          <cell r="H125" t="str">
            <v>file TRP Pricematrix.xls</v>
          </cell>
          <cell r="K125" t="str">
            <v>heavies</v>
          </cell>
        </row>
        <row r="126">
          <cell r="A126" t="str">
            <v>3FRHVSetubalCartagena</v>
          </cell>
          <cell r="B126" t="str">
            <v>WI</v>
          </cell>
          <cell r="C126" t="str">
            <v>3FRHVSetubalCartagenaWI</v>
          </cell>
          <cell r="D126" t="str">
            <v>US$</v>
          </cell>
          <cell r="E126">
            <v>89.25</v>
          </cell>
          <cell r="F126" t="str">
            <v>US$/wm</v>
          </cell>
          <cell r="H126" t="str">
            <v>Altamira A.52469</v>
          </cell>
          <cell r="K126" t="str">
            <v>heavies</v>
          </cell>
        </row>
        <row r="127">
          <cell r="A127" t="str">
            <v>3FRHVSetubalHouston</v>
          </cell>
          <cell r="B127" t="str">
            <v>WI</v>
          </cell>
          <cell r="C127" t="str">
            <v>3FRHVSetubalHoustonWI</v>
          </cell>
          <cell r="D127" t="str">
            <v>US$</v>
          </cell>
          <cell r="E127">
            <v>89</v>
          </cell>
          <cell r="F127" t="str">
            <v>US$/wm</v>
          </cell>
          <cell r="H127" t="str">
            <v>file TRP Pricematrix.xls</v>
          </cell>
          <cell r="K127" t="str">
            <v>heavies</v>
          </cell>
        </row>
        <row r="128">
          <cell r="A128" t="str">
            <v>3FRHVShanghaiBaltimore</v>
          </cell>
          <cell r="B128" t="str">
            <v>WI</v>
          </cell>
          <cell r="C128" t="str">
            <v>3FRHVShanghaiBaltimoreWI</v>
          </cell>
          <cell r="D128" t="str">
            <v>US$</v>
          </cell>
          <cell r="E128">
            <v>115</v>
          </cell>
          <cell r="F128" t="str">
            <v>US$/wm</v>
          </cell>
          <cell r="H128" t="str">
            <v>file TRP Pricematrix.xls</v>
          </cell>
          <cell r="K128" t="str">
            <v>heavies</v>
          </cell>
        </row>
        <row r="129">
          <cell r="A129" t="str">
            <v>3FRHVShanghaiHouston</v>
          </cell>
          <cell r="B129" t="str">
            <v>WI</v>
          </cell>
          <cell r="C129" t="str">
            <v>3FRHVShanghaiHoustonWI</v>
          </cell>
          <cell r="D129" t="str">
            <v>US$</v>
          </cell>
          <cell r="E129">
            <v>115</v>
          </cell>
          <cell r="F129" t="str">
            <v>US$/wm</v>
          </cell>
          <cell r="H129" t="str">
            <v>file TRP Pricematrix.xls</v>
          </cell>
          <cell r="K129" t="str">
            <v>heavies</v>
          </cell>
        </row>
        <row r="130">
          <cell r="A130" t="str">
            <v>3FRRCDLER</v>
          </cell>
          <cell r="B130" t="str">
            <v>WI</v>
          </cell>
          <cell r="C130" t="str">
            <v>3FRRCDLERWI</v>
          </cell>
          <cell r="D130" t="str">
            <v>US$</v>
          </cell>
          <cell r="E130">
            <v>860</v>
          </cell>
          <cell r="F130" t="str">
            <v>US$/ea</v>
          </cell>
          <cell r="H130" t="str">
            <v>Use of Idler  RailCar</v>
          </cell>
          <cell r="K130" t="str">
            <v>rail</v>
          </cell>
        </row>
        <row r="131">
          <cell r="A131" t="str">
            <v>3FRRCHDDET</v>
          </cell>
          <cell r="B131" t="str">
            <v>WI</v>
          </cell>
          <cell r="C131" t="str">
            <v>3FRRCHDDETWI</v>
          </cell>
          <cell r="D131" t="str">
            <v>US$</v>
          </cell>
          <cell r="E131">
            <v>2200</v>
          </cell>
          <cell r="F131" t="str">
            <v>US$/ea</v>
          </cell>
          <cell r="H131" t="str">
            <v>Detention fee Heavy Duty RailCar</v>
          </cell>
          <cell r="K131" t="str">
            <v>rail</v>
          </cell>
        </row>
        <row r="132">
          <cell r="A132" t="str">
            <v>3FRRCHDUSE</v>
          </cell>
          <cell r="B132" t="str">
            <v>WI</v>
          </cell>
          <cell r="C132" t="str">
            <v>3FRRCHDUSEWI</v>
          </cell>
          <cell r="D132" t="str">
            <v>US$</v>
          </cell>
          <cell r="E132">
            <v>3200</v>
          </cell>
          <cell r="F132" t="str">
            <v>US$/ea</v>
          </cell>
          <cell r="H132" t="str">
            <v>Use of Heavy Duty RailCar</v>
          </cell>
          <cell r="K132" t="str">
            <v>rail</v>
          </cell>
        </row>
        <row r="133">
          <cell r="A133" t="str">
            <v>3FRRCHI-WIDE</v>
          </cell>
          <cell r="B133" t="str">
            <v>WI</v>
          </cell>
          <cell r="C133" t="str">
            <v>3FRRCHI-WIDEWI</v>
          </cell>
          <cell r="D133" t="str">
            <v>US$</v>
          </cell>
          <cell r="E133">
            <v>750</v>
          </cell>
          <cell r="F133" t="str">
            <v>US$/ea</v>
          </cell>
          <cell r="H133" t="str">
            <v>Hi- wide switching</v>
          </cell>
          <cell r="K133" t="str">
            <v>rail</v>
          </cell>
        </row>
        <row r="134">
          <cell r="A134" t="str">
            <v>3FRRCSTDUSE</v>
          </cell>
          <cell r="B134" t="str">
            <v>WI</v>
          </cell>
          <cell r="C134" t="str">
            <v>3FRRCSTDUSEWI</v>
          </cell>
          <cell r="D134" t="str">
            <v>US$</v>
          </cell>
          <cell r="E134">
            <v>200</v>
          </cell>
          <cell r="F134" t="str">
            <v>US$/ea</v>
          </cell>
          <cell r="H134" t="str">
            <v>Use of Standard  RailCar</v>
          </cell>
          <cell r="K134" t="str">
            <v>rail</v>
          </cell>
        </row>
        <row r="135">
          <cell r="A135" t="str">
            <v>3FRRELBBHouston</v>
          </cell>
          <cell r="B135" t="str">
            <v>WI</v>
          </cell>
          <cell r="C135" t="str">
            <v>3FRRELBBHoustonWI</v>
          </cell>
          <cell r="D135" t="str">
            <v>US$</v>
          </cell>
          <cell r="E135">
            <v>8</v>
          </cell>
          <cell r="F135" t="str">
            <v>US$/t</v>
          </cell>
          <cell r="H135" t="str">
            <v>reload &amp; repositioning</v>
          </cell>
          <cell r="K135" t="str">
            <v>port charges</v>
          </cell>
        </row>
        <row r="136">
          <cell r="A136" t="str">
            <v>3FRRELCTBaltimore</v>
          </cell>
          <cell r="B136" t="str">
            <v>WI</v>
          </cell>
          <cell r="C136" t="str">
            <v>3FRRELCTBaltimoreWI</v>
          </cell>
          <cell r="D136" t="str">
            <v>US$</v>
          </cell>
          <cell r="E136">
            <v>82</v>
          </cell>
          <cell r="F136" t="str">
            <v>US$/t</v>
          </cell>
          <cell r="H136" t="str">
            <v>reload &amp; repositioning</v>
          </cell>
          <cell r="K136" t="str">
            <v>port charges</v>
          </cell>
        </row>
        <row r="137">
          <cell r="A137" t="str">
            <v>3FRRELCTHouston</v>
          </cell>
          <cell r="B137" t="str">
            <v>WI</v>
          </cell>
          <cell r="C137" t="str">
            <v>3FRRELCTHoustonWI</v>
          </cell>
          <cell r="D137" t="str">
            <v>US$</v>
          </cell>
          <cell r="E137">
            <v>74.5</v>
          </cell>
          <cell r="F137" t="str">
            <v>US$/t</v>
          </cell>
          <cell r="H137" t="str">
            <v>reload &amp; repositioning</v>
          </cell>
          <cell r="K137" t="str">
            <v>port charges</v>
          </cell>
        </row>
        <row r="138">
          <cell r="A138" t="str">
            <v>3FRRELHV136Baltimore</v>
          </cell>
          <cell r="B138" t="str">
            <v>WI</v>
          </cell>
          <cell r="C138" t="str">
            <v>3FRRELHV136BaltimoreWI</v>
          </cell>
          <cell r="D138" t="str">
            <v>US$</v>
          </cell>
          <cell r="E138">
            <v>2675</v>
          </cell>
          <cell r="F138" t="str">
            <v>US$/ea</v>
          </cell>
          <cell r="H138" t="str">
            <v>reload &amp; repositioning</v>
          </cell>
          <cell r="K138" t="str">
            <v>port charges</v>
          </cell>
        </row>
        <row r="139">
          <cell r="A139" t="str">
            <v>3FRRELHV136Houston</v>
          </cell>
          <cell r="B139" t="str">
            <v>WI</v>
          </cell>
          <cell r="C139" t="str">
            <v>3FRRELHV136HoustonWI</v>
          </cell>
          <cell r="D139" t="str">
            <v>US$</v>
          </cell>
          <cell r="E139">
            <v>2430</v>
          </cell>
          <cell r="F139" t="str">
            <v>US$/ea</v>
          </cell>
          <cell r="H139" t="str">
            <v>reload &amp; repositioning</v>
          </cell>
          <cell r="K139" t="str">
            <v>port charges</v>
          </cell>
        </row>
        <row r="140">
          <cell r="A140" t="str">
            <v>3FRRELHV226Baltimore</v>
          </cell>
          <cell r="B140" t="str">
            <v>WI</v>
          </cell>
          <cell r="C140" t="str">
            <v>3FRRELHV226BaltimoreWI</v>
          </cell>
          <cell r="D140" t="str">
            <v>US$</v>
          </cell>
          <cell r="E140">
            <v>5940</v>
          </cell>
          <cell r="F140" t="str">
            <v>US$/ea</v>
          </cell>
          <cell r="H140" t="str">
            <v>reload &amp; repositioning</v>
          </cell>
          <cell r="K140" t="str">
            <v>port charges</v>
          </cell>
        </row>
        <row r="141">
          <cell r="A141" t="str">
            <v>3FRRELHV226Houston</v>
          </cell>
          <cell r="B141" t="str">
            <v>WI</v>
          </cell>
          <cell r="C141" t="str">
            <v>3FRRELHV226HoustonWI</v>
          </cell>
          <cell r="D141" t="str">
            <v>US$</v>
          </cell>
          <cell r="E141">
            <v>5400</v>
          </cell>
          <cell r="F141" t="str">
            <v>US$/ea</v>
          </cell>
          <cell r="H141" t="str">
            <v>reload &amp; repositioning</v>
          </cell>
          <cell r="K141" t="str">
            <v>port charges</v>
          </cell>
        </row>
        <row r="142">
          <cell r="A142" t="str">
            <v>3FRRELHV70Baltimore</v>
          </cell>
          <cell r="B142" t="str">
            <v>WI</v>
          </cell>
          <cell r="C142" t="str">
            <v>3FRRELHV70BaltimoreWI</v>
          </cell>
          <cell r="D142" t="str">
            <v>US$</v>
          </cell>
          <cell r="E142">
            <v>16.5</v>
          </cell>
          <cell r="F142" t="str">
            <v>US$/t</v>
          </cell>
          <cell r="H142" t="str">
            <v>reload &amp; repositioning</v>
          </cell>
          <cell r="K142" t="str">
            <v>port charges</v>
          </cell>
        </row>
        <row r="143">
          <cell r="A143" t="str">
            <v>3FRRELHV70Houston</v>
          </cell>
          <cell r="B143" t="str">
            <v>WI</v>
          </cell>
          <cell r="C143" t="str">
            <v>3FRRELHV70HoustonWI</v>
          </cell>
          <cell r="D143" t="str">
            <v>US$</v>
          </cell>
          <cell r="E143">
            <v>15</v>
          </cell>
          <cell r="F143" t="str">
            <v>US$/t</v>
          </cell>
          <cell r="H143" t="str">
            <v>reload &amp; repositioning</v>
          </cell>
          <cell r="K143" t="str">
            <v>port charges</v>
          </cell>
        </row>
        <row r="144">
          <cell r="A144" t="str">
            <v>3FRRELHV90Baltimore</v>
          </cell>
          <cell r="B144" t="str">
            <v>WI</v>
          </cell>
          <cell r="C144" t="str">
            <v>3FRRELHV90BaltimoreWI</v>
          </cell>
          <cell r="D144" t="str">
            <v>US$</v>
          </cell>
          <cell r="E144">
            <v>1190</v>
          </cell>
          <cell r="F144" t="str">
            <v>US$/ea</v>
          </cell>
          <cell r="H144" t="str">
            <v>reload &amp; repositioning</v>
          </cell>
          <cell r="K144" t="str">
            <v>port charges</v>
          </cell>
        </row>
        <row r="145">
          <cell r="A145" t="str">
            <v>3FRRELHV90Houston</v>
          </cell>
          <cell r="B145" t="str">
            <v>WI</v>
          </cell>
          <cell r="C145" t="str">
            <v>3FRRELHV90HoustonWI</v>
          </cell>
          <cell r="D145" t="str">
            <v>US$</v>
          </cell>
          <cell r="E145">
            <v>1080</v>
          </cell>
          <cell r="F145" t="str">
            <v>US$/ea</v>
          </cell>
          <cell r="H145" t="str">
            <v>reload &amp; repositioning</v>
          </cell>
          <cell r="K145" t="str">
            <v>port charges</v>
          </cell>
        </row>
        <row r="146">
          <cell r="A146" t="str">
            <v>3FRRELTRBaltimore</v>
          </cell>
          <cell r="B146" t="str">
            <v>WI</v>
          </cell>
          <cell r="C146" t="str">
            <v>3FRRELTRBaltimoreWI</v>
          </cell>
          <cell r="D146" t="str">
            <v>US$</v>
          </cell>
          <cell r="E146">
            <v>13.2</v>
          </cell>
          <cell r="F146" t="str">
            <v>US$/t</v>
          </cell>
          <cell r="H146" t="str">
            <v>reload &amp; repositioning</v>
          </cell>
          <cell r="K146" t="str">
            <v>port charges</v>
          </cell>
        </row>
        <row r="147">
          <cell r="A147" t="str">
            <v>3FRRELTRHouston</v>
          </cell>
          <cell r="B147" t="str">
            <v>WI</v>
          </cell>
          <cell r="C147" t="str">
            <v>3FRRELTRHoustonWI</v>
          </cell>
          <cell r="D147" t="str">
            <v>US$</v>
          </cell>
          <cell r="E147">
            <v>12</v>
          </cell>
          <cell r="F147" t="str">
            <v>US$/t</v>
          </cell>
          <cell r="H147" t="str">
            <v>reload &amp; repositioning</v>
          </cell>
          <cell r="K147" t="str">
            <v>port charges</v>
          </cell>
        </row>
        <row r="148">
          <cell r="A148" t="str">
            <v>3FRSTOBBHouston</v>
          </cell>
          <cell r="B148" t="str">
            <v>WI</v>
          </cell>
          <cell r="C148" t="str">
            <v>3FRSTOBBHoustonWI</v>
          </cell>
          <cell r="D148" t="str">
            <v>US$</v>
          </cell>
          <cell r="E148">
            <v>6.5</v>
          </cell>
          <cell r="F148" t="str">
            <v>US$/t</v>
          </cell>
          <cell r="H148" t="str">
            <v>storage cost after 1 month</v>
          </cell>
          <cell r="K148" t="str">
            <v>port charges</v>
          </cell>
        </row>
        <row r="149">
          <cell r="A149" t="str">
            <v>3FRSTOCTBaltimore</v>
          </cell>
          <cell r="B149" t="str">
            <v>WI</v>
          </cell>
          <cell r="C149" t="str">
            <v>3FRSTOCTBaltimoreWI</v>
          </cell>
          <cell r="D149" t="str">
            <v>US$</v>
          </cell>
          <cell r="E149">
            <v>35.65</v>
          </cell>
          <cell r="F149" t="str">
            <v>US$/ea</v>
          </cell>
          <cell r="H149" t="str">
            <v>storage cost after 1 month</v>
          </cell>
          <cell r="K149" t="str">
            <v>port charges</v>
          </cell>
        </row>
        <row r="150">
          <cell r="A150" t="str">
            <v>3FRSTOCTHouston</v>
          </cell>
          <cell r="B150" t="str">
            <v>WI</v>
          </cell>
          <cell r="C150" t="str">
            <v>3FRSTOCTHoustonWI</v>
          </cell>
          <cell r="D150" t="str">
            <v>US$</v>
          </cell>
          <cell r="E150">
            <v>32.4</v>
          </cell>
          <cell r="F150" t="str">
            <v>US$/ea</v>
          </cell>
          <cell r="H150" t="str">
            <v>storage cost after 1 month</v>
          </cell>
          <cell r="K150" t="str">
            <v>port charges</v>
          </cell>
        </row>
        <row r="151">
          <cell r="A151" t="str">
            <v>3FRSTOHV136Baltimore</v>
          </cell>
          <cell r="B151" t="str">
            <v>WI</v>
          </cell>
          <cell r="C151" t="str">
            <v>3FRSTOHV136BaltimoreWI</v>
          </cell>
          <cell r="D151" t="str">
            <v>US$</v>
          </cell>
          <cell r="E151">
            <v>7.7</v>
          </cell>
          <cell r="F151" t="str">
            <v>US$/t</v>
          </cell>
          <cell r="H151" t="str">
            <v>storage cost after 1 month</v>
          </cell>
          <cell r="K151" t="str">
            <v>port charges</v>
          </cell>
        </row>
        <row r="152">
          <cell r="A152" t="str">
            <v>3FRSTOHV136Houston</v>
          </cell>
          <cell r="B152" t="str">
            <v>WI</v>
          </cell>
          <cell r="C152" t="str">
            <v>3FRSTOHV136HoustonWI</v>
          </cell>
          <cell r="D152" t="str">
            <v>US$</v>
          </cell>
          <cell r="E152">
            <v>7</v>
          </cell>
          <cell r="F152" t="str">
            <v>US$/t</v>
          </cell>
          <cell r="H152" t="str">
            <v>storage cost after 1 month</v>
          </cell>
          <cell r="K152" t="str">
            <v>port charges</v>
          </cell>
        </row>
        <row r="153">
          <cell r="A153" t="str">
            <v>3FRSTOHV226Baltimore</v>
          </cell>
          <cell r="B153" t="str">
            <v>WI</v>
          </cell>
          <cell r="C153" t="str">
            <v>3FRSTOHV226BaltimoreWI</v>
          </cell>
          <cell r="D153" t="str">
            <v>US$</v>
          </cell>
          <cell r="E153">
            <v>7.7</v>
          </cell>
          <cell r="F153" t="str">
            <v>US$/t</v>
          </cell>
          <cell r="H153" t="str">
            <v>storage cost after 1 month</v>
          </cell>
          <cell r="K153" t="str">
            <v>port charges</v>
          </cell>
        </row>
        <row r="154">
          <cell r="A154" t="str">
            <v>3FRSTOHV226Houston</v>
          </cell>
          <cell r="B154" t="str">
            <v>WI</v>
          </cell>
          <cell r="C154" t="str">
            <v>3FRSTOHV226HoustonWI</v>
          </cell>
          <cell r="D154" t="str">
            <v>US$</v>
          </cell>
          <cell r="E154">
            <v>7</v>
          </cell>
          <cell r="F154" t="str">
            <v>US$/t</v>
          </cell>
          <cell r="H154" t="str">
            <v>storage cost after 1 month</v>
          </cell>
          <cell r="K154" t="str">
            <v>port charges</v>
          </cell>
        </row>
        <row r="155">
          <cell r="A155" t="str">
            <v>3FRSTOHV70Baltimore</v>
          </cell>
          <cell r="B155" t="str">
            <v>WI</v>
          </cell>
          <cell r="C155" t="str">
            <v>3FRSTOHV70BaltimoreWI</v>
          </cell>
          <cell r="D155" t="str">
            <v>US$</v>
          </cell>
          <cell r="E155">
            <v>7.7</v>
          </cell>
          <cell r="F155" t="str">
            <v>US$/t</v>
          </cell>
          <cell r="H155" t="str">
            <v>storage cost after 1 month</v>
          </cell>
          <cell r="K155" t="str">
            <v>port charges</v>
          </cell>
        </row>
        <row r="156">
          <cell r="A156" t="str">
            <v>3FRSTOHV70Houston</v>
          </cell>
          <cell r="B156" t="str">
            <v>WI</v>
          </cell>
          <cell r="C156" t="str">
            <v>3FRSTOHV70HoustonWI</v>
          </cell>
          <cell r="D156" t="str">
            <v>US$</v>
          </cell>
          <cell r="E156">
            <v>7</v>
          </cell>
          <cell r="F156" t="str">
            <v>US$/t</v>
          </cell>
          <cell r="H156" t="str">
            <v>storage cost after 1 month</v>
          </cell>
          <cell r="K156" t="str">
            <v>port charges</v>
          </cell>
        </row>
        <row r="157">
          <cell r="A157" t="str">
            <v>3FRSTOHV90Baltimore</v>
          </cell>
          <cell r="B157" t="str">
            <v>WI</v>
          </cell>
          <cell r="C157" t="str">
            <v>3FRSTOHV90BaltimoreWI</v>
          </cell>
          <cell r="D157" t="str">
            <v>US$</v>
          </cell>
          <cell r="E157">
            <v>7.7</v>
          </cell>
          <cell r="F157" t="str">
            <v>US$/t</v>
          </cell>
          <cell r="H157" t="str">
            <v>storage cost after 1 month</v>
          </cell>
          <cell r="K157" t="str">
            <v>port charges</v>
          </cell>
        </row>
        <row r="158">
          <cell r="A158" t="str">
            <v>3FRSTOHV90Houston</v>
          </cell>
          <cell r="B158" t="str">
            <v>WI</v>
          </cell>
          <cell r="C158" t="str">
            <v>3FRSTOHV90HoustonWI</v>
          </cell>
          <cell r="D158" t="str">
            <v>US$</v>
          </cell>
          <cell r="E158">
            <v>7</v>
          </cell>
          <cell r="F158" t="str">
            <v>US$/t</v>
          </cell>
          <cell r="H158" t="str">
            <v>storage cost after 1 month</v>
          </cell>
          <cell r="K158" t="str">
            <v>port charges</v>
          </cell>
        </row>
        <row r="159">
          <cell r="A159" t="str">
            <v>3FRSTOTRBaltimore</v>
          </cell>
          <cell r="B159" t="str">
            <v>WI</v>
          </cell>
          <cell r="C159" t="str">
            <v>3FRSTOTRBaltimoreWI</v>
          </cell>
          <cell r="D159" t="str">
            <v>US$</v>
          </cell>
          <cell r="E159">
            <v>7.7</v>
          </cell>
          <cell r="F159" t="str">
            <v>US$/t</v>
          </cell>
          <cell r="H159" t="str">
            <v>storage cost after 1 month</v>
          </cell>
          <cell r="K159" t="str">
            <v>port charges</v>
          </cell>
        </row>
        <row r="160">
          <cell r="A160" t="str">
            <v>3FRSTOTRHouston</v>
          </cell>
          <cell r="B160" t="str">
            <v>WI</v>
          </cell>
          <cell r="C160" t="str">
            <v>3FRSTOTRHoustonWI</v>
          </cell>
          <cell r="D160" t="str">
            <v>US$</v>
          </cell>
          <cell r="E160">
            <v>7</v>
          </cell>
          <cell r="F160" t="str">
            <v>US$/t</v>
          </cell>
          <cell r="H160" t="str">
            <v>storage cost after 1 month</v>
          </cell>
          <cell r="K160" t="str">
            <v>port charges</v>
          </cell>
        </row>
        <row r="161">
          <cell r="A161" t="str">
            <v>3FRTHCBaltimore</v>
          </cell>
          <cell r="B161" t="str">
            <v>WI</v>
          </cell>
          <cell r="C161" t="str">
            <v>3FRTHCBaltimoreWI</v>
          </cell>
          <cell r="D161" t="str">
            <v>US$</v>
          </cell>
          <cell r="E161">
            <v>400</v>
          </cell>
          <cell r="F161" t="str">
            <v>US$/t</v>
          </cell>
          <cell r="H161" t="str">
            <v>Terminal handling charges per container</v>
          </cell>
          <cell r="K161" t="str">
            <v>port charges</v>
          </cell>
        </row>
        <row r="162">
          <cell r="A162" t="str">
            <v>3FRTHCHouston</v>
          </cell>
          <cell r="B162" t="str">
            <v>WI</v>
          </cell>
          <cell r="C162" t="str">
            <v>3FRTHCHoustonWI</v>
          </cell>
          <cell r="D162" t="str">
            <v>US$</v>
          </cell>
          <cell r="E162">
            <v>145</v>
          </cell>
          <cell r="F162" t="str">
            <v>US$/t</v>
          </cell>
          <cell r="H162" t="str">
            <v>Terminal handling charges per container</v>
          </cell>
          <cell r="K162" t="str">
            <v>port charges</v>
          </cell>
        </row>
        <row r="163">
          <cell r="A163" t="str">
            <v>3FRTRLancasterMoravsky</v>
          </cell>
          <cell r="B163" t="str">
            <v>WI</v>
          </cell>
          <cell r="C163" t="str">
            <v>3FRTRLancasterMoravskyWI</v>
          </cell>
          <cell r="D163" t="str">
            <v>EUR</v>
          </cell>
          <cell r="E163">
            <v>1700</v>
          </cell>
          <cell r="F163" t="str">
            <v>EUR/ea</v>
          </cell>
          <cell r="H163" t="str">
            <v>file TRP Pricematrix.xls</v>
          </cell>
          <cell r="K163" t="str">
            <v>truck</v>
          </cell>
        </row>
        <row r="164">
          <cell r="A164" t="str">
            <v>3FRTRLancasterNiemodlin</v>
          </cell>
          <cell r="B164" t="str">
            <v>WI</v>
          </cell>
          <cell r="C164" t="str">
            <v>3FRTRLancasterNiemodlinWI</v>
          </cell>
          <cell r="D164" t="str">
            <v>EUR</v>
          </cell>
          <cell r="E164">
            <v>2026.5</v>
          </cell>
          <cell r="F164" t="str">
            <v>EUR/ea</v>
          </cell>
          <cell r="H164" t="str">
            <v>file TRP Pricematrix.xls</v>
          </cell>
          <cell r="K164" t="str">
            <v>truck</v>
          </cell>
        </row>
        <row r="165">
          <cell r="A165" t="str">
            <v>3FRTRNunspeetAntwerp</v>
          </cell>
          <cell r="B165" t="str">
            <v>WI</v>
          </cell>
          <cell r="C165" t="str">
            <v>3FRTRNunspeetAntwerpWI</v>
          </cell>
          <cell r="D165" t="str">
            <v>EUR</v>
          </cell>
          <cell r="E165">
            <v>343</v>
          </cell>
          <cell r="F165" t="str">
            <v>EUR/ea</v>
          </cell>
          <cell r="H165" t="str">
            <v>file mtrxtest</v>
          </cell>
          <cell r="K165" t="str">
            <v>truck</v>
          </cell>
        </row>
        <row r="166">
          <cell r="A166" t="str">
            <v>3FRTRNunspeetMoravsky</v>
          </cell>
          <cell r="B166" t="str">
            <v>WI</v>
          </cell>
          <cell r="C166" t="str">
            <v>3FRTRNunspeetMoravskyWI</v>
          </cell>
          <cell r="D166" t="str">
            <v>EUR</v>
          </cell>
          <cell r="E166">
            <v>2572</v>
          </cell>
          <cell r="F166" t="str">
            <v>EUR/ea</v>
          </cell>
          <cell r="H166" t="str">
            <v>file TRP Pricematrix.xls</v>
          </cell>
          <cell r="K166" t="str">
            <v>truck</v>
          </cell>
        </row>
        <row r="167">
          <cell r="A167" t="str">
            <v>3FRTRNunspeetR'dam</v>
          </cell>
          <cell r="B167" t="str">
            <v>WI</v>
          </cell>
          <cell r="C167" t="str">
            <v>3FRTRNunspeetR'damWI</v>
          </cell>
          <cell r="D167" t="str">
            <v>EUR</v>
          </cell>
          <cell r="E167">
            <v>343</v>
          </cell>
          <cell r="F167" t="str">
            <v>EUR/ea</v>
          </cell>
          <cell r="H167" t="str">
            <v>file mtrxtest</v>
          </cell>
          <cell r="K167" t="str">
            <v>truck</v>
          </cell>
        </row>
        <row r="168">
          <cell r="A168" t="str">
            <v>3FRTRPaderbornScheemda</v>
          </cell>
          <cell r="B168" t="str">
            <v>WI</v>
          </cell>
          <cell r="C168" t="str">
            <v>3FRTRPaderbornScheemdaWI</v>
          </cell>
          <cell r="D168" t="str">
            <v>EUR</v>
          </cell>
          <cell r="E168">
            <v>385</v>
          </cell>
          <cell r="F168" t="str">
            <v>EUR/ea</v>
          </cell>
          <cell r="H168" t="str">
            <v>15 t/truck * DEM 50/t</v>
          </cell>
          <cell r="K168" t="str">
            <v>truck</v>
          </cell>
        </row>
        <row r="169">
          <cell r="A169" t="str">
            <v>3FRTRPforzheimMoravsky</v>
          </cell>
          <cell r="B169" t="str">
            <v>WI</v>
          </cell>
          <cell r="C169" t="str">
            <v>3FRTRPforzheimMoravskyWI</v>
          </cell>
          <cell r="D169" t="str">
            <v>EUR</v>
          </cell>
          <cell r="E169">
            <v>1250</v>
          </cell>
          <cell r="F169" t="str">
            <v>EUR/ea</v>
          </cell>
          <cell r="H169" t="str">
            <v>questimate</v>
          </cell>
          <cell r="K169" t="str">
            <v>truck</v>
          </cell>
        </row>
        <row r="170">
          <cell r="A170" t="str">
            <v>3FRTRPforzheimNiemodlin</v>
          </cell>
          <cell r="B170" t="str">
            <v>WI</v>
          </cell>
          <cell r="C170" t="str">
            <v>3FRTRPforzheimNiemodlinWI</v>
          </cell>
          <cell r="D170" t="str">
            <v>EUR</v>
          </cell>
          <cell r="E170">
            <v>1250</v>
          </cell>
          <cell r="F170" t="str">
            <v>EUR/ea</v>
          </cell>
          <cell r="H170" t="str">
            <v>questimate</v>
          </cell>
          <cell r="K170" t="str">
            <v>truck</v>
          </cell>
        </row>
        <row r="171">
          <cell r="A171" t="str">
            <v>3FRTRR'damAntwerp</v>
          </cell>
          <cell r="B171" t="str">
            <v>WI</v>
          </cell>
          <cell r="C171" t="str">
            <v>3FRTRR'damAntwerpWI</v>
          </cell>
          <cell r="D171" t="str">
            <v>EUR</v>
          </cell>
          <cell r="E171">
            <v>343</v>
          </cell>
          <cell r="F171" t="str">
            <v>EUR/ea</v>
          </cell>
          <cell r="H171" t="str">
            <v>file mtrxtest</v>
          </cell>
          <cell r="K171" t="str">
            <v>truck</v>
          </cell>
        </row>
        <row r="172">
          <cell r="A172" t="str">
            <v>3FRTRR'damBrno</v>
          </cell>
          <cell r="B172" t="str">
            <v>WI</v>
          </cell>
          <cell r="C172" t="str">
            <v>3FRTRR'damBrnoWI</v>
          </cell>
          <cell r="D172" t="str">
            <v>EUR</v>
          </cell>
          <cell r="E172">
            <v>1332.5</v>
          </cell>
          <cell r="F172" t="str">
            <v>EUR/ea</v>
          </cell>
          <cell r="H172" t="str">
            <v>file TRP Pricematrix.xls</v>
          </cell>
          <cell r="K172" t="str">
            <v>truck</v>
          </cell>
        </row>
        <row r="173">
          <cell r="A173" t="str">
            <v>3FRTRR'damBucharest</v>
          </cell>
          <cell r="B173" t="str">
            <v>WI</v>
          </cell>
          <cell r="C173" t="str">
            <v>3FRTRR'damBucharestWI</v>
          </cell>
          <cell r="D173" t="str">
            <v>EUR</v>
          </cell>
          <cell r="E173">
            <v>2265</v>
          </cell>
          <cell r="F173" t="str">
            <v>EUR/ea</v>
          </cell>
          <cell r="H173" t="str">
            <v>file mtrxtest</v>
          </cell>
          <cell r="K173" t="str">
            <v>truck</v>
          </cell>
        </row>
        <row r="174">
          <cell r="A174" t="str">
            <v>3FRTRR'damGemlik</v>
          </cell>
          <cell r="B174" t="str">
            <v>WI</v>
          </cell>
          <cell r="C174" t="str">
            <v>3FRTRR'damGemlikWI</v>
          </cell>
          <cell r="D174" t="str">
            <v>EUR</v>
          </cell>
          <cell r="E174">
            <v>2673</v>
          </cell>
          <cell r="F174" t="str">
            <v>EUR/ea</v>
          </cell>
          <cell r="H174" t="str">
            <v>file mtrxtest</v>
          </cell>
          <cell r="K174" t="str">
            <v>truck</v>
          </cell>
        </row>
        <row r="175">
          <cell r="A175" t="str">
            <v>3FRTRR'damMoravsky</v>
          </cell>
          <cell r="B175" t="str">
            <v>WI</v>
          </cell>
          <cell r="C175" t="str">
            <v>3FRTRR'damMoravskyWI</v>
          </cell>
          <cell r="D175" t="str">
            <v>EUR</v>
          </cell>
          <cell r="E175">
            <v>1430</v>
          </cell>
          <cell r="F175" t="str">
            <v>EUR/ea</v>
          </cell>
          <cell r="H175" t="str">
            <v>file mtrxtest</v>
          </cell>
          <cell r="K175" t="str">
            <v>truck</v>
          </cell>
        </row>
        <row r="176">
          <cell r="A176" t="str">
            <v>3FRTRR'damSetubal</v>
          </cell>
          <cell r="B176" t="str">
            <v>WI</v>
          </cell>
          <cell r="C176" t="str">
            <v>3FRTRR'damSetubalWI</v>
          </cell>
          <cell r="D176" t="str">
            <v>EUR</v>
          </cell>
          <cell r="E176">
            <v>2336</v>
          </cell>
          <cell r="F176" t="str">
            <v>EUR/ea</v>
          </cell>
          <cell r="H176" t="str">
            <v>file TRP Pricematrix.xls</v>
          </cell>
          <cell r="K176" t="str">
            <v>truck</v>
          </cell>
        </row>
        <row r="177">
          <cell r="A177" t="str">
            <v>3FRTRScheemdaAntwerp</v>
          </cell>
          <cell r="B177" t="str">
            <v>WI</v>
          </cell>
          <cell r="C177" t="str">
            <v>3FRTRScheemdaAntwerpWI</v>
          </cell>
          <cell r="D177" t="str">
            <v>EUR</v>
          </cell>
          <cell r="E177">
            <v>360</v>
          </cell>
          <cell r="F177" t="str">
            <v>EUR/ea</v>
          </cell>
          <cell r="H177" t="str">
            <v>file TRP Pricematrix.xls</v>
          </cell>
          <cell r="K177" t="str">
            <v>truck</v>
          </cell>
        </row>
        <row r="178">
          <cell r="A178" t="str">
            <v>3FRTRScheemdaR'dam</v>
          </cell>
          <cell r="B178" t="str">
            <v>WI</v>
          </cell>
          <cell r="C178" t="str">
            <v>3FRTRScheemdaR'damWI</v>
          </cell>
          <cell r="D178" t="str">
            <v>EUR</v>
          </cell>
          <cell r="E178">
            <v>360</v>
          </cell>
          <cell r="F178" t="str">
            <v>EUR/ea</v>
          </cell>
          <cell r="H178" t="str">
            <v>file TRP Pricematrix.xls</v>
          </cell>
          <cell r="K178" t="str">
            <v>truck</v>
          </cell>
        </row>
        <row r="179">
          <cell r="A179" t="str">
            <v>3FRTRScheemdaSetubal</v>
          </cell>
          <cell r="B179" t="str">
            <v>WI</v>
          </cell>
          <cell r="C179" t="str">
            <v>3FRTRScheemdaSetubalWI</v>
          </cell>
          <cell r="D179" t="str">
            <v>EUR</v>
          </cell>
          <cell r="E179">
            <v>2415</v>
          </cell>
          <cell r="F179" t="str">
            <v>EUR/ea</v>
          </cell>
          <cell r="H179" t="str">
            <v>file TRP Pricematrix.xls</v>
          </cell>
          <cell r="K179" t="str">
            <v>truck</v>
          </cell>
        </row>
        <row r="180">
          <cell r="A180" t="str">
            <v>3FRTRSteenbergenMoravsky</v>
          </cell>
          <cell r="B180" t="str">
            <v>WI</v>
          </cell>
          <cell r="C180" t="str">
            <v>3FRTRSteenbergenMoravskyWI</v>
          </cell>
          <cell r="D180" t="str">
            <v>EUR</v>
          </cell>
          <cell r="E180">
            <v>1332</v>
          </cell>
          <cell r="F180" t="str">
            <v>EUR/ea</v>
          </cell>
          <cell r="H180" t="str">
            <v>file TRP Pricematrix.xls</v>
          </cell>
          <cell r="K180" t="str">
            <v>truck</v>
          </cell>
        </row>
        <row r="181">
          <cell r="A181" t="str">
            <v>3FRTRVeendamAntwerp</v>
          </cell>
          <cell r="B181" t="str">
            <v>WI</v>
          </cell>
          <cell r="C181" t="str">
            <v>3FRTRVeendamAntwerpWI</v>
          </cell>
          <cell r="D181" t="str">
            <v>EUR</v>
          </cell>
          <cell r="E181">
            <v>360</v>
          </cell>
          <cell r="F181" t="str">
            <v>EUR/ea</v>
          </cell>
          <cell r="H181" t="str">
            <v>file TRP Pricematrix.xls</v>
          </cell>
          <cell r="K181" t="str">
            <v>truck</v>
          </cell>
        </row>
        <row r="182">
          <cell r="A182" t="str">
            <v>3FRTRVeendamNiemodlin</v>
          </cell>
          <cell r="B182" t="str">
            <v>WI</v>
          </cell>
          <cell r="C182" t="str">
            <v>3FRTRVeendamNiemodlinWI</v>
          </cell>
          <cell r="D182" t="str">
            <v>EUR</v>
          </cell>
          <cell r="E182">
            <v>1332</v>
          </cell>
          <cell r="F182" t="str">
            <v>EUR/ea</v>
          </cell>
          <cell r="H182" t="str">
            <v>same as to Hutni ??</v>
          </cell>
          <cell r="K182" t="str">
            <v>truck</v>
          </cell>
        </row>
        <row r="183">
          <cell r="A183" t="str">
            <v>3FRTRVeendamR'dam</v>
          </cell>
          <cell r="B183" t="str">
            <v>WI</v>
          </cell>
          <cell r="C183" t="str">
            <v>3FRTRVeendamR'damWI</v>
          </cell>
          <cell r="D183" t="str">
            <v>EUR</v>
          </cell>
          <cell r="E183">
            <v>360</v>
          </cell>
          <cell r="F183" t="str">
            <v>EUR/ea</v>
          </cell>
          <cell r="H183" t="str">
            <v>file TRP Pricematrix.xls</v>
          </cell>
          <cell r="K183" t="str">
            <v>truck</v>
          </cell>
        </row>
        <row r="184">
          <cell r="A184" t="str">
            <v>3FRTRVeendamSetubal</v>
          </cell>
          <cell r="B184" t="str">
            <v>WI</v>
          </cell>
          <cell r="C184" t="str">
            <v>3FRTRVeendamSetubalWI</v>
          </cell>
          <cell r="D184" t="str">
            <v>EUR</v>
          </cell>
          <cell r="E184">
            <v>2415</v>
          </cell>
          <cell r="F184" t="str">
            <v>EUR/ea</v>
          </cell>
          <cell r="H184" t="str">
            <v>file TRP Pricematrix.xls</v>
          </cell>
          <cell r="K184" t="str">
            <v>truck</v>
          </cell>
        </row>
        <row r="185">
          <cell r="A185" t="str">
            <v>3FRULBBBaltimore</v>
          </cell>
          <cell r="B185" t="str">
            <v>WI</v>
          </cell>
          <cell r="C185" t="str">
            <v>3FRULBBBaltimoreWI</v>
          </cell>
          <cell r="D185" t="str">
            <v>US$</v>
          </cell>
          <cell r="E185">
            <v>10</v>
          </cell>
          <cell r="F185" t="str">
            <v>US$/t</v>
          </cell>
          <cell r="H185" t="str">
            <v>Unload cost breakbulk</v>
          </cell>
          <cell r="K185" t="str">
            <v>port charges</v>
          </cell>
        </row>
        <row r="186">
          <cell r="A186" t="str">
            <v>3FRULBBHouston</v>
          </cell>
          <cell r="B186" t="str">
            <v>WI</v>
          </cell>
          <cell r="C186" t="str">
            <v>3FRULBBHoustonWI</v>
          </cell>
          <cell r="D186" t="str">
            <v>US$</v>
          </cell>
          <cell r="E186">
            <v>7.6</v>
          </cell>
          <cell r="F186" t="str">
            <v>US$/t</v>
          </cell>
          <cell r="H186" t="str">
            <v>Unload cost breakbulk</v>
          </cell>
          <cell r="K186" t="str">
            <v>port charges</v>
          </cell>
        </row>
        <row r="187">
          <cell r="A187" t="str">
            <v>3FRULCTBaltimore</v>
          </cell>
          <cell r="B187" t="str">
            <v>WI</v>
          </cell>
          <cell r="C187" t="str">
            <v>3FRULCTBaltimoreWI</v>
          </cell>
          <cell r="D187" t="str">
            <v>US$</v>
          </cell>
          <cell r="E187">
            <v>0</v>
          </cell>
          <cell r="F187" t="str">
            <v>US$/t</v>
          </cell>
          <cell r="H187" t="str">
            <v>Unload cost per container : see CHT</v>
          </cell>
          <cell r="K187" t="str">
            <v>port charges</v>
          </cell>
        </row>
        <row r="188">
          <cell r="A188" t="str">
            <v>3FRULCTHouston</v>
          </cell>
          <cell r="B188" t="str">
            <v>WI</v>
          </cell>
          <cell r="C188" t="str">
            <v>3FRULCTHoustonWI</v>
          </cell>
          <cell r="D188" t="str">
            <v>US$</v>
          </cell>
          <cell r="E188">
            <v>0</v>
          </cell>
          <cell r="F188" t="str">
            <v>US$/t</v>
          </cell>
          <cell r="H188" t="str">
            <v>Unload cost per container : see CHT</v>
          </cell>
          <cell r="K188" t="str">
            <v>port charges</v>
          </cell>
        </row>
        <row r="189">
          <cell r="A189" t="str">
            <v>3FRULHVBaltimore</v>
          </cell>
          <cell r="B189" t="str">
            <v>WI</v>
          </cell>
          <cell r="C189" t="str">
            <v>3FRULHVBaltimoreWI</v>
          </cell>
          <cell r="D189" t="str">
            <v>US$</v>
          </cell>
          <cell r="E189">
            <v>17.5</v>
          </cell>
          <cell r="F189" t="str">
            <v>US$/t</v>
          </cell>
          <cell r="H189" t="str">
            <v>Unload cost heavies with ships own gear</v>
          </cell>
          <cell r="K189" t="str">
            <v>port charges</v>
          </cell>
        </row>
        <row r="190">
          <cell r="A190" t="str">
            <v>3FRULHVHouston</v>
          </cell>
          <cell r="B190" t="str">
            <v>WI</v>
          </cell>
          <cell r="C190" t="str">
            <v>3FRULHVHoustonWI</v>
          </cell>
          <cell r="D190" t="str">
            <v>US$</v>
          </cell>
          <cell r="E190">
            <v>13</v>
          </cell>
          <cell r="F190" t="str">
            <v>US$/t</v>
          </cell>
          <cell r="H190" t="str">
            <v>Unload cost heavies with ships own gear</v>
          </cell>
          <cell r="K190" t="str">
            <v>port charges</v>
          </cell>
        </row>
        <row r="191">
          <cell r="A191" t="str">
            <v>3FRWCHouston</v>
          </cell>
          <cell r="B191" t="str">
            <v>WI</v>
          </cell>
          <cell r="C191" t="str">
            <v>3FRWCHoustonWI</v>
          </cell>
          <cell r="D191" t="str">
            <v>US$</v>
          </cell>
          <cell r="E191">
            <v>2.4</v>
          </cell>
          <cell r="F191" t="str">
            <v>US$/t</v>
          </cell>
          <cell r="H191" t="str">
            <v>Wharfage cost per ton</v>
          </cell>
          <cell r="K191" t="str">
            <v>rail</v>
          </cell>
        </row>
        <row r="192">
          <cell r="A192" t="str">
            <v>3FRWCHouston</v>
          </cell>
          <cell r="B192" t="str">
            <v>WI</v>
          </cell>
          <cell r="C192" t="str">
            <v>3FRWCHoustonWI</v>
          </cell>
          <cell r="D192" t="str">
            <v>US$</v>
          </cell>
          <cell r="E192">
            <v>3.25</v>
          </cell>
          <cell r="F192" t="str">
            <v>US$/t</v>
          </cell>
          <cell r="G192" t="str">
            <v>no</v>
          </cell>
          <cell r="H192" t="str">
            <v>Wharfage cost per ton</v>
          </cell>
          <cell r="K192" t="str">
            <v>port charges</v>
          </cell>
        </row>
        <row r="193">
          <cell r="A193" t="str">
            <v>3INENG</v>
          </cell>
          <cell r="B193" t="str">
            <v>AARDING</v>
          </cell>
          <cell r="C193" t="str">
            <v>3INENGAARDING</v>
          </cell>
          <cell r="D193" t="str">
            <v>Eur</v>
          </cell>
          <cell r="E193">
            <v>28500</v>
          </cell>
          <cell r="F193" t="str">
            <v>Eur</v>
          </cell>
          <cell r="G193" t="str">
            <v>no</v>
          </cell>
          <cell r="H193" t="str">
            <v>Det. engineering</v>
          </cell>
          <cell r="K193" t="str">
            <v>engineering</v>
          </cell>
        </row>
        <row r="194">
          <cell r="A194" t="str">
            <v>3INENG</v>
          </cell>
          <cell r="B194" t="str">
            <v>OKI</v>
          </cell>
          <cell r="C194" t="str">
            <v>3INENGOKI</v>
          </cell>
          <cell r="D194" t="str">
            <v>Eur</v>
          </cell>
          <cell r="E194">
            <v>28800</v>
          </cell>
          <cell r="F194" t="str">
            <v>Eur</v>
          </cell>
          <cell r="G194" t="str">
            <v>no</v>
          </cell>
          <cell r="H194" t="str">
            <v>Det. engineering</v>
          </cell>
          <cell r="K194" t="str">
            <v>wool</v>
          </cell>
        </row>
        <row r="195">
          <cell r="A195" t="str">
            <v>3INm2ADD</v>
          </cell>
          <cell r="B195" t="str">
            <v>AARDING</v>
          </cell>
          <cell r="C195" t="str">
            <v>3INm2ADDAARDING</v>
          </cell>
          <cell r="D195" t="str">
            <v>Eur</v>
          </cell>
          <cell r="E195">
            <v>17</v>
          </cell>
          <cell r="F195" t="str">
            <v>Eur/m2</v>
          </cell>
          <cell r="G195" t="str">
            <v>no</v>
          </cell>
          <cell r="H195" t="str">
            <v>Det. engineering burners &amp; scr</v>
          </cell>
          <cell r="K195" t="str">
            <v>wool</v>
          </cell>
        </row>
        <row r="196">
          <cell r="A196" t="str">
            <v>3INm2ADD</v>
          </cell>
          <cell r="B196" t="str">
            <v>OKI</v>
          </cell>
          <cell r="C196" t="str">
            <v>3INm2ADDOKI</v>
          </cell>
          <cell r="D196" t="str">
            <v>Eur</v>
          </cell>
          <cell r="E196">
            <v>17</v>
          </cell>
          <cell r="F196" t="str">
            <v>Eur/m2</v>
          </cell>
          <cell r="G196" t="str">
            <v>no</v>
          </cell>
          <cell r="H196" t="str">
            <v>Det. engineering burners &amp; scr</v>
          </cell>
          <cell r="K196" t="str">
            <v>wool</v>
          </cell>
        </row>
        <row r="197">
          <cell r="A197" t="str">
            <v>3INm2ENG</v>
          </cell>
          <cell r="B197" t="str">
            <v>AARDING</v>
          </cell>
          <cell r="C197" t="str">
            <v>3INm2ENGAARDING</v>
          </cell>
          <cell r="D197" t="str">
            <v>Eur</v>
          </cell>
          <cell r="E197">
            <v>12</v>
          </cell>
          <cell r="F197" t="str">
            <v>Eur/m2</v>
          </cell>
          <cell r="G197" t="str">
            <v>no</v>
          </cell>
          <cell r="H197" t="str">
            <v>Det. engineering</v>
          </cell>
          <cell r="K197" t="str">
            <v>wool</v>
          </cell>
        </row>
        <row r="198">
          <cell r="A198" t="str">
            <v>3INm2ENG</v>
          </cell>
          <cell r="B198" t="str">
            <v>OKI</v>
          </cell>
          <cell r="C198" t="str">
            <v>3INm2ENGOKI</v>
          </cell>
          <cell r="D198" t="str">
            <v>Eur</v>
          </cell>
          <cell r="E198">
            <v>12</v>
          </cell>
          <cell r="F198" t="str">
            <v>Eur/m2</v>
          </cell>
          <cell r="G198" t="str">
            <v>no</v>
          </cell>
          <cell r="H198" t="str">
            <v>Det. engineering</v>
          </cell>
          <cell r="K198" t="str">
            <v>wool</v>
          </cell>
        </row>
        <row r="199">
          <cell r="A199" t="str">
            <v>4CA1013CrMO44</v>
          </cell>
          <cell r="B199" t="str">
            <v>NEM</v>
          </cell>
          <cell r="C199" t="str">
            <v>4CA1013CrMO44NEM</v>
          </cell>
          <cell r="D199" t="str">
            <v>EUR</v>
          </cell>
          <cell r="E199">
            <v>680</v>
          </cell>
          <cell r="F199" t="str">
            <v>EUR/t</v>
          </cell>
          <cell r="G199" t="str">
            <v>Yes</v>
          </cell>
          <cell r="H199" t="str">
            <v>GUESTIMATE 2001</v>
          </cell>
          <cell r="K199" t="str">
            <v>plate+reinf.</v>
          </cell>
        </row>
        <row r="200">
          <cell r="A200" t="str">
            <v>4CA1016Mo3</v>
          </cell>
          <cell r="B200" t="str">
            <v>NEM</v>
          </cell>
          <cell r="C200" t="str">
            <v>4CA1016Mo3NEM</v>
          </cell>
          <cell r="D200" t="str">
            <v>EUR</v>
          </cell>
          <cell r="E200">
            <v>565</v>
          </cell>
          <cell r="F200" t="str">
            <v>EUR/t</v>
          </cell>
          <cell r="G200" t="str">
            <v>Yes</v>
          </cell>
          <cell r="H200" t="str">
            <v>GUESTIMATE 2001</v>
          </cell>
          <cell r="K200" t="str">
            <v>plate+reinf.</v>
          </cell>
        </row>
        <row r="201">
          <cell r="A201" t="str">
            <v>4CA10AISI 409</v>
          </cell>
          <cell r="B201" t="str">
            <v>NEM</v>
          </cell>
          <cell r="C201" t="str">
            <v>4CA10AISI 409NEM</v>
          </cell>
          <cell r="D201" t="str">
            <v>EUR</v>
          </cell>
          <cell r="E201">
            <v>1340</v>
          </cell>
          <cell r="F201" t="str">
            <v>EUR/t</v>
          </cell>
          <cell r="G201" t="str">
            <v>Yes</v>
          </cell>
          <cell r="H201" t="str">
            <v>GUESTIMATE 2001</v>
          </cell>
          <cell r="K201" t="str">
            <v>plate+reinf.</v>
          </cell>
        </row>
        <row r="202">
          <cell r="A202" t="str">
            <v>4CA10CS</v>
          </cell>
          <cell r="B202" t="str">
            <v>NEM</v>
          </cell>
          <cell r="C202" t="str">
            <v>4CA10CSNEM</v>
          </cell>
          <cell r="D202" t="str">
            <v>EUR</v>
          </cell>
          <cell r="E202">
            <v>445</v>
          </cell>
          <cell r="F202" t="str">
            <v>EUR/t</v>
          </cell>
          <cell r="G202" t="str">
            <v>Yes</v>
          </cell>
          <cell r="H202" t="str">
            <v>GUESTIMATE 2001</v>
          </cell>
          <cell r="K202" t="str">
            <v>plate+reinf.</v>
          </cell>
        </row>
        <row r="203">
          <cell r="A203" t="str">
            <v>4CA10HII</v>
          </cell>
          <cell r="B203" t="str">
            <v>NEM</v>
          </cell>
          <cell r="C203" t="str">
            <v>4CA10HIINEM</v>
          </cell>
          <cell r="D203" t="str">
            <v>EUR</v>
          </cell>
          <cell r="E203">
            <v>500</v>
          </cell>
          <cell r="F203" t="str">
            <v>EUR/t</v>
          </cell>
          <cell r="G203" t="str">
            <v>Yes</v>
          </cell>
          <cell r="H203" t="str">
            <v>GUESTIMATE 2001</v>
          </cell>
          <cell r="K203" t="str">
            <v>plate+reinf.</v>
          </cell>
        </row>
        <row r="204">
          <cell r="A204" t="str">
            <v>4CA6CS</v>
          </cell>
          <cell r="B204" t="str">
            <v>NEM</v>
          </cell>
          <cell r="C204" t="str">
            <v>4CA6CSNEM</v>
          </cell>
          <cell r="D204" t="str">
            <v>EUR</v>
          </cell>
          <cell r="E204">
            <v>455</v>
          </cell>
          <cell r="F204" t="str">
            <v>EUR/t</v>
          </cell>
          <cell r="G204" t="str">
            <v>Yes</v>
          </cell>
          <cell r="H204" t="str">
            <v>GUESTIMATE 2001</v>
          </cell>
          <cell r="K204" t="str">
            <v>plate+reinf.</v>
          </cell>
        </row>
        <row r="205">
          <cell r="A205" t="str">
            <v>4CA8CS</v>
          </cell>
          <cell r="B205" t="str">
            <v>NEM</v>
          </cell>
          <cell r="C205" t="str">
            <v>4CA8CSNEM</v>
          </cell>
          <cell r="D205" t="str">
            <v>EUR</v>
          </cell>
          <cell r="E205">
            <v>430</v>
          </cell>
          <cell r="F205" t="str">
            <v>EUR/t</v>
          </cell>
          <cell r="G205" t="str">
            <v>Yes</v>
          </cell>
          <cell r="H205" t="str">
            <v>GUESTIMATE 2001</v>
          </cell>
          <cell r="K205" t="str">
            <v>plate+reinf.</v>
          </cell>
        </row>
        <row r="206">
          <cell r="A206" t="str">
            <v>4DW10CS</v>
          </cell>
          <cell r="B206" t="str">
            <v>NEM</v>
          </cell>
          <cell r="C206" t="str">
            <v>4DW10CSNEM</v>
          </cell>
          <cell r="D206" t="str">
            <v>EUR</v>
          </cell>
          <cell r="E206">
            <v>415</v>
          </cell>
          <cell r="F206" t="str">
            <v>EUR/t</v>
          </cell>
          <cell r="G206" t="str">
            <v>Yes</v>
          </cell>
          <cell r="H206" t="str">
            <v>GUESTIMATE 2001</v>
          </cell>
          <cell r="K206" t="str">
            <v>plate+reinf.</v>
          </cell>
        </row>
        <row r="207">
          <cell r="A207" t="str">
            <v>4DW6CS</v>
          </cell>
          <cell r="B207" t="str">
            <v>NEM</v>
          </cell>
          <cell r="C207" t="str">
            <v>4DW6CSNEM</v>
          </cell>
          <cell r="D207" t="str">
            <v>EUR</v>
          </cell>
          <cell r="E207">
            <v>455</v>
          </cell>
          <cell r="F207" t="str">
            <v>EUR/t</v>
          </cell>
          <cell r="G207" t="str">
            <v>Yes</v>
          </cell>
          <cell r="H207" t="str">
            <v>GUESTIMATE 2001</v>
          </cell>
          <cell r="K207" t="str">
            <v>plate+reinf.</v>
          </cell>
        </row>
        <row r="208">
          <cell r="A208" t="str">
            <v>4DW8CS</v>
          </cell>
          <cell r="B208" t="str">
            <v>NEM</v>
          </cell>
          <cell r="C208" t="str">
            <v>4DW8CSNEM</v>
          </cell>
          <cell r="D208" t="str">
            <v>EUR</v>
          </cell>
          <cell r="E208">
            <v>430</v>
          </cell>
          <cell r="F208" t="str">
            <v>EUR/t</v>
          </cell>
          <cell r="G208" t="str">
            <v>Yes</v>
          </cell>
          <cell r="H208" t="str">
            <v>GUESTIMATE 2001</v>
          </cell>
          <cell r="K208" t="str">
            <v>plate+reinf.</v>
          </cell>
        </row>
        <row r="209">
          <cell r="A209" t="str">
            <v>4EJCold</v>
          </cell>
          <cell r="B209" t="str">
            <v>Std</v>
          </cell>
          <cell r="C209" t="str">
            <v>4EJColdStd</v>
          </cell>
          <cell r="D209" t="str">
            <v>EUR</v>
          </cell>
          <cell r="E209">
            <v>115</v>
          </cell>
          <cell r="F209" t="str">
            <v>EUR/m</v>
          </cell>
          <cell r="G209" t="str">
            <v>Yes</v>
          </cell>
          <cell r="H209" t="str">
            <v>expansionbellow</v>
          </cell>
          <cell r="K209" t="str">
            <v>other mat's</v>
          </cell>
        </row>
        <row r="210">
          <cell r="A210" t="str">
            <v>4EJHot</v>
          </cell>
          <cell r="B210" t="str">
            <v>Std</v>
          </cell>
          <cell r="C210" t="str">
            <v>4EJHotStd</v>
          </cell>
          <cell r="D210" t="str">
            <v>EUR</v>
          </cell>
          <cell r="E210">
            <v>340</v>
          </cell>
          <cell r="F210" t="str">
            <v>EUR/m</v>
          </cell>
          <cell r="G210" t="str">
            <v>Yes</v>
          </cell>
          <cell r="H210" t="str">
            <v>expansionbellow</v>
          </cell>
          <cell r="K210" t="str">
            <v>other mat's</v>
          </cell>
        </row>
        <row r="211">
          <cell r="A211" t="str">
            <v>4IN0</v>
          </cell>
          <cell r="B211" t="str">
            <v>INSULC</v>
          </cell>
          <cell r="C211" t="str">
            <v>4IN0INSULC</v>
          </cell>
          <cell r="D211" t="str">
            <v>EUR</v>
          </cell>
          <cell r="E211">
            <v>0</v>
          </cell>
          <cell r="F211" t="str">
            <v>EUR/kg</v>
          </cell>
          <cell r="G211" t="str">
            <v>Yes</v>
          </cell>
          <cell r="H211" t="str">
            <v>Insul. blanket</v>
          </cell>
          <cell r="K211" t="str">
            <v>wool</v>
          </cell>
        </row>
        <row r="212">
          <cell r="A212" t="str">
            <v>4INA 128</v>
          </cell>
          <cell r="B212" t="str">
            <v>INSULC</v>
          </cell>
          <cell r="C212" t="str">
            <v>4INA 128INSULC</v>
          </cell>
          <cell r="D212" t="str">
            <v>US$</v>
          </cell>
          <cell r="E212">
            <v>3</v>
          </cell>
          <cell r="F212" t="str">
            <v>US$/kg</v>
          </cell>
          <cell r="G212" t="str">
            <v>Yes</v>
          </cell>
          <cell r="H212" t="str">
            <v>Insul. blanket Insulfrax, acc.D13 spec</v>
          </cell>
          <cell r="K212" t="str">
            <v>wool</v>
          </cell>
        </row>
        <row r="213">
          <cell r="A213" t="str">
            <v>4INA 128</v>
          </cell>
          <cell r="B213" t="str">
            <v>OKI</v>
          </cell>
          <cell r="C213" t="str">
            <v>4INA 128OKI</v>
          </cell>
          <cell r="D213" t="str">
            <v>US$</v>
          </cell>
          <cell r="E213">
            <v>3.1</v>
          </cell>
          <cell r="F213" t="str">
            <v>US$/kg</v>
          </cell>
          <cell r="G213" t="str">
            <v>Yes</v>
          </cell>
          <cell r="H213" t="str">
            <v>Insul. blanket Insulfrax, acc.D13 spec</v>
          </cell>
          <cell r="K213" t="str">
            <v>wool</v>
          </cell>
        </row>
        <row r="214">
          <cell r="A214" t="str">
            <v>4INA 160</v>
          </cell>
          <cell r="B214" t="str">
            <v>INSULC</v>
          </cell>
          <cell r="C214" t="str">
            <v>4INA 160INSULC</v>
          </cell>
          <cell r="D214" t="str">
            <v>US$</v>
          </cell>
          <cell r="E214">
            <v>3</v>
          </cell>
          <cell r="F214" t="str">
            <v>US$/kg</v>
          </cell>
          <cell r="G214" t="str">
            <v>Yes</v>
          </cell>
          <cell r="H214" t="str">
            <v>Insul. blanket Insulfrax, acc.D13 spec</v>
          </cell>
          <cell r="K214" t="str">
            <v>wool</v>
          </cell>
        </row>
        <row r="215">
          <cell r="A215" t="str">
            <v>4INA 160</v>
          </cell>
          <cell r="B215" t="str">
            <v>OKI</v>
          </cell>
          <cell r="C215" t="str">
            <v>4INA 160OKI</v>
          </cell>
          <cell r="D215" t="str">
            <v>US$</v>
          </cell>
          <cell r="E215">
            <v>3.1</v>
          </cell>
          <cell r="F215" t="str">
            <v>US$/kg</v>
          </cell>
          <cell r="G215" t="str">
            <v>Yes</v>
          </cell>
          <cell r="H215" t="str">
            <v>Insul. blanket Insulfrax, acc.D13 spec</v>
          </cell>
          <cell r="K215" t="str">
            <v>wool</v>
          </cell>
        </row>
        <row r="216">
          <cell r="A216" t="str">
            <v>4INA 64</v>
          </cell>
          <cell r="B216" t="str">
            <v>INSULC</v>
          </cell>
          <cell r="C216" t="str">
            <v>4INA 64INSULC</v>
          </cell>
          <cell r="D216" t="str">
            <v>US$</v>
          </cell>
          <cell r="E216">
            <v>3</v>
          </cell>
          <cell r="F216" t="str">
            <v>US$/kg</v>
          </cell>
          <cell r="G216" t="str">
            <v>Yes</v>
          </cell>
          <cell r="H216" t="str">
            <v>Insul. blanket Insulfrax, acc.D13 spec</v>
          </cell>
          <cell r="K216" t="str">
            <v>wool</v>
          </cell>
        </row>
        <row r="217">
          <cell r="A217" t="str">
            <v>4INA 64</v>
          </cell>
          <cell r="B217" t="str">
            <v>OKI</v>
          </cell>
          <cell r="C217" t="str">
            <v>4INA 64OKI</v>
          </cell>
          <cell r="D217" t="str">
            <v>US$</v>
          </cell>
          <cell r="E217">
            <v>3.1</v>
          </cell>
          <cell r="F217" t="str">
            <v>US$/kg</v>
          </cell>
          <cell r="G217" t="str">
            <v>Yes</v>
          </cell>
          <cell r="H217" t="str">
            <v>Insul. blanket Insulfrax, acc.D13 spec</v>
          </cell>
          <cell r="K217" t="str">
            <v>wool</v>
          </cell>
        </row>
        <row r="218">
          <cell r="A218" t="str">
            <v>4INA 96</v>
          </cell>
          <cell r="B218" t="str">
            <v>INSULC</v>
          </cell>
          <cell r="C218" t="str">
            <v>4INA 96INSULC</v>
          </cell>
          <cell r="D218" t="str">
            <v>US$</v>
          </cell>
          <cell r="E218">
            <v>3</v>
          </cell>
          <cell r="F218" t="str">
            <v>US$/kg</v>
          </cell>
          <cell r="G218" t="str">
            <v>Yes</v>
          </cell>
          <cell r="H218" t="str">
            <v>Insul. blanket Insulfrax, acc.D13 spec</v>
          </cell>
          <cell r="K218" t="str">
            <v>wool</v>
          </cell>
        </row>
        <row r="219">
          <cell r="A219" t="str">
            <v>4INA 96</v>
          </cell>
          <cell r="B219" t="str">
            <v>OKI</v>
          </cell>
          <cell r="C219" t="str">
            <v>4INA 96OKI</v>
          </cell>
          <cell r="D219" t="str">
            <v>US$</v>
          </cell>
          <cell r="E219">
            <v>3.1</v>
          </cell>
          <cell r="F219" t="str">
            <v>US$/kg</v>
          </cell>
          <cell r="G219" t="str">
            <v>Yes</v>
          </cell>
          <cell r="H219" t="str">
            <v>Insul. blanket Insulfrax, acc.D13 spec</v>
          </cell>
          <cell r="K219" t="str">
            <v>wool</v>
          </cell>
        </row>
        <row r="220">
          <cell r="A220" t="str">
            <v>4INB 100</v>
          </cell>
          <cell r="B220" t="str">
            <v>OKI</v>
          </cell>
          <cell r="C220" t="str">
            <v>4INB 100OKI</v>
          </cell>
          <cell r="D220" t="str">
            <v>EUR</v>
          </cell>
          <cell r="E220">
            <v>0.81</v>
          </cell>
          <cell r="F220" t="str">
            <v>EUR/kg</v>
          </cell>
          <cell r="G220" t="str">
            <v>Yes</v>
          </cell>
          <cell r="H220" t="str">
            <v>Insul. blanket basaltwool + galv.  Wiremesh</v>
          </cell>
          <cell r="K220" t="str">
            <v>wool</v>
          </cell>
        </row>
        <row r="221">
          <cell r="A221" t="str">
            <v>4INB 105</v>
          </cell>
          <cell r="B221" t="str">
            <v>Lancaster</v>
          </cell>
          <cell r="C221" t="str">
            <v>4INB 105Lancaster</v>
          </cell>
          <cell r="D221" t="str">
            <v>Eur</v>
          </cell>
          <cell r="E221">
            <v>0.78</v>
          </cell>
          <cell r="F221" t="str">
            <v>Eur/kg</v>
          </cell>
          <cell r="G221" t="str">
            <v>Yes</v>
          </cell>
          <cell r="H221" t="str">
            <v>Insul. blanket basaltwool 105 kg/m3</v>
          </cell>
          <cell r="K221" t="str">
            <v>wool</v>
          </cell>
        </row>
        <row r="222">
          <cell r="A222" t="str">
            <v>4INB 128</v>
          </cell>
          <cell r="B222" t="str">
            <v>INSULC</v>
          </cell>
          <cell r="C222" t="str">
            <v>4INB 128INSULC</v>
          </cell>
          <cell r="D222" t="str">
            <v>Eur</v>
          </cell>
          <cell r="E222">
            <v>0.78</v>
          </cell>
          <cell r="F222" t="str">
            <v>Eur/kg</v>
          </cell>
          <cell r="G222" t="str">
            <v>Yes</v>
          </cell>
          <cell r="H222" t="str">
            <v>Insul. blanket basaltwool</v>
          </cell>
          <cell r="K222" t="str">
            <v>wool</v>
          </cell>
        </row>
        <row r="223">
          <cell r="A223" t="str">
            <v>4INB 128</v>
          </cell>
          <cell r="B223" t="str">
            <v>Lancaster</v>
          </cell>
          <cell r="C223" t="str">
            <v>4INB 128Lancaster</v>
          </cell>
          <cell r="D223" t="str">
            <v>Eur</v>
          </cell>
          <cell r="E223">
            <v>0.78</v>
          </cell>
          <cell r="F223" t="str">
            <v>Eur/kg</v>
          </cell>
          <cell r="G223" t="str">
            <v>Yes</v>
          </cell>
          <cell r="H223" t="str">
            <v>Insul. blanket basaltwool 128 kg/m3</v>
          </cell>
          <cell r="K223" t="str">
            <v>wool</v>
          </cell>
        </row>
        <row r="224">
          <cell r="A224" t="str">
            <v>4INB 128</v>
          </cell>
          <cell r="B224" t="str">
            <v>OKI</v>
          </cell>
          <cell r="C224" t="str">
            <v>4INB 128OKI</v>
          </cell>
          <cell r="D224" t="str">
            <v>EUR</v>
          </cell>
          <cell r="E224">
            <v>0.81</v>
          </cell>
          <cell r="F224" t="str">
            <v>EUR/kg</v>
          </cell>
          <cell r="G224" t="str">
            <v>Yes</v>
          </cell>
          <cell r="H224" t="str">
            <v>Insul. blanket basaltwool + galv.  Wiremesh</v>
          </cell>
          <cell r="K224" t="str">
            <v>wool</v>
          </cell>
        </row>
        <row r="225">
          <cell r="A225" t="str">
            <v>4INB 160</v>
          </cell>
          <cell r="B225" t="str">
            <v>INSULC</v>
          </cell>
          <cell r="C225" t="str">
            <v>4INB 160INSULC</v>
          </cell>
          <cell r="D225" t="str">
            <v>Eur</v>
          </cell>
          <cell r="E225">
            <v>0.78</v>
          </cell>
          <cell r="F225" t="str">
            <v>Eur/kg</v>
          </cell>
          <cell r="G225" t="str">
            <v>Yes</v>
          </cell>
          <cell r="H225" t="str">
            <v>Insul. blanket basaltwool</v>
          </cell>
          <cell r="K225" t="str">
            <v>wool</v>
          </cell>
        </row>
        <row r="226">
          <cell r="A226" t="str">
            <v>4INB 64</v>
          </cell>
          <cell r="B226" t="str">
            <v>INSULC</v>
          </cell>
          <cell r="C226" t="str">
            <v>4INB 64INSULC</v>
          </cell>
          <cell r="D226" t="str">
            <v>Eur</v>
          </cell>
          <cell r="E226">
            <v>0.78</v>
          </cell>
          <cell r="F226" t="str">
            <v>Eur/kg</v>
          </cell>
          <cell r="G226" t="str">
            <v>Yes</v>
          </cell>
          <cell r="H226" t="str">
            <v>Insul. blanket basaltwool</v>
          </cell>
          <cell r="K226" t="str">
            <v>wool</v>
          </cell>
        </row>
        <row r="227">
          <cell r="A227" t="str">
            <v>4INB 64</v>
          </cell>
          <cell r="B227" t="str">
            <v>OKI</v>
          </cell>
          <cell r="C227" t="str">
            <v>4INB 64OKI</v>
          </cell>
          <cell r="D227" t="str">
            <v>EUR</v>
          </cell>
          <cell r="E227">
            <v>0.81</v>
          </cell>
          <cell r="F227" t="str">
            <v>EUR/kg</v>
          </cell>
          <cell r="G227" t="str">
            <v>Yes</v>
          </cell>
          <cell r="H227" t="str">
            <v>Insul. blanket basaltwool + galv.  Wiremesh</v>
          </cell>
          <cell r="K227" t="str">
            <v>wool</v>
          </cell>
        </row>
        <row r="228">
          <cell r="A228" t="str">
            <v>4INB 80</v>
          </cell>
          <cell r="B228" t="str">
            <v>INSULC</v>
          </cell>
          <cell r="C228" t="str">
            <v>4INB 80INSULC</v>
          </cell>
          <cell r="D228" t="str">
            <v>Eur</v>
          </cell>
          <cell r="E228">
            <v>0.78</v>
          </cell>
          <cell r="F228" t="str">
            <v>Eur/kg</v>
          </cell>
          <cell r="G228" t="str">
            <v>Yes</v>
          </cell>
          <cell r="H228" t="str">
            <v>Insul. blanket basaltwool</v>
          </cell>
          <cell r="K228" t="str">
            <v>wool</v>
          </cell>
        </row>
        <row r="229">
          <cell r="A229" t="str">
            <v>4INB 80</v>
          </cell>
          <cell r="B229" t="str">
            <v>OKI</v>
          </cell>
          <cell r="C229" t="str">
            <v>4INB 80OKI</v>
          </cell>
          <cell r="D229" t="str">
            <v>EUR</v>
          </cell>
          <cell r="E229">
            <v>0.81</v>
          </cell>
          <cell r="F229" t="str">
            <v>EUR/kg</v>
          </cell>
          <cell r="G229" t="str">
            <v>Yes</v>
          </cell>
          <cell r="H229" t="str">
            <v>Insul. blanket basaltwool + galv.  Wiremesh</v>
          </cell>
          <cell r="K229" t="str">
            <v>wool</v>
          </cell>
        </row>
        <row r="230">
          <cell r="A230" t="str">
            <v>4INB 85</v>
          </cell>
          <cell r="B230" t="str">
            <v>Lancaster</v>
          </cell>
          <cell r="C230" t="str">
            <v>4INB 85Lancaster</v>
          </cell>
          <cell r="D230" t="str">
            <v>Eur</v>
          </cell>
          <cell r="E230">
            <v>0.78</v>
          </cell>
          <cell r="F230" t="str">
            <v>Eur/kg</v>
          </cell>
          <cell r="G230" t="str">
            <v>Yes</v>
          </cell>
          <cell r="H230" t="str">
            <v>Insul. blanket basaltwool 85 kg/m3</v>
          </cell>
          <cell r="K230" t="str">
            <v>wool</v>
          </cell>
        </row>
        <row r="231">
          <cell r="A231" t="str">
            <v>4INC 128</v>
          </cell>
          <cell r="B231" t="str">
            <v>INSULC</v>
          </cell>
          <cell r="C231" t="str">
            <v>4INC 128INSULC</v>
          </cell>
          <cell r="D231" t="str">
            <v>Eur</v>
          </cell>
          <cell r="E231">
            <v>2.12</v>
          </cell>
          <cell r="F231" t="str">
            <v>Eur/kg</v>
          </cell>
          <cell r="G231" t="str">
            <v>Yes</v>
          </cell>
          <cell r="H231" t="str">
            <v>Non Ceramic Insul. blanket "Carbowool"</v>
          </cell>
          <cell r="K231" t="str">
            <v>wool</v>
          </cell>
        </row>
        <row r="232">
          <cell r="A232" t="str">
            <v>4INC 128</v>
          </cell>
          <cell r="B232" t="str">
            <v>OKI</v>
          </cell>
          <cell r="C232" t="str">
            <v>4INC 128OKI</v>
          </cell>
          <cell r="D232" t="str">
            <v>EUR</v>
          </cell>
          <cell r="E232">
            <v>2.08</v>
          </cell>
          <cell r="F232" t="str">
            <v>EUR/kg</v>
          </cell>
          <cell r="G232" t="str">
            <v>Yes</v>
          </cell>
          <cell r="H232" t="str">
            <v>Insul. blanket "Carbowool"</v>
          </cell>
          <cell r="K232" t="str">
            <v>wool</v>
          </cell>
        </row>
        <row r="233">
          <cell r="A233" t="str">
            <v>4INC 160</v>
          </cell>
          <cell r="B233" t="str">
            <v>INSULC</v>
          </cell>
          <cell r="C233" t="str">
            <v>4INC 160INSULC</v>
          </cell>
          <cell r="D233" t="str">
            <v>Eur</v>
          </cell>
          <cell r="E233">
            <v>2.12</v>
          </cell>
          <cell r="F233" t="str">
            <v>Eur/kg</v>
          </cell>
          <cell r="G233" t="str">
            <v>Yes</v>
          </cell>
          <cell r="H233" t="str">
            <v>Non Ceramic Insul. blanket "Carbowool"</v>
          </cell>
          <cell r="K233" t="str">
            <v>wool</v>
          </cell>
        </row>
        <row r="234">
          <cell r="A234" t="str">
            <v>4INC 160</v>
          </cell>
          <cell r="B234" t="str">
            <v>OKI</v>
          </cell>
          <cell r="C234" t="str">
            <v>4INC 160OKI</v>
          </cell>
          <cell r="D234" t="str">
            <v>EUR</v>
          </cell>
          <cell r="E234">
            <v>2.08</v>
          </cell>
          <cell r="F234" t="str">
            <v>EUR/kg</v>
          </cell>
          <cell r="G234" t="str">
            <v>Yes</v>
          </cell>
          <cell r="H234" t="str">
            <v>Insul. blanket "Carbowool"</v>
          </cell>
          <cell r="K234" t="str">
            <v>wool</v>
          </cell>
        </row>
        <row r="235">
          <cell r="A235" t="str">
            <v>4INC 64</v>
          </cell>
          <cell r="B235" t="str">
            <v>INSULC</v>
          </cell>
          <cell r="C235" t="str">
            <v>4INC 64INSULC</v>
          </cell>
          <cell r="D235" t="str">
            <v>Eur</v>
          </cell>
          <cell r="E235">
            <v>2.12</v>
          </cell>
          <cell r="F235" t="str">
            <v>Eur/kg</v>
          </cell>
          <cell r="G235" t="str">
            <v>Yes</v>
          </cell>
          <cell r="H235" t="str">
            <v>Non Ceramic Insul. blanket "Carbowool"</v>
          </cell>
          <cell r="K235" t="str">
            <v>wool</v>
          </cell>
        </row>
        <row r="236">
          <cell r="A236" t="str">
            <v>4INC 96</v>
          </cell>
          <cell r="B236" t="str">
            <v>INSULC</v>
          </cell>
          <cell r="C236" t="str">
            <v>4INC 96INSULC</v>
          </cell>
          <cell r="D236" t="str">
            <v>Eur</v>
          </cell>
          <cell r="E236">
            <v>2.12</v>
          </cell>
          <cell r="F236" t="str">
            <v>Eur/kg</v>
          </cell>
          <cell r="G236" t="str">
            <v>Yes</v>
          </cell>
          <cell r="H236" t="str">
            <v>Non Ceramic Insul. blanket "Carbowool"</v>
          </cell>
          <cell r="K236" t="str">
            <v>wool</v>
          </cell>
        </row>
        <row r="237">
          <cell r="A237" t="str">
            <v>4INC 96</v>
          </cell>
          <cell r="B237" t="str">
            <v>OKI</v>
          </cell>
          <cell r="C237" t="str">
            <v>4INC 96OKI</v>
          </cell>
          <cell r="D237" t="str">
            <v>EUR</v>
          </cell>
          <cell r="E237">
            <v>2.08</v>
          </cell>
          <cell r="F237" t="str">
            <v>EUR/kg</v>
          </cell>
          <cell r="G237" t="str">
            <v>Yes</v>
          </cell>
          <cell r="H237" t="str">
            <v>Insul. blanket "Carbowool"</v>
          </cell>
          <cell r="K237" t="str">
            <v>wool</v>
          </cell>
        </row>
        <row r="238">
          <cell r="A238" t="str">
            <v>4INDRP12100AISI 304</v>
          </cell>
          <cell r="B238" t="str">
            <v>AARDING</v>
          </cell>
          <cell r="C238" t="str">
            <v>4INDRP12100AISI 304AARDING</v>
          </cell>
          <cell r="D238" t="str">
            <v>EUR</v>
          </cell>
          <cell r="E238">
            <v>0.64600000000000002</v>
          </cell>
          <cell r="F238" t="str">
            <v>EUR/ea</v>
          </cell>
          <cell r="G238" t="str">
            <v>Yes</v>
          </cell>
          <cell r="H238" t="str">
            <v>Draadpen M12, L=100+25 mm</v>
          </cell>
          <cell r="K238" t="str">
            <v>pin</v>
          </cell>
        </row>
        <row r="239">
          <cell r="A239" t="str">
            <v>4INDRP12100AISI 304</v>
          </cell>
          <cell r="B239" t="str">
            <v>OKI</v>
          </cell>
          <cell r="C239" t="str">
            <v>4INDRP12100AISI 304OKI</v>
          </cell>
          <cell r="D239" t="str">
            <v>EUR</v>
          </cell>
          <cell r="E239">
            <v>0.64600000000000002</v>
          </cell>
          <cell r="F239" t="str">
            <v>EUR/ea</v>
          </cell>
          <cell r="G239" t="str">
            <v>Yes</v>
          </cell>
          <cell r="H239" t="str">
            <v>Draadpen M12, L=100+25 mm</v>
          </cell>
          <cell r="K239" t="str">
            <v>pin</v>
          </cell>
        </row>
        <row r="240">
          <cell r="A240" t="str">
            <v>4INDRP12100AISI 304</v>
          </cell>
          <cell r="B240" t="str">
            <v>SILICO</v>
          </cell>
          <cell r="C240" t="str">
            <v>4INDRP12100AISI 304SILICO</v>
          </cell>
          <cell r="D240" t="str">
            <v>EUR</v>
          </cell>
          <cell r="E240">
            <v>0.61499999999999999</v>
          </cell>
          <cell r="F240" t="str">
            <v>EUR/ea</v>
          </cell>
          <cell r="G240" t="str">
            <v>Yes</v>
          </cell>
          <cell r="H240" t="str">
            <v>Draadpen M12, L=100+25 mm</v>
          </cell>
          <cell r="K240" t="str">
            <v>pin</v>
          </cell>
        </row>
        <row r="241">
          <cell r="A241" t="str">
            <v>4INDRP12100AISI 309</v>
          </cell>
          <cell r="B241" t="str">
            <v>AARDING</v>
          </cell>
          <cell r="C241" t="str">
            <v>4INDRP12100AISI 309AARDING</v>
          </cell>
          <cell r="D241" t="str">
            <v>EUR</v>
          </cell>
          <cell r="E241">
            <v>0.872</v>
          </cell>
          <cell r="F241" t="str">
            <v>EUR/ea</v>
          </cell>
          <cell r="G241" t="str">
            <v>Yes</v>
          </cell>
          <cell r="H241" t="str">
            <v>Draadpen M12, L=100+25 mm</v>
          </cell>
          <cell r="K241" t="str">
            <v>pin</v>
          </cell>
        </row>
        <row r="242">
          <cell r="A242" t="str">
            <v>4INDRP12100AISI 309</v>
          </cell>
          <cell r="B242" t="str">
            <v>OKI</v>
          </cell>
          <cell r="C242" t="str">
            <v>4INDRP12100AISI 309OKI</v>
          </cell>
          <cell r="D242" t="str">
            <v>EUR</v>
          </cell>
          <cell r="E242">
            <v>0.872</v>
          </cell>
          <cell r="F242" t="str">
            <v>EUR/ea</v>
          </cell>
          <cell r="G242" t="str">
            <v>Yes</v>
          </cell>
          <cell r="H242" t="str">
            <v>Draadpen M12, L=100+25 mm</v>
          </cell>
          <cell r="K242" t="str">
            <v>pin</v>
          </cell>
        </row>
        <row r="243">
          <cell r="A243" t="str">
            <v>4INDRP12100AISI 309</v>
          </cell>
          <cell r="B243" t="str">
            <v>SILICO</v>
          </cell>
          <cell r="C243" t="str">
            <v>4INDRP12100AISI 309SILICO</v>
          </cell>
          <cell r="D243" t="str">
            <v>EUR</v>
          </cell>
          <cell r="E243">
            <v>0.83</v>
          </cell>
          <cell r="F243" t="str">
            <v>EUR/ea</v>
          </cell>
          <cell r="G243" t="str">
            <v>Yes</v>
          </cell>
          <cell r="H243" t="str">
            <v>Draadpen M12, L=100+25 mm</v>
          </cell>
          <cell r="K243" t="str">
            <v>pin</v>
          </cell>
        </row>
        <row r="244">
          <cell r="A244" t="str">
            <v>4INDRP12100AISI 310</v>
          </cell>
          <cell r="B244" t="str">
            <v>AARDING</v>
          </cell>
          <cell r="C244" t="str">
            <v>4INDRP12100AISI 310AARDING</v>
          </cell>
          <cell r="D244" t="str">
            <v>EUR</v>
          </cell>
          <cell r="E244">
            <v>0.95599999999999996</v>
          </cell>
          <cell r="F244" t="str">
            <v>EUR/ea</v>
          </cell>
          <cell r="G244" t="str">
            <v>Yes</v>
          </cell>
          <cell r="H244" t="str">
            <v>Draadpen M12, L=100+25 mm</v>
          </cell>
          <cell r="K244" t="str">
            <v>pin</v>
          </cell>
        </row>
        <row r="245">
          <cell r="A245" t="str">
            <v>4INDRP12100AISI 310</v>
          </cell>
          <cell r="B245" t="str">
            <v>OKI</v>
          </cell>
          <cell r="C245" t="str">
            <v>4INDRP12100AISI 310OKI</v>
          </cell>
          <cell r="D245" t="str">
            <v>EUR</v>
          </cell>
          <cell r="E245">
            <v>0.95599999999999996</v>
          </cell>
          <cell r="F245" t="str">
            <v>EUR/ea</v>
          </cell>
          <cell r="G245" t="str">
            <v>Yes</v>
          </cell>
          <cell r="H245" t="str">
            <v>Draadpen M12, L=100+25 mm</v>
          </cell>
          <cell r="K245" t="str">
            <v>pin</v>
          </cell>
        </row>
        <row r="246">
          <cell r="A246" t="str">
            <v>4INDRP12100AISI 310</v>
          </cell>
          <cell r="B246" t="str">
            <v>SILICO</v>
          </cell>
          <cell r="C246" t="str">
            <v>4INDRP12100AISI 310SILICO</v>
          </cell>
          <cell r="D246" t="str">
            <v>EUR</v>
          </cell>
          <cell r="E246">
            <v>0.91</v>
          </cell>
          <cell r="F246" t="str">
            <v>EUR/ea</v>
          </cell>
          <cell r="G246" t="str">
            <v>Yes</v>
          </cell>
          <cell r="H246" t="str">
            <v>Draadpen M12, L=100+25 mm</v>
          </cell>
          <cell r="K246" t="str">
            <v>pin</v>
          </cell>
        </row>
        <row r="247">
          <cell r="A247" t="str">
            <v>4INDRP12100AISI 321</v>
          </cell>
          <cell r="B247" t="str">
            <v>AARDING</v>
          </cell>
          <cell r="C247" t="str">
            <v>4INDRP12100AISI 321AARDING</v>
          </cell>
          <cell r="D247" t="str">
            <v>EUR</v>
          </cell>
          <cell r="E247">
            <v>0.64</v>
          </cell>
          <cell r="F247" t="str">
            <v>EUR/ea</v>
          </cell>
          <cell r="G247" t="str">
            <v>Yes</v>
          </cell>
          <cell r="H247" t="str">
            <v>Draadpen M12, L=100+25 mm</v>
          </cell>
          <cell r="K247" t="str">
            <v>pin</v>
          </cell>
        </row>
        <row r="248">
          <cell r="A248" t="str">
            <v>4INDRP12100AISI 321</v>
          </cell>
          <cell r="B248" t="str">
            <v>OKI</v>
          </cell>
          <cell r="C248" t="str">
            <v>4INDRP12100AISI 321OKI</v>
          </cell>
          <cell r="D248" t="str">
            <v>EUR</v>
          </cell>
          <cell r="E248">
            <v>0.64</v>
          </cell>
          <cell r="F248" t="str">
            <v>EUR/ea</v>
          </cell>
          <cell r="G248" t="str">
            <v>Yes</v>
          </cell>
          <cell r="H248" t="str">
            <v>Draadpen M12, L=100+25 mm</v>
          </cell>
          <cell r="K248" t="str">
            <v>pin</v>
          </cell>
        </row>
        <row r="249">
          <cell r="A249" t="str">
            <v>4INDRP12100AISI 321</v>
          </cell>
          <cell r="B249" t="str">
            <v>SILICO</v>
          </cell>
          <cell r="C249" t="str">
            <v>4INDRP12100AISI 321SILICO</v>
          </cell>
          <cell r="D249" t="str">
            <v>EUR</v>
          </cell>
          <cell r="E249">
            <v>0.61</v>
          </cell>
          <cell r="F249" t="str">
            <v>EUR/ea</v>
          </cell>
          <cell r="G249" t="str">
            <v>Yes</v>
          </cell>
          <cell r="H249" t="str">
            <v>Draadpen M12, L=100+25 mm</v>
          </cell>
          <cell r="K249" t="str">
            <v>pin</v>
          </cell>
        </row>
        <row r="250">
          <cell r="A250" t="str">
            <v>4INDRP12100CS</v>
          </cell>
          <cell r="B250" t="str">
            <v>AARDING</v>
          </cell>
          <cell r="C250" t="str">
            <v>4INDRP12100CSAARDING</v>
          </cell>
          <cell r="D250" t="str">
            <v>EUR</v>
          </cell>
          <cell r="E250">
            <v>0.51500000000000001</v>
          </cell>
          <cell r="F250" t="str">
            <v>EUR/ea</v>
          </cell>
          <cell r="G250" t="str">
            <v>Yes</v>
          </cell>
          <cell r="H250" t="str">
            <v>Draadpen M12, L=100+25 mm</v>
          </cell>
          <cell r="K250" t="str">
            <v>pin</v>
          </cell>
        </row>
        <row r="251">
          <cell r="A251" t="str">
            <v>4INDRP12100CS</v>
          </cell>
          <cell r="B251" t="str">
            <v>OKI</v>
          </cell>
          <cell r="C251" t="str">
            <v>4INDRP12100CSOKI</v>
          </cell>
          <cell r="D251" t="str">
            <v>EUR</v>
          </cell>
          <cell r="E251">
            <v>0.51500000000000001</v>
          </cell>
          <cell r="F251" t="str">
            <v>EUR/ea</v>
          </cell>
          <cell r="G251" t="str">
            <v>Yes</v>
          </cell>
          <cell r="H251" t="str">
            <v>Draadpen M12, L=100+25 mm</v>
          </cell>
          <cell r="K251" t="str">
            <v>pin</v>
          </cell>
        </row>
        <row r="252">
          <cell r="A252" t="str">
            <v>4INDRP12100CS</v>
          </cell>
          <cell r="B252" t="str">
            <v>SILICO</v>
          </cell>
          <cell r="C252" t="str">
            <v>4INDRP12100CSSILICO</v>
          </cell>
          <cell r="D252" t="str">
            <v>EUR</v>
          </cell>
          <cell r="E252">
            <v>0.49</v>
          </cell>
          <cell r="F252" t="str">
            <v>EUR/ea</v>
          </cell>
          <cell r="G252" t="str">
            <v>Yes</v>
          </cell>
          <cell r="H252" t="str">
            <v>Draadpen M12, L=100+25 mm</v>
          </cell>
          <cell r="K252" t="str">
            <v>pin</v>
          </cell>
        </row>
        <row r="253">
          <cell r="A253" t="str">
            <v>4INDRP12150AISI 309</v>
          </cell>
          <cell r="B253" t="str">
            <v>AARDING</v>
          </cell>
          <cell r="C253" t="str">
            <v>4INDRP12150AISI 309AARDING</v>
          </cell>
          <cell r="D253" t="str">
            <v>EUR</v>
          </cell>
          <cell r="E253">
            <v>1.081</v>
          </cell>
          <cell r="F253" t="str">
            <v>EUR/ea</v>
          </cell>
          <cell r="G253" t="str">
            <v>Yes</v>
          </cell>
          <cell r="H253" t="str">
            <v>Draadpen M12, L=150+25 mm</v>
          </cell>
          <cell r="K253" t="str">
            <v>pin</v>
          </cell>
        </row>
        <row r="254">
          <cell r="A254" t="str">
            <v>4INDRP12150AISI 309</v>
          </cell>
          <cell r="B254" t="str">
            <v>OKI</v>
          </cell>
          <cell r="C254" t="str">
            <v>4INDRP12150AISI 309OKI</v>
          </cell>
          <cell r="D254" t="str">
            <v>EUR</v>
          </cell>
          <cell r="E254">
            <v>1.081</v>
          </cell>
          <cell r="F254" t="str">
            <v>EUR/ea</v>
          </cell>
          <cell r="G254" t="str">
            <v>Yes</v>
          </cell>
          <cell r="H254" t="str">
            <v>Draadpen M12, L=150+25 mm</v>
          </cell>
          <cell r="K254" t="str">
            <v>pin</v>
          </cell>
        </row>
        <row r="255">
          <cell r="A255" t="str">
            <v>4INDRP12150AISI 309</v>
          </cell>
          <cell r="B255" t="str">
            <v>SILICO</v>
          </cell>
          <cell r="C255" t="str">
            <v>4INDRP12150AISI 309SILICO</v>
          </cell>
          <cell r="D255" t="str">
            <v>EUR</v>
          </cell>
          <cell r="E255">
            <v>1.03</v>
          </cell>
          <cell r="F255" t="str">
            <v>EUR/ea</v>
          </cell>
          <cell r="G255" t="str">
            <v>Yes</v>
          </cell>
          <cell r="H255" t="str">
            <v>Draadpen M12, L=150+25 mm</v>
          </cell>
          <cell r="K255" t="str">
            <v>pin</v>
          </cell>
        </row>
        <row r="256">
          <cell r="A256" t="str">
            <v>4INDRP12150AISI 310</v>
          </cell>
          <cell r="B256" t="str">
            <v>AARDING</v>
          </cell>
          <cell r="C256" t="str">
            <v>4INDRP12150AISI 310AARDING</v>
          </cell>
          <cell r="D256" t="str">
            <v>EUR</v>
          </cell>
          <cell r="E256">
            <v>1.208</v>
          </cell>
          <cell r="F256" t="str">
            <v>EUR/ea</v>
          </cell>
          <cell r="G256" t="str">
            <v>Yes</v>
          </cell>
          <cell r="H256" t="str">
            <v>Draadpen M12, L=150+25 mm</v>
          </cell>
          <cell r="K256" t="str">
            <v>pin</v>
          </cell>
        </row>
        <row r="257">
          <cell r="A257" t="str">
            <v>4INDRP12150AISI 310</v>
          </cell>
          <cell r="B257" t="str">
            <v>OKI</v>
          </cell>
          <cell r="C257" t="str">
            <v>4INDRP12150AISI 310OKI</v>
          </cell>
          <cell r="D257" t="str">
            <v>EUR</v>
          </cell>
          <cell r="E257">
            <v>1.208</v>
          </cell>
          <cell r="F257" t="str">
            <v>EUR/ea</v>
          </cell>
          <cell r="G257" t="str">
            <v>Yes</v>
          </cell>
          <cell r="H257" t="str">
            <v>Draadpen M12, L=150+25 mm</v>
          </cell>
          <cell r="K257" t="str">
            <v>pin</v>
          </cell>
        </row>
        <row r="258">
          <cell r="A258" t="str">
            <v>4INDRP12150AISI 310</v>
          </cell>
          <cell r="B258" t="str">
            <v>SILICO</v>
          </cell>
          <cell r="C258" t="str">
            <v>4INDRP12150AISI 310SILICO</v>
          </cell>
          <cell r="D258" t="str">
            <v>EUR</v>
          </cell>
          <cell r="E258">
            <v>1.1499999999999999</v>
          </cell>
          <cell r="F258" t="str">
            <v>EUR/ea</v>
          </cell>
          <cell r="G258" t="str">
            <v>Yes</v>
          </cell>
          <cell r="H258" t="str">
            <v>Draadpen M12, L=150+25 mm</v>
          </cell>
          <cell r="K258" t="str">
            <v>pin</v>
          </cell>
        </row>
        <row r="259">
          <cell r="A259" t="str">
            <v>4INDRP12150AISI 321</v>
          </cell>
          <cell r="B259" t="str">
            <v>AARDING</v>
          </cell>
          <cell r="C259" t="str">
            <v>4INDRP12150AISI 321AARDING</v>
          </cell>
          <cell r="D259" t="str">
            <v>EUR</v>
          </cell>
          <cell r="E259">
            <v>0.81899999999999995</v>
          </cell>
          <cell r="F259" t="str">
            <v>EUR/ea</v>
          </cell>
          <cell r="G259" t="str">
            <v>Yes</v>
          </cell>
          <cell r="H259" t="str">
            <v>Draadpen M12, L=150+25 mm</v>
          </cell>
          <cell r="K259" t="str">
            <v>pin</v>
          </cell>
        </row>
        <row r="260">
          <cell r="A260" t="str">
            <v>4INDRP12150AISI 321</v>
          </cell>
          <cell r="B260" t="str">
            <v>OKI</v>
          </cell>
          <cell r="C260" t="str">
            <v>4INDRP12150AISI 321OKI</v>
          </cell>
          <cell r="D260" t="str">
            <v>EUR</v>
          </cell>
          <cell r="E260">
            <v>0.81899999999999995</v>
          </cell>
          <cell r="F260" t="str">
            <v>EUR/ea</v>
          </cell>
          <cell r="G260" t="str">
            <v>Yes</v>
          </cell>
          <cell r="H260" t="str">
            <v>Draadpen M12, L=150+25 mm</v>
          </cell>
          <cell r="K260" t="str">
            <v>pin</v>
          </cell>
        </row>
        <row r="261">
          <cell r="A261" t="str">
            <v>4INDRP12150AISI 321</v>
          </cell>
          <cell r="B261" t="str">
            <v>SILICO</v>
          </cell>
          <cell r="C261" t="str">
            <v>4INDRP12150AISI 321SILICO</v>
          </cell>
          <cell r="D261" t="str">
            <v>EUR</v>
          </cell>
          <cell r="E261">
            <v>0.78</v>
          </cell>
          <cell r="F261" t="str">
            <v>EUR/ea</v>
          </cell>
          <cell r="G261" t="str">
            <v>Yes</v>
          </cell>
          <cell r="H261" t="str">
            <v>Draadpen M12, L=150+25 mm</v>
          </cell>
          <cell r="K261" t="str">
            <v>pin</v>
          </cell>
        </row>
        <row r="262">
          <cell r="A262" t="str">
            <v>4INDRP12150CS</v>
          </cell>
          <cell r="B262" t="str">
            <v>AARDING</v>
          </cell>
          <cell r="C262" t="str">
            <v>4INDRP12150CSAARDING</v>
          </cell>
          <cell r="D262" t="str">
            <v>EUR</v>
          </cell>
          <cell r="E262">
            <v>0.56699999999999995</v>
          </cell>
          <cell r="F262" t="str">
            <v>EUR/ea</v>
          </cell>
          <cell r="G262" t="str">
            <v>Yes</v>
          </cell>
          <cell r="H262" t="str">
            <v>Draadpen M12, L=150+25 mm</v>
          </cell>
          <cell r="K262" t="str">
            <v>pin</v>
          </cell>
        </row>
        <row r="263">
          <cell r="A263" t="str">
            <v>4INDRP12150CS</v>
          </cell>
          <cell r="B263" t="str">
            <v>OKI</v>
          </cell>
          <cell r="C263" t="str">
            <v>4INDRP12150CSOKI</v>
          </cell>
          <cell r="D263" t="str">
            <v>EUR</v>
          </cell>
          <cell r="E263">
            <v>0.56699999999999995</v>
          </cell>
          <cell r="F263" t="str">
            <v>EUR/ea</v>
          </cell>
          <cell r="G263" t="str">
            <v>Yes</v>
          </cell>
          <cell r="H263" t="str">
            <v>Draadpen M12, L=150+25 mm</v>
          </cell>
          <cell r="K263" t="str">
            <v>pin</v>
          </cell>
        </row>
        <row r="264">
          <cell r="A264" t="str">
            <v>4INDRP12150CS</v>
          </cell>
          <cell r="B264" t="str">
            <v>SILICO</v>
          </cell>
          <cell r="C264" t="str">
            <v>4INDRP12150CSSILICO</v>
          </cell>
          <cell r="D264" t="str">
            <v>EUR</v>
          </cell>
          <cell r="E264">
            <v>0.54</v>
          </cell>
          <cell r="F264" t="str">
            <v>EUR/ea</v>
          </cell>
          <cell r="G264" t="str">
            <v>Yes</v>
          </cell>
          <cell r="H264" t="str">
            <v>Draadpen M12, L=150+25 mm</v>
          </cell>
          <cell r="K264" t="str">
            <v>pin</v>
          </cell>
        </row>
        <row r="265">
          <cell r="A265" t="str">
            <v>4INDRP12200AISI 304</v>
          </cell>
          <cell r="B265" t="str">
            <v>AARDING</v>
          </cell>
          <cell r="C265" t="str">
            <v>4INDRP12200AISI 304AARDING</v>
          </cell>
          <cell r="D265" t="str">
            <v>EUR</v>
          </cell>
          <cell r="E265">
            <v>0.89249999999999996</v>
          </cell>
          <cell r="F265" t="str">
            <v>EUR/ea</v>
          </cell>
          <cell r="G265" t="str">
            <v>Yes</v>
          </cell>
          <cell r="H265" t="str">
            <v>Draadpen M12, L=200+25 mm</v>
          </cell>
          <cell r="K265" t="str">
            <v>pin</v>
          </cell>
        </row>
        <row r="266">
          <cell r="A266" t="str">
            <v>4INDRP12200AISI 304</v>
          </cell>
          <cell r="B266" t="str">
            <v>SILICO</v>
          </cell>
          <cell r="C266" t="str">
            <v>4INDRP12200AISI 304SILICO</v>
          </cell>
          <cell r="D266" t="str">
            <v>EUR</v>
          </cell>
          <cell r="E266">
            <v>0.85</v>
          </cell>
          <cell r="F266" t="str">
            <v>EUR/ea</v>
          </cell>
          <cell r="G266" t="str">
            <v>Yes</v>
          </cell>
          <cell r="H266" t="str">
            <v>Draadpen M12, L=200+25 mm</v>
          </cell>
          <cell r="K266" t="str">
            <v>pin</v>
          </cell>
        </row>
        <row r="267">
          <cell r="A267" t="str">
            <v>4INDRP12200AISI 309</v>
          </cell>
          <cell r="B267" t="str">
            <v>AARDING</v>
          </cell>
          <cell r="C267" t="str">
            <v>4INDRP12200AISI 309AARDING</v>
          </cell>
          <cell r="D267" t="str">
            <v>EUR</v>
          </cell>
          <cell r="E267">
            <v>1.302</v>
          </cell>
          <cell r="F267" t="str">
            <v>EUR/ea</v>
          </cell>
          <cell r="G267" t="str">
            <v>Yes</v>
          </cell>
          <cell r="H267" t="str">
            <v>Draadpen M12, L=200+25 mm</v>
          </cell>
          <cell r="K267" t="str">
            <v>pin</v>
          </cell>
        </row>
        <row r="268">
          <cell r="A268" t="str">
            <v>4INDRP12200AISI 309</v>
          </cell>
          <cell r="B268" t="str">
            <v>OKI</v>
          </cell>
          <cell r="C268" t="str">
            <v>4INDRP12200AISI 309OKI</v>
          </cell>
          <cell r="D268" t="str">
            <v>EUR</v>
          </cell>
          <cell r="E268">
            <v>1.302</v>
          </cell>
          <cell r="F268" t="str">
            <v>EUR/ea</v>
          </cell>
          <cell r="G268" t="str">
            <v>Yes</v>
          </cell>
          <cell r="H268" t="str">
            <v>Draadpen M12, L=200+25 mm</v>
          </cell>
          <cell r="K268" t="str">
            <v>pin</v>
          </cell>
        </row>
        <row r="269">
          <cell r="A269" t="str">
            <v>4INDRP12200AISI 309</v>
          </cell>
          <cell r="B269" t="str">
            <v>SILICO</v>
          </cell>
          <cell r="C269" t="str">
            <v>4INDRP12200AISI 309SILICO</v>
          </cell>
          <cell r="D269" t="str">
            <v>EUR</v>
          </cell>
          <cell r="E269">
            <v>1.24</v>
          </cell>
          <cell r="F269" t="str">
            <v>EUR/ea</v>
          </cell>
          <cell r="G269" t="str">
            <v>Yes</v>
          </cell>
          <cell r="H269" t="str">
            <v>Draadpen M12, L=200+25 mm</v>
          </cell>
          <cell r="K269" t="str">
            <v>pin</v>
          </cell>
        </row>
        <row r="270">
          <cell r="A270" t="str">
            <v>4INDRP12200AISI 310</v>
          </cell>
          <cell r="B270" t="str">
            <v>AARDING</v>
          </cell>
          <cell r="C270" t="str">
            <v>4INDRP12200AISI 310AARDING</v>
          </cell>
          <cell r="D270" t="str">
            <v>EUR</v>
          </cell>
          <cell r="E270">
            <v>1.46</v>
          </cell>
          <cell r="F270" t="str">
            <v>EUR/ea</v>
          </cell>
          <cell r="G270" t="str">
            <v>Yes</v>
          </cell>
          <cell r="H270" t="str">
            <v>Draadpen M12, L=200+25 mm</v>
          </cell>
          <cell r="K270" t="str">
            <v>pin</v>
          </cell>
        </row>
        <row r="271">
          <cell r="A271" t="str">
            <v>4INDRP12200AISI 310</v>
          </cell>
          <cell r="B271" t="str">
            <v>OKI</v>
          </cell>
          <cell r="C271" t="str">
            <v>4INDRP12200AISI 310OKI</v>
          </cell>
          <cell r="D271" t="str">
            <v>EUR</v>
          </cell>
          <cell r="E271">
            <v>1.46</v>
          </cell>
          <cell r="F271" t="str">
            <v>EUR/ea</v>
          </cell>
          <cell r="G271" t="str">
            <v>Yes</v>
          </cell>
          <cell r="H271" t="str">
            <v>Draadpen M12, L=200+25 mm</v>
          </cell>
          <cell r="K271" t="str">
            <v>pin</v>
          </cell>
        </row>
        <row r="272">
          <cell r="A272" t="str">
            <v>4INDRP12200AISI 310</v>
          </cell>
          <cell r="B272" t="str">
            <v>SILICO</v>
          </cell>
          <cell r="C272" t="str">
            <v>4INDRP12200AISI 310SILICO</v>
          </cell>
          <cell r="D272" t="str">
            <v>EUR</v>
          </cell>
          <cell r="E272">
            <v>1.39</v>
          </cell>
          <cell r="F272" t="str">
            <v>EUR/ea</v>
          </cell>
          <cell r="G272" t="str">
            <v>Yes</v>
          </cell>
          <cell r="H272" t="str">
            <v>Draadpen M12, L=200+25 mm</v>
          </cell>
          <cell r="K272" t="str">
            <v>pin</v>
          </cell>
        </row>
        <row r="273">
          <cell r="A273" t="str">
            <v>4INDRP12200AISI 321</v>
          </cell>
          <cell r="B273" t="str">
            <v>AARDING</v>
          </cell>
          <cell r="C273" t="str">
            <v>4INDRP12200AISI 321AARDING</v>
          </cell>
          <cell r="D273" t="str">
            <v>EUR</v>
          </cell>
          <cell r="E273">
            <v>0.94499999999999995</v>
          </cell>
          <cell r="F273" t="str">
            <v>EUR/ea</v>
          </cell>
          <cell r="G273" t="str">
            <v>Yes</v>
          </cell>
          <cell r="H273" t="str">
            <v>Draadpen M12, L=200+25 mm</v>
          </cell>
          <cell r="K273" t="str">
            <v>pin</v>
          </cell>
        </row>
        <row r="274">
          <cell r="A274" t="str">
            <v>4INDRP12200AISI 321</v>
          </cell>
          <cell r="B274" t="str">
            <v>OKI</v>
          </cell>
          <cell r="C274" t="str">
            <v>4INDRP12200AISI 321OKI</v>
          </cell>
          <cell r="D274" t="str">
            <v>EUR</v>
          </cell>
          <cell r="E274">
            <v>0.94499999999999995</v>
          </cell>
          <cell r="F274" t="str">
            <v>EUR/ea</v>
          </cell>
          <cell r="G274" t="str">
            <v>Yes</v>
          </cell>
          <cell r="H274" t="str">
            <v>Draadpen M12, L=200+25 mm</v>
          </cell>
          <cell r="K274" t="str">
            <v>pin</v>
          </cell>
        </row>
        <row r="275">
          <cell r="A275" t="str">
            <v>4INDRP12200AISI 321</v>
          </cell>
          <cell r="B275" t="str">
            <v>SILICO</v>
          </cell>
          <cell r="C275" t="str">
            <v>4INDRP12200AISI 321SILICO</v>
          </cell>
          <cell r="D275" t="str">
            <v>EUR</v>
          </cell>
          <cell r="E275">
            <v>0.9</v>
          </cell>
          <cell r="F275" t="str">
            <v>EUR/ea</v>
          </cell>
          <cell r="G275" t="str">
            <v>Yes</v>
          </cell>
          <cell r="H275" t="str">
            <v>Draadpen M12, L=200+25 mm</v>
          </cell>
          <cell r="K275" t="str">
            <v>pin</v>
          </cell>
        </row>
        <row r="276">
          <cell r="A276" t="str">
            <v>4INDRP12200CS</v>
          </cell>
          <cell r="B276" t="str">
            <v>AARDING</v>
          </cell>
          <cell r="C276" t="str">
            <v>4INDRP12200CSAARDING</v>
          </cell>
          <cell r="D276" t="str">
            <v>EUR</v>
          </cell>
          <cell r="E276">
            <v>0.62</v>
          </cell>
          <cell r="F276" t="str">
            <v>EUR/ea</v>
          </cell>
          <cell r="G276" t="str">
            <v>Yes</v>
          </cell>
          <cell r="H276" t="str">
            <v>Draadpen M12, L=200+25 mm</v>
          </cell>
          <cell r="K276" t="str">
            <v>pin</v>
          </cell>
        </row>
        <row r="277">
          <cell r="A277" t="str">
            <v>4INDRP12200CS</v>
          </cell>
          <cell r="B277" t="str">
            <v>OKI</v>
          </cell>
          <cell r="C277" t="str">
            <v>4INDRP12200CSOKI</v>
          </cell>
          <cell r="D277" t="str">
            <v>EUR</v>
          </cell>
          <cell r="E277">
            <v>0.62</v>
          </cell>
          <cell r="F277" t="str">
            <v>EUR/ea</v>
          </cell>
          <cell r="G277" t="str">
            <v>Yes</v>
          </cell>
          <cell r="H277" t="str">
            <v>Draadpen M12, L=200+25 mm</v>
          </cell>
          <cell r="K277" t="str">
            <v>pin</v>
          </cell>
        </row>
        <row r="278">
          <cell r="A278" t="str">
            <v>4INDRP12200CS</v>
          </cell>
          <cell r="B278" t="str">
            <v>SILICO</v>
          </cell>
          <cell r="C278" t="str">
            <v>4INDRP12200CSSILICO</v>
          </cell>
          <cell r="D278" t="str">
            <v>EUR</v>
          </cell>
          <cell r="E278">
            <v>0.59</v>
          </cell>
          <cell r="F278" t="str">
            <v>EUR/ea</v>
          </cell>
          <cell r="G278" t="str">
            <v>Yes</v>
          </cell>
          <cell r="H278" t="str">
            <v>Draadpen M12, L=200+25 mm</v>
          </cell>
          <cell r="K278" t="str">
            <v>pin</v>
          </cell>
        </row>
        <row r="279">
          <cell r="A279" t="str">
            <v>4INDRP12250AISI 309</v>
          </cell>
          <cell r="B279" t="str">
            <v>AARDING</v>
          </cell>
          <cell r="C279" t="str">
            <v>4INDRP12250AISI 309AARDING</v>
          </cell>
          <cell r="D279" t="str">
            <v>EUR</v>
          </cell>
          <cell r="E279">
            <v>1.5229999999999999</v>
          </cell>
          <cell r="F279" t="str">
            <v>EUR/ea</v>
          </cell>
          <cell r="G279" t="str">
            <v>Yes</v>
          </cell>
          <cell r="H279" t="str">
            <v>Draadpen M12, L=250+25 mm</v>
          </cell>
          <cell r="K279" t="str">
            <v>pin</v>
          </cell>
        </row>
        <row r="280">
          <cell r="A280" t="str">
            <v>4INDRP12250AISI 309</v>
          </cell>
          <cell r="B280" t="str">
            <v>OKI</v>
          </cell>
          <cell r="C280" t="str">
            <v>4INDRP12250AISI 309OKI</v>
          </cell>
          <cell r="D280" t="str">
            <v>EUR</v>
          </cell>
          <cell r="E280">
            <v>1.5229999999999999</v>
          </cell>
          <cell r="F280" t="str">
            <v>EUR/ea</v>
          </cell>
          <cell r="G280" t="str">
            <v>Yes</v>
          </cell>
          <cell r="H280" t="str">
            <v>Draadpen M12, L=250+25 mm</v>
          </cell>
          <cell r="K280" t="str">
            <v>pin</v>
          </cell>
        </row>
        <row r="281">
          <cell r="A281" t="str">
            <v>4INDRP12250AISI 309</v>
          </cell>
          <cell r="B281" t="str">
            <v>SILICO</v>
          </cell>
          <cell r="C281" t="str">
            <v>4INDRP12250AISI 309SILICO</v>
          </cell>
          <cell r="D281" t="str">
            <v>EUR</v>
          </cell>
          <cell r="E281">
            <v>1.45</v>
          </cell>
          <cell r="F281" t="str">
            <v>EUR/ea</v>
          </cell>
          <cell r="G281" t="str">
            <v>Yes</v>
          </cell>
          <cell r="H281" t="str">
            <v>Draadpen M12, L=250+25 mm</v>
          </cell>
          <cell r="K281" t="str">
            <v>pin</v>
          </cell>
        </row>
        <row r="282">
          <cell r="A282" t="str">
            <v>4INDRP12250AISI 310</v>
          </cell>
          <cell r="B282" t="str">
            <v>AARDING</v>
          </cell>
          <cell r="C282" t="str">
            <v>4INDRP12250AISI 310AARDING</v>
          </cell>
          <cell r="D282" t="str">
            <v>EUR</v>
          </cell>
          <cell r="E282">
            <v>1.712</v>
          </cell>
          <cell r="F282" t="str">
            <v>EUR/ea</v>
          </cell>
          <cell r="G282" t="str">
            <v>Yes</v>
          </cell>
          <cell r="H282" t="str">
            <v>Draadpen M12, L=250+25 mm</v>
          </cell>
          <cell r="K282" t="str">
            <v>pin</v>
          </cell>
        </row>
        <row r="283">
          <cell r="A283" t="str">
            <v>4INDRP12250AISI 310</v>
          </cell>
          <cell r="B283" t="str">
            <v>OKI</v>
          </cell>
          <cell r="C283" t="str">
            <v>4INDRP12250AISI 310OKI</v>
          </cell>
          <cell r="D283" t="str">
            <v>EUR</v>
          </cell>
          <cell r="E283">
            <v>1.712</v>
          </cell>
          <cell r="F283" t="str">
            <v>EUR/ea</v>
          </cell>
          <cell r="G283" t="str">
            <v>Yes</v>
          </cell>
          <cell r="H283" t="str">
            <v>Draadpen M12, L=250+25 mm</v>
          </cell>
          <cell r="K283" t="str">
            <v>pin</v>
          </cell>
        </row>
        <row r="284">
          <cell r="A284" t="str">
            <v>4INDRP12250AISI 310</v>
          </cell>
          <cell r="B284" t="str">
            <v>SILICO</v>
          </cell>
          <cell r="C284" t="str">
            <v>4INDRP12250AISI 310SILICO</v>
          </cell>
          <cell r="D284" t="str">
            <v>EUR</v>
          </cell>
          <cell r="E284">
            <v>1.63</v>
          </cell>
          <cell r="F284" t="str">
            <v>EUR/ea</v>
          </cell>
          <cell r="G284" t="str">
            <v>Yes</v>
          </cell>
          <cell r="H284" t="str">
            <v>Draadpen M12, L=250+25 mm</v>
          </cell>
          <cell r="K284" t="str">
            <v>pin</v>
          </cell>
        </row>
        <row r="285">
          <cell r="A285" t="str">
            <v>4INDRP12250AISI 321</v>
          </cell>
          <cell r="B285" t="str">
            <v>AARDING</v>
          </cell>
          <cell r="C285" t="str">
            <v>4INDRP12250AISI 321AARDING</v>
          </cell>
          <cell r="D285" t="str">
            <v>EUR</v>
          </cell>
          <cell r="E285">
            <v>1.097</v>
          </cell>
          <cell r="F285" t="str">
            <v>EUR/ea</v>
          </cell>
          <cell r="G285" t="str">
            <v>Yes</v>
          </cell>
          <cell r="H285" t="str">
            <v>Draadpen M12, L=250+25 mm</v>
          </cell>
          <cell r="K285" t="str">
            <v>pin</v>
          </cell>
        </row>
        <row r="286">
          <cell r="A286" t="str">
            <v>4INDRP12250AISI 321</v>
          </cell>
          <cell r="B286" t="str">
            <v>OKI</v>
          </cell>
          <cell r="C286" t="str">
            <v>4INDRP12250AISI 321OKI</v>
          </cell>
          <cell r="D286" t="str">
            <v>EUR</v>
          </cell>
          <cell r="E286">
            <v>1.097</v>
          </cell>
          <cell r="F286" t="str">
            <v>EUR/ea</v>
          </cell>
          <cell r="G286" t="str">
            <v>Yes</v>
          </cell>
          <cell r="H286" t="str">
            <v>Draadpen M12, L=250+25 mm</v>
          </cell>
          <cell r="K286" t="str">
            <v>pin</v>
          </cell>
        </row>
        <row r="287">
          <cell r="A287" t="str">
            <v>4INDRP12250AISI 321</v>
          </cell>
          <cell r="B287" t="str">
            <v>SILICO</v>
          </cell>
          <cell r="C287" t="str">
            <v>4INDRP12250AISI 321SILICO</v>
          </cell>
          <cell r="D287" t="str">
            <v>EUR</v>
          </cell>
          <cell r="E287">
            <v>1.0449999999999999</v>
          </cell>
          <cell r="F287" t="str">
            <v>EUR/ea</v>
          </cell>
          <cell r="G287" t="str">
            <v>Yes</v>
          </cell>
          <cell r="H287" t="str">
            <v>Draadpen M12, L=250+25 mm</v>
          </cell>
          <cell r="K287" t="str">
            <v>pin</v>
          </cell>
        </row>
        <row r="288">
          <cell r="A288" t="str">
            <v>4INDRP12250CS</v>
          </cell>
          <cell r="B288" t="str">
            <v>AARDING</v>
          </cell>
          <cell r="C288" t="str">
            <v>4INDRP12250CSAARDING</v>
          </cell>
          <cell r="D288" t="str">
            <v>EUR</v>
          </cell>
          <cell r="E288">
            <v>0.6825</v>
          </cell>
          <cell r="F288" t="str">
            <v>EUR/ea</v>
          </cell>
          <cell r="G288" t="str">
            <v>Yes</v>
          </cell>
          <cell r="H288" t="str">
            <v>Draadpen M12, L=250+25 mm</v>
          </cell>
          <cell r="K288" t="str">
            <v>pin</v>
          </cell>
        </row>
        <row r="289">
          <cell r="A289" t="str">
            <v>4INDRP12250CS</v>
          </cell>
          <cell r="B289" t="str">
            <v>OKI</v>
          </cell>
          <cell r="C289" t="str">
            <v>4INDRP12250CSOKI</v>
          </cell>
          <cell r="D289" t="str">
            <v>EUR</v>
          </cell>
          <cell r="E289">
            <v>0.6825</v>
          </cell>
          <cell r="F289" t="str">
            <v>EUR/ea</v>
          </cell>
          <cell r="G289" t="str">
            <v>Yes</v>
          </cell>
          <cell r="H289" t="str">
            <v>Draadpen M12, L=250+25 mm</v>
          </cell>
          <cell r="K289" t="str">
            <v>pin</v>
          </cell>
        </row>
        <row r="290">
          <cell r="A290" t="str">
            <v>4INDRP12250CS</v>
          </cell>
          <cell r="B290" t="str">
            <v>SILICO</v>
          </cell>
          <cell r="C290" t="str">
            <v>4INDRP12250CSSILICO</v>
          </cell>
          <cell r="D290" t="str">
            <v>EUR</v>
          </cell>
          <cell r="E290">
            <v>0.65</v>
          </cell>
          <cell r="F290" t="str">
            <v>EUR/ea</v>
          </cell>
          <cell r="G290" t="str">
            <v>Yes</v>
          </cell>
          <cell r="H290" t="str">
            <v>Draadpen M12, L=250+25 mm</v>
          </cell>
          <cell r="K290" t="str">
            <v>pin</v>
          </cell>
        </row>
        <row r="291">
          <cell r="A291" t="str">
            <v>4INDRP12300AISI 309</v>
          </cell>
          <cell r="B291" t="str">
            <v>AARDING</v>
          </cell>
          <cell r="C291" t="str">
            <v>4INDRP12300AISI 309AARDING</v>
          </cell>
          <cell r="D291" t="str">
            <v>EUR</v>
          </cell>
          <cell r="E291">
            <v>1.7430000000000001</v>
          </cell>
          <cell r="F291" t="str">
            <v>EUR/ea</v>
          </cell>
          <cell r="G291" t="str">
            <v>Yes</v>
          </cell>
          <cell r="H291" t="str">
            <v>Draadpen M12, L=300+25 mm</v>
          </cell>
          <cell r="K291" t="str">
            <v>pin</v>
          </cell>
        </row>
        <row r="292">
          <cell r="A292" t="str">
            <v>4INDRP12300AISI 309</v>
          </cell>
          <cell r="B292" t="str">
            <v>OKI</v>
          </cell>
          <cell r="C292" t="str">
            <v>4INDRP12300AISI 309OKI</v>
          </cell>
          <cell r="D292" t="str">
            <v>EUR</v>
          </cell>
          <cell r="E292">
            <v>1.7430000000000001</v>
          </cell>
          <cell r="F292" t="str">
            <v>EUR/ea</v>
          </cell>
          <cell r="G292" t="str">
            <v>Yes</v>
          </cell>
          <cell r="H292" t="str">
            <v>Draadpen M12, L=300+25 mm</v>
          </cell>
          <cell r="K292" t="str">
            <v>pin</v>
          </cell>
        </row>
        <row r="293">
          <cell r="A293" t="str">
            <v>4INDRP12300AISI 309</v>
          </cell>
          <cell r="B293" t="str">
            <v>SILICO</v>
          </cell>
          <cell r="C293" t="str">
            <v>4INDRP12300AISI 309SILICO</v>
          </cell>
          <cell r="D293" t="str">
            <v>EUR</v>
          </cell>
          <cell r="E293">
            <v>1.66</v>
          </cell>
          <cell r="F293" t="str">
            <v>EUR/ea</v>
          </cell>
          <cell r="G293" t="str">
            <v>Yes</v>
          </cell>
          <cell r="H293" t="str">
            <v>Draadpen M12, L=300+25 mm</v>
          </cell>
          <cell r="K293" t="str">
            <v>pin</v>
          </cell>
        </row>
        <row r="294">
          <cell r="A294" t="str">
            <v>4INDRP12300AISI 310</v>
          </cell>
          <cell r="B294" t="str">
            <v>AARDING</v>
          </cell>
          <cell r="C294" t="str">
            <v>4INDRP12300AISI 310AARDING</v>
          </cell>
          <cell r="D294" t="str">
            <v>EUR</v>
          </cell>
          <cell r="E294">
            <v>1.964</v>
          </cell>
          <cell r="F294" t="str">
            <v>EUR/ea</v>
          </cell>
          <cell r="G294" t="str">
            <v>Yes</v>
          </cell>
          <cell r="H294" t="str">
            <v>Draadpen M12, L=300+25 mm</v>
          </cell>
          <cell r="K294" t="str">
            <v>pin</v>
          </cell>
        </row>
        <row r="295">
          <cell r="A295" t="str">
            <v>4INDRP12300AISI 310</v>
          </cell>
          <cell r="B295" t="str">
            <v>OKI</v>
          </cell>
          <cell r="C295" t="str">
            <v>4INDRP12300AISI 310OKI</v>
          </cell>
          <cell r="D295" t="str">
            <v>EUR</v>
          </cell>
          <cell r="E295">
            <v>1.964</v>
          </cell>
          <cell r="F295" t="str">
            <v>EUR/ea</v>
          </cell>
          <cell r="G295" t="str">
            <v>Yes</v>
          </cell>
          <cell r="H295" t="str">
            <v>Draadpen M12, L=300+25 mm</v>
          </cell>
          <cell r="K295" t="str">
            <v>pin</v>
          </cell>
        </row>
        <row r="296">
          <cell r="A296" t="str">
            <v>4INDRP12300AISI 310</v>
          </cell>
          <cell r="B296" t="str">
            <v>SILICO</v>
          </cell>
          <cell r="C296" t="str">
            <v>4INDRP12300AISI 310SILICO</v>
          </cell>
          <cell r="D296" t="str">
            <v>EUR</v>
          </cell>
          <cell r="E296">
            <v>1.87</v>
          </cell>
          <cell r="F296" t="str">
            <v>EUR/ea</v>
          </cell>
          <cell r="G296" t="str">
            <v>Yes</v>
          </cell>
          <cell r="H296" t="str">
            <v>Draadpen M12, L=300+25 mm</v>
          </cell>
          <cell r="K296" t="str">
            <v>pin</v>
          </cell>
        </row>
        <row r="297">
          <cell r="A297" t="str">
            <v>4INDRP12300AISI 321</v>
          </cell>
          <cell r="B297" t="str">
            <v>AARDING</v>
          </cell>
          <cell r="C297" t="str">
            <v>4INDRP12300AISI 321AARDING</v>
          </cell>
          <cell r="D297" t="str">
            <v>EUR</v>
          </cell>
          <cell r="E297">
            <v>1.4810000000000001</v>
          </cell>
          <cell r="F297" t="str">
            <v>EUR/ea</v>
          </cell>
          <cell r="G297" t="str">
            <v>Yes</v>
          </cell>
          <cell r="H297" t="str">
            <v>Draadpen M12, L=300+25 mm</v>
          </cell>
          <cell r="K297" t="str">
            <v>pin</v>
          </cell>
        </row>
        <row r="298">
          <cell r="A298" t="str">
            <v>4INDRP12300AISI 321</v>
          </cell>
          <cell r="B298" t="str">
            <v>OKI</v>
          </cell>
          <cell r="C298" t="str">
            <v>4INDRP12300AISI 321OKI</v>
          </cell>
          <cell r="D298" t="str">
            <v>EUR</v>
          </cell>
          <cell r="E298">
            <v>1.4810000000000001</v>
          </cell>
          <cell r="F298" t="str">
            <v>EUR/ea</v>
          </cell>
          <cell r="G298" t="str">
            <v>Yes</v>
          </cell>
          <cell r="H298" t="str">
            <v>Draadpen M12, L=300+25 mm</v>
          </cell>
          <cell r="K298" t="str">
            <v>pin</v>
          </cell>
        </row>
        <row r="299">
          <cell r="A299" t="str">
            <v>4INDRP12300AISI 321</v>
          </cell>
          <cell r="B299" t="str">
            <v>SILICO</v>
          </cell>
          <cell r="C299" t="str">
            <v>4INDRP12300AISI 321SILICO</v>
          </cell>
          <cell r="D299" t="str">
            <v>EUR</v>
          </cell>
          <cell r="E299">
            <v>1.41</v>
          </cell>
          <cell r="F299" t="str">
            <v>EUR/ea</v>
          </cell>
          <cell r="G299" t="str">
            <v>Yes</v>
          </cell>
          <cell r="H299" t="str">
            <v>Draadpen M12, L=300+25 mm</v>
          </cell>
          <cell r="K299" t="str">
            <v>pin</v>
          </cell>
        </row>
        <row r="300">
          <cell r="A300" t="str">
            <v>4INDRP12300CS</v>
          </cell>
          <cell r="B300" t="str">
            <v>AARDING</v>
          </cell>
          <cell r="C300" t="str">
            <v>4INDRP12300CSAARDING</v>
          </cell>
          <cell r="D300" t="str">
            <v>EUR</v>
          </cell>
          <cell r="E300">
            <v>0.75600000000000001</v>
          </cell>
          <cell r="F300" t="str">
            <v>EUR/ea</v>
          </cell>
          <cell r="G300" t="str">
            <v>Yes</v>
          </cell>
          <cell r="H300" t="str">
            <v>Draadpen M12, L=300+25 mm</v>
          </cell>
          <cell r="K300" t="str">
            <v>pin</v>
          </cell>
        </row>
        <row r="301">
          <cell r="A301" t="str">
            <v>4INDRP12300CS</v>
          </cell>
          <cell r="B301" t="str">
            <v>OKI</v>
          </cell>
          <cell r="C301" t="str">
            <v>4INDRP12300CSOKI</v>
          </cell>
          <cell r="D301" t="str">
            <v>EUR</v>
          </cell>
          <cell r="E301">
            <v>0.75600000000000001</v>
          </cell>
          <cell r="F301" t="str">
            <v>EUR/ea</v>
          </cell>
          <cell r="G301" t="str">
            <v>Yes</v>
          </cell>
          <cell r="H301" t="str">
            <v>Draadpen M12, L=300+25 mm</v>
          </cell>
          <cell r="K301" t="str">
            <v>pin</v>
          </cell>
        </row>
        <row r="302">
          <cell r="A302" t="str">
            <v>4INDRP12300CS</v>
          </cell>
          <cell r="B302" t="str">
            <v>SILICO</v>
          </cell>
          <cell r="C302" t="str">
            <v>4INDRP12300CSSILICO</v>
          </cell>
          <cell r="D302" t="str">
            <v>EUR</v>
          </cell>
          <cell r="E302">
            <v>0.72</v>
          </cell>
          <cell r="F302" t="str">
            <v>EUR/ea</v>
          </cell>
          <cell r="G302" t="str">
            <v>Yes</v>
          </cell>
          <cell r="H302" t="str">
            <v>Draadpen M12, L=300+25 mm</v>
          </cell>
          <cell r="K302" t="str">
            <v>pin</v>
          </cell>
        </row>
        <row r="303">
          <cell r="A303" t="str">
            <v>4INE 128</v>
          </cell>
          <cell r="B303" t="str">
            <v>INSULC</v>
          </cell>
          <cell r="C303" t="str">
            <v>4INE 128INSULC</v>
          </cell>
          <cell r="D303" t="str">
            <v>Eur</v>
          </cell>
          <cell r="E303">
            <v>1.73</v>
          </cell>
          <cell r="F303" t="str">
            <v>Eur/kg</v>
          </cell>
          <cell r="G303" t="str">
            <v>Yes</v>
          </cell>
          <cell r="H303" t="str">
            <v>Ceramic Insul. blanket "Carbolane"</v>
          </cell>
          <cell r="K303" t="str">
            <v>wool</v>
          </cell>
        </row>
        <row r="304">
          <cell r="A304" t="str">
            <v>4INE 128</v>
          </cell>
          <cell r="B304" t="str">
            <v>OKI</v>
          </cell>
          <cell r="C304" t="str">
            <v>4INE 128OKI</v>
          </cell>
          <cell r="D304" t="str">
            <v>EUR</v>
          </cell>
          <cell r="E304">
            <v>1.78</v>
          </cell>
          <cell r="F304" t="str">
            <v>EUR/kg</v>
          </cell>
          <cell r="G304" t="str">
            <v>Yes</v>
          </cell>
          <cell r="H304" t="str">
            <v>Insul. blanket ceramic fiber</v>
          </cell>
          <cell r="K304" t="str">
            <v>wool</v>
          </cell>
        </row>
        <row r="305">
          <cell r="A305" t="str">
            <v>4INE 160</v>
          </cell>
          <cell r="B305" t="str">
            <v>INSULC</v>
          </cell>
          <cell r="C305" t="str">
            <v>4INE 160INSULC</v>
          </cell>
          <cell r="D305" t="str">
            <v>Eur</v>
          </cell>
          <cell r="E305">
            <v>1.73</v>
          </cell>
          <cell r="F305" t="str">
            <v>Eur/kg</v>
          </cell>
          <cell r="G305" t="str">
            <v>Yes</v>
          </cell>
          <cell r="H305" t="str">
            <v>Ceramic Insul. blanket "Carbolane"</v>
          </cell>
          <cell r="K305" t="str">
            <v>wool</v>
          </cell>
        </row>
        <row r="306">
          <cell r="A306" t="str">
            <v>4INE 160</v>
          </cell>
          <cell r="B306" t="str">
            <v>OKI</v>
          </cell>
          <cell r="C306" t="str">
            <v>4INE 160OKI</v>
          </cell>
          <cell r="D306" t="str">
            <v>EUR</v>
          </cell>
          <cell r="E306">
            <v>1.78</v>
          </cell>
          <cell r="F306" t="str">
            <v>EUR/kg</v>
          </cell>
          <cell r="G306" t="str">
            <v>Yes</v>
          </cell>
          <cell r="H306" t="str">
            <v>Insul. blanket ceramic fiber</v>
          </cell>
          <cell r="K306" t="str">
            <v>wool</v>
          </cell>
        </row>
        <row r="307">
          <cell r="A307" t="str">
            <v>4INE 64</v>
          </cell>
          <cell r="B307" t="str">
            <v>INSULC</v>
          </cell>
          <cell r="C307" t="str">
            <v>4INE 64INSULC</v>
          </cell>
          <cell r="D307" t="str">
            <v>Eur</v>
          </cell>
          <cell r="E307">
            <v>1.73</v>
          </cell>
          <cell r="F307" t="str">
            <v>Eur/kg</v>
          </cell>
          <cell r="G307" t="str">
            <v>Yes</v>
          </cell>
          <cell r="H307" t="str">
            <v>Ceramic Insul. blanket "Carbolane"</v>
          </cell>
          <cell r="K307" t="str">
            <v>wool</v>
          </cell>
        </row>
        <row r="308">
          <cell r="A308" t="str">
            <v>4INE 64</v>
          </cell>
          <cell r="B308" t="str">
            <v>OKI</v>
          </cell>
          <cell r="C308" t="str">
            <v>4INE 64OKI</v>
          </cell>
          <cell r="D308" t="str">
            <v>EUR</v>
          </cell>
          <cell r="E308">
            <v>1.78</v>
          </cell>
          <cell r="F308" t="str">
            <v>EUR/kg</v>
          </cell>
          <cell r="G308" t="str">
            <v>Yes</v>
          </cell>
          <cell r="H308" t="str">
            <v>Insul. blanket ceramic fiber</v>
          </cell>
          <cell r="K308" t="str">
            <v>wool</v>
          </cell>
        </row>
        <row r="309">
          <cell r="A309" t="str">
            <v>4INE 96</v>
          </cell>
          <cell r="B309" t="str">
            <v>INSULC</v>
          </cell>
          <cell r="C309" t="str">
            <v>4INE 96INSULC</v>
          </cell>
          <cell r="D309" t="str">
            <v>Eur</v>
          </cell>
          <cell r="E309">
            <v>1.73</v>
          </cell>
          <cell r="F309" t="str">
            <v>Eur/kg</v>
          </cell>
          <cell r="G309" t="str">
            <v>Yes</v>
          </cell>
          <cell r="H309" t="str">
            <v>Ceramic Insul. blanket "Carbolane"</v>
          </cell>
          <cell r="K309" t="str">
            <v>wool</v>
          </cell>
        </row>
        <row r="310">
          <cell r="A310" t="str">
            <v>4INE 96</v>
          </cell>
          <cell r="B310" t="str">
            <v>OKI</v>
          </cell>
          <cell r="C310" t="str">
            <v>4INE 96OKI</v>
          </cell>
          <cell r="D310" t="str">
            <v>EUR</v>
          </cell>
          <cell r="E310">
            <v>1.78</v>
          </cell>
          <cell r="F310" t="str">
            <v>EUR/kg</v>
          </cell>
          <cell r="G310" t="str">
            <v>Yes</v>
          </cell>
          <cell r="H310" t="str">
            <v>Insul. blanket ceramic fiber</v>
          </cell>
          <cell r="K310" t="str">
            <v>wool</v>
          </cell>
        </row>
        <row r="311">
          <cell r="A311" t="str">
            <v>4INI 128</v>
          </cell>
          <cell r="B311" t="str">
            <v>INSULC</v>
          </cell>
          <cell r="C311" t="str">
            <v>4INI 128INSULC</v>
          </cell>
          <cell r="D311" t="str">
            <v>US$</v>
          </cell>
          <cell r="E311">
            <v>3</v>
          </cell>
          <cell r="F311" t="str">
            <v>US$/kg</v>
          </cell>
          <cell r="G311" t="str">
            <v>Yes</v>
          </cell>
          <cell r="H311" t="str">
            <v>Insul. blanket Insulfrax, acc.D13 spec</v>
          </cell>
          <cell r="K311" t="str">
            <v>wool</v>
          </cell>
        </row>
        <row r="312">
          <cell r="A312" t="str">
            <v>4INI 128</v>
          </cell>
          <cell r="B312" t="str">
            <v>OKI</v>
          </cell>
          <cell r="C312" t="str">
            <v>4INI 128OKI</v>
          </cell>
          <cell r="D312" t="str">
            <v>US$</v>
          </cell>
          <cell r="E312">
            <v>3.1</v>
          </cell>
          <cell r="F312" t="str">
            <v>US$/kg</v>
          </cell>
          <cell r="G312" t="str">
            <v>Yes</v>
          </cell>
          <cell r="H312" t="str">
            <v>Insul. blanket Insulfrax</v>
          </cell>
          <cell r="K312" t="str">
            <v>wool</v>
          </cell>
        </row>
        <row r="313">
          <cell r="A313" t="str">
            <v>4INI 160</v>
          </cell>
          <cell r="B313" t="str">
            <v>INSULC</v>
          </cell>
          <cell r="C313" t="str">
            <v>4INI 160INSULC</v>
          </cell>
          <cell r="D313" t="str">
            <v>US$</v>
          </cell>
          <cell r="E313">
            <v>3</v>
          </cell>
          <cell r="F313" t="str">
            <v>US$/kg</v>
          </cell>
          <cell r="G313" t="str">
            <v>Yes</v>
          </cell>
          <cell r="H313" t="str">
            <v>Insul. blanket Insulfrax, acc.D13 spec</v>
          </cell>
          <cell r="K313" t="str">
            <v>wool</v>
          </cell>
        </row>
        <row r="314">
          <cell r="A314" t="str">
            <v>4INI 160</v>
          </cell>
          <cell r="B314" t="str">
            <v>OKI</v>
          </cell>
          <cell r="C314" t="str">
            <v>4INI 160OKI</v>
          </cell>
          <cell r="D314" t="str">
            <v>US$</v>
          </cell>
          <cell r="E314">
            <v>3.1</v>
          </cell>
          <cell r="F314" t="str">
            <v>US$/kg</v>
          </cell>
          <cell r="G314" t="str">
            <v>Yes</v>
          </cell>
          <cell r="H314" t="str">
            <v>Insul. blanket Insulfrax</v>
          </cell>
          <cell r="K314" t="str">
            <v>wool</v>
          </cell>
        </row>
        <row r="315">
          <cell r="A315" t="str">
            <v>4INI 64</v>
          </cell>
          <cell r="B315" t="str">
            <v>INSULC</v>
          </cell>
          <cell r="C315" t="str">
            <v>4INI 64INSULC</v>
          </cell>
          <cell r="D315" t="str">
            <v>US$</v>
          </cell>
          <cell r="E315">
            <v>3</v>
          </cell>
          <cell r="F315" t="str">
            <v>US$/kg</v>
          </cell>
          <cell r="G315" t="str">
            <v>Yes</v>
          </cell>
          <cell r="H315" t="str">
            <v>Insul. blanket Insulfrax, acc.D13 spec</v>
          </cell>
          <cell r="K315" t="str">
            <v>wool</v>
          </cell>
        </row>
        <row r="316">
          <cell r="A316" t="str">
            <v>4INI 64</v>
          </cell>
          <cell r="B316" t="str">
            <v>OKI</v>
          </cell>
          <cell r="C316" t="str">
            <v>4INI 64OKI</v>
          </cell>
          <cell r="D316" t="str">
            <v>US$</v>
          </cell>
          <cell r="E316">
            <v>3.1</v>
          </cell>
          <cell r="F316" t="str">
            <v>US$/kg</v>
          </cell>
          <cell r="G316" t="str">
            <v>Yes</v>
          </cell>
          <cell r="H316" t="str">
            <v>Insul. blanket Insulfrax</v>
          </cell>
          <cell r="K316" t="str">
            <v>wool</v>
          </cell>
        </row>
        <row r="317">
          <cell r="A317" t="str">
            <v>4INI 96</v>
          </cell>
          <cell r="B317" t="str">
            <v>INSULC</v>
          </cell>
          <cell r="C317" t="str">
            <v>4INI 96INSULC</v>
          </cell>
          <cell r="D317" t="str">
            <v>US$</v>
          </cell>
          <cell r="E317">
            <v>3</v>
          </cell>
          <cell r="F317" t="str">
            <v>US$/kg</v>
          </cell>
          <cell r="G317" t="str">
            <v>Yes</v>
          </cell>
          <cell r="H317" t="str">
            <v>Insul. blanket Insulfrax, acc.D13 spec</v>
          </cell>
          <cell r="K317" t="str">
            <v>wool</v>
          </cell>
        </row>
        <row r="318">
          <cell r="A318" t="str">
            <v>4INI 96</v>
          </cell>
          <cell r="B318" t="str">
            <v>OKI</v>
          </cell>
          <cell r="C318" t="str">
            <v>4INI 96OKI</v>
          </cell>
          <cell r="D318" t="str">
            <v>US$</v>
          </cell>
          <cell r="E318">
            <v>3.1</v>
          </cell>
          <cell r="F318" t="str">
            <v>US$/kg</v>
          </cell>
          <cell r="G318" t="str">
            <v>Yes</v>
          </cell>
          <cell r="H318" t="str">
            <v>Insul. blanket Insulfrax</v>
          </cell>
          <cell r="K318" t="str">
            <v>wool</v>
          </cell>
        </row>
        <row r="319">
          <cell r="A319" t="str">
            <v>4INK 160</v>
          </cell>
          <cell r="B319" t="str">
            <v>GoudaV</v>
          </cell>
          <cell r="C319" t="str">
            <v>4INK 160GoudaV</v>
          </cell>
          <cell r="D319" t="str">
            <v>EUR</v>
          </cell>
          <cell r="E319">
            <v>3.6</v>
          </cell>
          <cell r="F319" t="str">
            <v>EUR/kg</v>
          </cell>
          <cell r="G319" t="str">
            <v>Yes</v>
          </cell>
          <cell r="H319" t="str">
            <v>Insul. blanket Kerlane 50 or Kerlane 45 (same price)</v>
          </cell>
          <cell r="K319" t="str">
            <v>wool</v>
          </cell>
        </row>
        <row r="320">
          <cell r="A320" t="str">
            <v>4INM12AISI 304</v>
          </cell>
          <cell r="B320" t="str">
            <v>AARDING</v>
          </cell>
          <cell r="C320" t="str">
            <v>4INM12AISI 304AARDING</v>
          </cell>
          <cell r="D320" t="str">
            <v>EUR</v>
          </cell>
          <cell r="E320">
            <v>9.5500000000000002E-2</v>
          </cell>
          <cell r="F320" t="str">
            <v>EUR/ea</v>
          </cell>
          <cell r="G320" t="str">
            <v>Yes</v>
          </cell>
          <cell r="H320" t="str">
            <v>Nut M12, h=0.8"</v>
          </cell>
          <cell r="K320" t="str">
            <v>nut</v>
          </cell>
        </row>
        <row r="321">
          <cell r="A321" t="str">
            <v>4INM12AISI 304</v>
          </cell>
          <cell r="B321" t="str">
            <v>OKI</v>
          </cell>
          <cell r="C321" t="str">
            <v>4INM12AISI 304OKI</v>
          </cell>
          <cell r="D321" t="str">
            <v>EUR</v>
          </cell>
          <cell r="E321">
            <v>9.5500000000000002E-2</v>
          </cell>
          <cell r="F321" t="str">
            <v>EUR/ea</v>
          </cell>
          <cell r="G321" t="str">
            <v>Yes</v>
          </cell>
          <cell r="H321" t="str">
            <v>Nut M12, h=0.8"</v>
          </cell>
          <cell r="K321" t="str">
            <v>nut</v>
          </cell>
        </row>
        <row r="322">
          <cell r="A322" t="str">
            <v>4INM12AISI 304</v>
          </cell>
          <cell r="B322" t="str">
            <v>SILICO</v>
          </cell>
          <cell r="C322" t="str">
            <v>4INM12AISI 304SILICO</v>
          </cell>
          <cell r="D322" t="str">
            <v>EUR</v>
          </cell>
          <cell r="E322">
            <v>9.0999999999999998E-2</v>
          </cell>
          <cell r="F322" t="str">
            <v>EUR/ea</v>
          </cell>
          <cell r="G322" t="str">
            <v>Yes</v>
          </cell>
          <cell r="H322" t="str">
            <v>Nut M12, h=0.8"</v>
          </cell>
          <cell r="K322" t="str">
            <v>nut</v>
          </cell>
        </row>
        <row r="323">
          <cell r="A323" t="str">
            <v>4INM12AISI 309</v>
          </cell>
          <cell r="B323" t="str">
            <v>AARDING</v>
          </cell>
          <cell r="C323" t="str">
            <v>4INM12AISI 309AARDING</v>
          </cell>
          <cell r="D323" t="str">
            <v>EUR</v>
          </cell>
          <cell r="E323">
            <v>0.59</v>
          </cell>
          <cell r="F323" t="str">
            <v>EUR/ea</v>
          </cell>
          <cell r="G323" t="str">
            <v>Yes</v>
          </cell>
          <cell r="H323" t="str">
            <v>Nut M12, h=0.8"</v>
          </cell>
          <cell r="K323" t="str">
            <v>nut</v>
          </cell>
        </row>
        <row r="324">
          <cell r="A324" t="str">
            <v>4INM12AISI 309</v>
          </cell>
          <cell r="B324" t="str">
            <v>OKI</v>
          </cell>
          <cell r="C324" t="str">
            <v>4INM12AISI 309OKI</v>
          </cell>
          <cell r="D324" t="str">
            <v>EUR</v>
          </cell>
          <cell r="E324">
            <v>0.59</v>
          </cell>
          <cell r="F324" t="str">
            <v>EUR/ea</v>
          </cell>
          <cell r="G324" t="str">
            <v>Yes</v>
          </cell>
          <cell r="H324" t="str">
            <v>Nut M12, h=0.8"</v>
          </cell>
          <cell r="K324" t="str">
            <v>nut</v>
          </cell>
        </row>
        <row r="325">
          <cell r="A325" t="str">
            <v>4INM12AISI 309</v>
          </cell>
          <cell r="B325" t="str">
            <v>SILICO</v>
          </cell>
          <cell r="C325" t="str">
            <v>4INM12AISI 309SILICO</v>
          </cell>
          <cell r="D325" t="str">
            <v>EUR</v>
          </cell>
          <cell r="E325">
            <v>0.56200000000000006</v>
          </cell>
          <cell r="F325" t="str">
            <v>EUR/ea</v>
          </cell>
          <cell r="G325" t="str">
            <v>Yes</v>
          </cell>
          <cell r="H325" t="str">
            <v>Nut M12, h=0.8"</v>
          </cell>
          <cell r="K325" t="str">
            <v>nut</v>
          </cell>
        </row>
        <row r="326">
          <cell r="A326" t="str">
            <v>4INM12AISI 310</v>
          </cell>
          <cell r="B326" t="str">
            <v>AARDING</v>
          </cell>
          <cell r="C326" t="str">
            <v>4INM12AISI 310AARDING</v>
          </cell>
          <cell r="D326" t="str">
            <v>EUR</v>
          </cell>
          <cell r="E326">
            <v>0.6</v>
          </cell>
          <cell r="F326" t="str">
            <v>EUR/ea</v>
          </cell>
          <cell r="G326" t="str">
            <v>Yes</v>
          </cell>
          <cell r="H326" t="str">
            <v>Nut M12, h=0.8"</v>
          </cell>
          <cell r="K326" t="str">
            <v>nut</v>
          </cell>
        </row>
        <row r="327">
          <cell r="A327" t="str">
            <v>4INM12AISI 310</v>
          </cell>
          <cell r="B327" t="str">
            <v>OKI</v>
          </cell>
          <cell r="C327" t="str">
            <v>4INM12AISI 310OKI</v>
          </cell>
          <cell r="D327" t="str">
            <v>EUR</v>
          </cell>
          <cell r="E327">
            <v>0.6</v>
          </cell>
          <cell r="F327" t="str">
            <v>EUR/ea</v>
          </cell>
          <cell r="G327" t="str">
            <v>Yes</v>
          </cell>
          <cell r="H327" t="str">
            <v>Nut M12, h=0.8"</v>
          </cell>
          <cell r="K327" t="str">
            <v>nut</v>
          </cell>
        </row>
        <row r="328">
          <cell r="A328" t="str">
            <v>4INM12AISI 310</v>
          </cell>
          <cell r="B328" t="str">
            <v>SILICO</v>
          </cell>
          <cell r="C328" t="str">
            <v>4INM12AISI 310SILICO</v>
          </cell>
          <cell r="D328" t="str">
            <v>EUR</v>
          </cell>
          <cell r="E328">
            <v>0.57199999999999995</v>
          </cell>
          <cell r="F328" t="str">
            <v>EUR/ea</v>
          </cell>
          <cell r="G328" t="str">
            <v>Yes</v>
          </cell>
          <cell r="H328" t="str">
            <v>Nut M12, h=0.8"</v>
          </cell>
          <cell r="K328" t="str">
            <v>nut</v>
          </cell>
        </row>
        <row r="329">
          <cell r="A329" t="str">
            <v>4INM12AISI 321</v>
          </cell>
          <cell r="B329" t="str">
            <v>AARDING</v>
          </cell>
          <cell r="C329" t="str">
            <v>4INM12AISI 321AARDING</v>
          </cell>
          <cell r="D329" t="str">
            <v>EUR</v>
          </cell>
          <cell r="E329">
            <v>0.15440000000000001</v>
          </cell>
          <cell r="F329" t="str">
            <v>EUR/ea</v>
          </cell>
          <cell r="G329" t="str">
            <v>Yes</v>
          </cell>
          <cell r="H329" t="str">
            <v>Nut M12, h=0.8"</v>
          </cell>
          <cell r="K329" t="str">
            <v>nut</v>
          </cell>
        </row>
        <row r="330">
          <cell r="A330" t="str">
            <v>4INM12AISI 321</v>
          </cell>
          <cell r="B330" t="str">
            <v>OKI</v>
          </cell>
          <cell r="C330" t="str">
            <v>4INM12AISI 321OKI</v>
          </cell>
          <cell r="D330" t="str">
            <v>EUR</v>
          </cell>
          <cell r="E330">
            <v>0.15440000000000001</v>
          </cell>
          <cell r="F330" t="str">
            <v>EUR/ea</v>
          </cell>
          <cell r="G330" t="str">
            <v>Yes</v>
          </cell>
          <cell r="H330" t="str">
            <v>Nut M12, h=0.8"</v>
          </cell>
          <cell r="K330" t="str">
            <v>nut</v>
          </cell>
        </row>
        <row r="331">
          <cell r="A331" t="str">
            <v>4INM12AISI 321</v>
          </cell>
          <cell r="B331" t="str">
            <v>SILICO</v>
          </cell>
          <cell r="C331" t="str">
            <v>4INM12AISI 321SILICO</v>
          </cell>
          <cell r="D331" t="str">
            <v>EUR</v>
          </cell>
          <cell r="E331">
            <v>0.14699999999999999</v>
          </cell>
          <cell r="F331" t="str">
            <v>EUR/ea</v>
          </cell>
          <cell r="G331" t="str">
            <v>Yes</v>
          </cell>
          <cell r="H331" t="str">
            <v>Nut M12, h=0.8"</v>
          </cell>
          <cell r="K331" t="str">
            <v>nut</v>
          </cell>
        </row>
        <row r="332">
          <cell r="A332" t="str">
            <v>4INM12CS</v>
          </cell>
          <cell r="B332" t="str">
            <v>AARDING</v>
          </cell>
          <cell r="C332" t="str">
            <v>4INM12CSAARDING</v>
          </cell>
          <cell r="D332" t="str">
            <v>EUR</v>
          </cell>
          <cell r="E332">
            <v>4.2999999999999997E-2</v>
          </cell>
          <cell r="F332" t="str">
            <v>EUR/ea</v>
          </cell>
          <cell r="G332" t="str">
            <v>Yes</v>
          </cell>
          <cell r="H332" t="str">
            <v>Nut M12, h=0.8"</v>
          </cell>
          <cell r="K332" t="str">
            <v>nut</v>
          </cell>
        </row>
        <row r="333">
          <cell r="A333" t="str">
            <v>4INM12CS</v>
          </cell>
          <cell r="B333" t="str">
            <v>OKI</v>
          </cell>
          <cell r="C333" t="str">
            <v>4INM12CSOKI</v>
          </cell>
          <cell r="D333" t="str">
            <v>EUR</v>
          </cell>
          <cell r="E333">
            <v>4.2999999999999997E-2</v>
          </cell>
          <cell r="F333" t="str">
            <v>EUR/ea</v>
          </cell>
          <cell r="G333" t="str">
            <v>Yes</v>
          </cell>
          <cell r="H333" t="str">
            <v>Nut M12, h=0.8"</v>
          </cell>
          <cell r="K333" t="str">
            <v>nut</v>
          </cell>
        </row>
        <row r="334">
          <cell r="A334" t="str">
            <v>4INM12CS</v>
          </cell>
          <cell r="B334" t="str">
            <v>SILICO</v>
          </cell>
          <cell r="C334" t="str">
            <v>4INM12CSSILICO</v>
          </cell>
          <cell r="D334" t="str">
            <v>EUR</v>
          </cell>
          <cell r="E334">
            <v>4.1000000000000002E-2</v>
          </cell>
          <cell r="F334" t="str">
            <v>EUR/ea</v>
          </cell>
          <cell r="G334" t="str">
            <v>Yes</v>
          </cell>
          <cell r="H334" t="str">
            <v>Nut M12, h=0.8"</v>
          </cell>
          <cell r="K334" t="str">
            <v>nut</v>
          </cell>
        </row>
        <row r="335">
          <cell r="A335" t="str">
            <v>4INR 128</v>
          </cell>
          <cell r="B335" t="str">
            <v>INSULC</v>
          </cell>
          <cell r="C335" t="str">
            <v>4INR 128INSULC</v>
          </cell>
          <cell r="D335" t="str">
            <v>NLG</v>
          </cell>
          <cell r="E335">
            <v>1.72</v>
          </cell>
          <cell r="F335" t="str">
            <v>NLG/kg</v>
          </cell>
          <cell r="G335" t="str">
            <v>Yes</v>
          </cell>
          <cell r="H335" t="str">
            <v>Insul. blanket</v>
          </cell>
          <cell r="K335" t="str">
            <v>wool</v>
          </cell>
        </row>
        <row r="336">
          <cell r="A336" t="str">
            <v>4INR 160</v>
          </cell>
          <cell r="B336" t="str">
            <v>INSULC</v>
          </cell>
          <cell r="C336" t="str">
            <v>4INR 160INSULC</v>
          </cell>
          <cell r="D336" t="str">
            <v>NLG</v>
          </cell>
          <cell r="E336">
            <v>1.72</v>
          </cell>
          <cell r="F336" t="str">
            <v>NLG/kg</v>
          </cell>
          <cell r="G336" t="str">
            <v>Yes</v>
          </cell>
          <cell r="H336" t="str">
            <v>Insul. blanket</v>
          </cell>
          <cell r="K336" t="str">
            <v>wool</v>
          </cell>
        </row>
        <row r="337">
          <cell r="A337" t="str">
            <v>4INR 64</v>
          </cell>
          <cell r="B337" t="str">
            <v>INSULC</v>
          </cell>
          <cell r="C337" t="str">
            <v>4INR 64INSULC</v>
          </cell>
          <cell r="D337" t="str">
            <v>NLG</v>
          </cell>
          <cell r="E337">
            <v>1.72</v>
          </cell>
          <cell r="F337" t="str">
            <v>NLG/kg</v>
          </cell>
          <cell r="G337" t="str">
            <v>Yes</v>
          </cell>
          <cell r="H337" t="str">
            <v>Insul. blanket</v>
          </cell>
          <cell r="K337" t="str">
            <v>wool</v>
          </cell>
        </row>
        <row r="338">
          <cell r="A338" t="str">
            <v>4INR 80</v>
          </cell>
          <cell r="B338" t="str">
            <v>INSULC</v>
          </cell>
          <cell r="C338" t="str">
            <v>4INR 80INSULC</v>
          </cell>
          <cell r="D338" t="str">
            <v>NLG</v>
          </cell>
          <cell r="E338">
            <v>1.72</v>
          </cell>
          <cell r="F338" t="str">
            <v>NLG/kg</v>
          </cell>
          <cell r="G338" t="str">
            <v>Yes</v>
          </cell>
          <cell r="H338" t="str">
            <v>Insul. blanket</v>
          </cell>
          <cell r="K338" t="str">
            <v>wool</v>
          </cell>
        </row>
        <row r="339">
          <cell r="A339" t="str">
            <v>4INR 80</v>
          </cell>
          <cell r="B339" t="str">
            <v>WI_INS</v>
          </cell>
          <cell r="C339" t="str">
            <v>4INR 80WI_INS</v>
          </cell>
          <cell r="D339" t="str">
            <v>EUR</v>
          </cell>
          <cell r="E339">
            <v>0.82</v>
          </cell>
          <cell r="F339" t="str">
            <v>EUR/kg</v>
          </cell>
          <cell r="G339" t="str">
            <v>Yes</v>
          </cell>
          <cell r="H339" t="str">
            <v>Insul. blanket</v>
          </cell>
          <cell r="K339" t="str">
            <v>wool</v>
          </cell>
        </row>
        <row r="340">
          <cell r="A340" t="str">
            <v>4INSF100</v>
          </cell>
          <cell r="B340" t="str">
            <v>WI_INS</v>
          </cell>
          <cell r="C340" t="str">
            <v>4INSF100WI_INS</v>
          </cell>
          <cell r="D340" t="str">
            <v>EUR</v>
          </cell>
          <cell r="E340">
            <v>2.2915900912552014</v>
          </cell>
          <cell r="F340" t="str">
            <v>EUR/m2</v>
          </cell>
          <cell r="G340" t="str">
            <v>Yes</v>
          </cell>
          <cell r="H340" t="str">
            <v>Insul. sealing &amp; fasteners mat</v>
          </cell>
          <cell r="K340" t="str">
            <v>other mat's</v>
          </cell>
        </row>
        <row r="341">
          <cell r="A341" t="str">
            <v>4INSF120</v>
          </cell>
          <cell r="B341" t="str">
            <v>WI_INS</v>
          </cell>
          <cell r="C341" t="str">
            <v>4INSF120WI_INS</v>
          </cell>
          <cell r="D341" t="str">
            <v>EUR</v>
          </cell>
          <cell r="E341">
            <v>4.991582376991528</v>
          </cell>
          <cell r="F341" t="str">
            <v>EUR/m2</v>
          </cell>
          <cell r="G341" t="str">
            <v>Yes</v>
          </cell>
          <cell r="H341" t="str">
            <v>Insul. sealing &amp; fasteners mat</v>
          </cell>
          <cell r="K341" t="str">
            <v>other mat's</v>
          </cell>
        </row>
        <row r="342">
          <cell r="A342" t="str">
            <v>4INSF150</v>
          </cell>
          <cell r="B342" t="str">
            <v>WI_INS</v>
          </cell>
          <cell r="C342" t="str">
            <v>4INSF150WI_INS</v>
          </cell>
          <cell r="D342" t="str">
            <v>EUR</v>
          </cell>
          <cell r="E342">
            <v>6.8520812629610974</v>
          </cell>
          <cell r="F342" t="str">
            <v>EUR/m2</v>
          </cell>
          <cell r="G342" t="str">
            <v>Yes</v>
          </cell>
          <cell r="H342" t="str">
            <v>Insul. sealing &amp; fasteners mat</v>
          </cell>
          <cell r="K342" t="str">
            <v>other mat's</v>
          </cell>
        </row>
        <row r="343">
          <cell r="A343" t="str">
            <v>4INSF180</v>
          </cell>
          <cell r="B343" t="str">
            <v>WI_INS</v>
          </cell>
          <cell r="C343" t="str">
            <v>4INSF180WI_INS</v>
          </cell>
          <cell r="D343" t="str">
            <v>EUR</v>
          </cell>
          <cell r="E343">
            <v>7.215105435833209</v>
          </cell>
          <cell r="F343" t="str">
            <v>EUR/m2</v>
          </cell>
          <cell r="G343" t="str">
            <v>Yes</v>
          </cell>
          <cell r="H343" t="str">
            <v>Insul. sealing &amp; fasteners mat</v>
          </cell>
          <cell r="K343" t="str">
            <v>other mat's</v>
          </cell>
        </row>
        <row r="344">
          <cell r="A344" t="str">
            <v>4INSF200</v>
          </cell>
          <cell r="B344" t="str">
            <v>WI_INS</v>
          </cell>
          <cell r="C344" t="str">
            <v>4INSF200WI_INS</v>
          </cell>
          <cell r="D344" t="str">
            <v>EUR</v>
          </cell>
          <cell r="E344">
            <v>7.4873735654872915</v>
          </cell>
          <cell r="F344" t="str">
            <v>EUR/m2</v>
          </cell>
          <cell r="G344" t="str">
            <v>Yes</v>
          </cell>
          <cell r="H344" t="str">
            <v>Insul. sealing &amp; fasteners mat</v>
          </cell>
          <cell r="K344" t="str">
            <v>other mat's</v>
          </cell>
        </row>
        <row r="345">
          <cell r="A345" t="str">
            <v>4INSF220</v>
          </cell>
          <cell r="B345" t="str">
            <v>WI_INS</v>
          </cell>
          <cell r="C345" t="str">
            <v>4INSF220WI_INS</v>
          </cell>
          <cell r="D345" t="str">
            <v>EUR</v>
          </cell>
          <cell r="E345">
            <v>7.7369526843368686</v>
          </cell>
          <cell r="F345" t="str">
            <v>EUR/m2</v>
          </cell>
          <cell r="G345" t="str">
            <v>Yes</v>
          </cell>
          <cell r="H345" t="str">
            <v>Insul. sealing &amp; fasteners mat</v>
          </cell>
          <cell r="K345" t="str">
            <v>other mat's</v>
          </cell>
        </row>
        <row r="346">
          <cell r="A346" t="str">
            <v>4INSF250</v>
          </cell>
          <cell r="B346" t="str">
            <v>WI_INS</v>
          </cell>
          <cell r="C346" t="str">
            <v>4INSF250WI_INS</v>
          </cell>
          <cell r="D346" t="str">
            <v>EUR</v>
          </cell>
          <cell r="E346">
            <v>11.276438369839951</v>
          </cell>
          <cell r="F346" t="str">
            <v>EUR/m2</v>
          </cell>
          <cell r="G346" t="str">
            <v>Yes</v>
          </cell>
          <cell r="H346" t="str">
            <v>Insul. sealing &amp; fasteners mat</v>
          </cell>
          <cell r="K346" t="str">
            <v>other mat's</v>
          </cell>
        </row>
        <row r="347">
          <cell r="A347" t="str">
            <v>4INSF300</v>
          </cell>
          <cell r="B347" t="str">
            <v>WI_INS</v>
          </cell>
          <cell r="C347" t="str">
            <v>4INSF300WI_INS</v>
          </cell>
          <cell r="D347" t="str">
            <v>EUR</v>
          </cell>
          <cell r="E347">
            <v>12.047864737193187</v>
          </cell>
          <cell r="F347" t="str">
            <v>EUR/m2</v>
          </cell>
          <cell r="G347" t="str">
            <v>Yes</v>
          </cell>
          <cell r="H347" t="str">
            <v>Insul. sealing &amp; fasteners mat</v>
          </cell>
          <cell r="K347" t="str">
            <v>other mat's</v>
          </cell>
        </row>
        <row r="348">
          <cell r="A348" t="str">
            <v>4INSF50</v>
          </cell>
          <cell r="B348" t="str">
            <v>WI_INS</v>
          </cell>
          <cell r="C348" t="str">
            <v>4INSF50WI_INS</v>
          </cell>
          <cell r="D348" t="str">
            <v>EUR</v>
          </cell>
          <cell r="E348">
            <v>2.1327670156236529</v>
          </cell>
          <cell r="F348" t="str">
            <v>EUR/m2</v>
          </cell>
          <cell r="G348" t="str">
            <v>Yes</v>
          </cell>
          <cell r="H348" t="str">
            <v>Insul. sealing &amp; fasteners mat</v>
          </cell>
          <cell r="K348" t="str">
            <v>other mat's</v>
          </cell>
        </row>
        <row r="349">
          <cell r="A349" t="str">
            <v>4INSF80</v>
          </cell>
          <cell r="B349" t="str">
            <v>WI_INS</v>
          </cell>
          <cell r="C349" t="str">
            <v>4INSF80WI_INS</v>
          </cell>
          <cell r="D349" t="str">
            <v>EUR</v>
          </cell>
          <cell r="E349">
            <v>2.2235230588416806</v>
          </cell>
          <cell r="F349" t="str">
            <v>EUR/m2</v>
          </cell>
          <cell r="G349" t="str">
            <v>Yes</v>
          </cell>
          <cell r="H349" t="str">
            <v>Insul. sealing &amp; fasteners mat</v>
          </cell>
          <cell r="K349" t="str">
            <v>other mat's</v>
          </cell>
        </row>
        <row r="350">
          <cell r="A350" t="str">
            <v>4INSHTAISI 304</v>
          </cell>
          <cell r="B350" t="str">
            <v>NEM</v>
          </cell>
          <cell r="C350" t="str">
            <v>4INSHTAISI 304NEM</v>
          </cell>
          <cell r="D350" t="str">
            <v>EUR</v>
          </cell>
          <cell r="E350" t="str">
            <v>na</v>
          </cell>
          <cell r="F350" t="str">
            <v>EUR/t</v>
          </cell>
          <cell r="G350" t="str">
            <v>Yes</v>
          </cell>
          <cell r="H350" t="str">
            <v>GUESTIMATE</v>
          </cell>
          <cell r="K350" t="str">
            <v>sheeting</v>
          </cell>
        </row>
        <row r="351">
          <cell r="A351" t="str">
            <v>4INSHTAISI 309</v>
          </cell>
          <cell r="B351" t="str">
            <v>NEM</v>
          </cell>
          <cell r="C351" t="str">
            <v>4INSHTAISI 309NEM</v>
          </cell>
          <cell r="D351" t="str">
            <v>EUR</v>
          </cell>
          <cell r="E351" t="str">
            <v>na</v>
          </cell>
          <cell r="F351" t="str">
            <v>EUR/t</v>
          </cell>
          <cell r="G351" t="str">
            <v>Yes</v>
          </cell>
          <cell r="H351" t="str">
            <v>GUESTIMATE</v>
          </cell>
          <cell r="K351" t="str">
            <v>sheeting</v>
          </cell>
        </row>
        <row r="352">
          <cell r="A352" t="str">
            <v>4INSHTAISI 310</v>
          </cell>
          <cell r="B352" t="str">
            <v>NEM</v>
          </cell>
          <cell r="C352" t="str">
            <v>4INSHTAISI 310NEM</v>
          </cell>
          <cell r="D352" t="str">
            <v>EUR</v>
          </cell>
          <cell r="E352">
            <v>3350</v>
          </cell>
          <cell r="F352" t="str">
            <v>EUR/t</v>
          </cell>
          <cell r="G352" t="str">
            <v>Yes</v>
          </cell>
          <cell r="H352" t="str">
            <v>P.Kesteloo 7/6/2000</v>
          </cell>
          <cell r="K352" t="str">
            <v>sheeting</v>
          </cell>
        </row>
        <row r="353">
          <cell r="A353" t="str">
            <v>4INSHTAISI 316L</v>
          </cell>
          <cell r="B353" t="str">
            <v>NEM</v>
          </cell>
          <cell r="C353" t="str">
            <v>4INSHTAISI 316LNEM</v>
          </cell>
          <cell r="D353" t="str">
            <v>EUR</v>
          </cell>
          <cell r="E353" t="str">
            <v>na</v>
          </cell>
          <cell r="F353" t="str">
            <v>EUR/t</v>
          </cell>
          <cell r="G353" t="str">
            <v>Yes</v>
          </cell>
          <cell r="H353" t="str">
            <v xml:space="preserve">P.Kesteloo 6/9/2000, incl alloy surch. </v>
          </cell>
          <cell r="K353" t="str">
            <v>sheeting</v>
          </cell>
        </row>
        <row r="354">
          <cell r="A354" t="str">
            <v>4INSHTAISI 321</v>
          </cell>
          <cell r="B354" t="str">
            <v>NEM</v>
          </cell>
          <cell r="C354" t="str">
            <v>4INSHTAISI 321NEM</v>
          </cell>
          <cell r="D354" t="str">
            <v>EUR</v>
          </cell>
          <cell r="E354">
            <v>1890</v>
          </cell>
          <cell r="F354" t="str">
            <v>EUR/t</v>
          </cell>
          <cell r="G354" t="str">
            <v>Yes</v>
          </cell>
          <cell r="H354" t="str">
            <v>alz 2 march 2001</v>
          </cell>
          <cell r="K354" t="str">
            <v>sheeting</v>
          </cell>
        </row>
        <row r="355">
          <cell r="A355" t="str">
            <v>4INSHTAISI 409</v>
          </cell>
          <cell r="B355" t="str">
            <v>NEM</v>
          </cell>
          <cell r="C355" t="str">
            <v>4INSHTAISI 409NEM</v>
          </cell>
          <cell r="D355" t="str">
            <v>EUR</v>
          </cell>
          <cell r="E355">
            <v>1215</v>
          </cell>
          <cell r="F355" t="str">
            <v>EUR/t</v>
          </cell>
          <cell r="G355" t="str">
            <v>Yes</v>
          </cell>
          <cell r="H355" t="str">
            <v>alz 2 march 2001</v>
          </cell>
          <cell r="K355" t="str">
            <v>sheeting</v>
          </cell>
        </row>
        <row r="356">
          <cell r="A356" t="str">
            <v>4INSHTAlu0.8</v>
          </cell>
          <cell r="B356" t="str">
            <v>WI_INS</v>
          </cell>
          <cell r="C356" t="str">
            <v>4INSHTAlu0.8WI_INS</v>
          </cell>
          <cell r="D356" t="str">
            <v>EUR</v>
          </cell>
          <cell r="E356">
            <v>2.5</v>
          </cell>
          <cell r="F356" t="str">
            <v>EUR/kg</v>
          </cell>
          <cell r="G356" t="str">
            <v>Yes</v>
          </cell>
          <cell r="H356" t="str">
            <v>Insul. sheeting AL 0.8 mm</v>
          </cell>
          <cell r="K356" t="str">
            <v>sheeting</v>
          </cell>
        </row>
        <row r="357">
          <cell r="A357" t="str">
            <v>4INSHTAlu1.0</v>
          </cell>
          <cell r="B357" t="str">
            <v>WI_INS</v>
          </cell>
          <cell r="C357" t="str">
            <v>4INSHTAlu1.0WI_INS</v>
          </cell>
          <cell r="D357" t="str">
            <v>EUR</v>
          </cell>
          <cell r="E357">
            <v>2.4</v>
          </cell>
          <cell r="F357" t="str">
            <v>EUR/kg</v>
          </cell>
          <cell r="G357" t="str">
            <v>Yes</v>
          </cell>
          <cell r="H357" t="str">
            <v>Insul. sheeting Al. 1 mm</v>
          </cell>
          <cell r="K357" t="str">
            <v>sheeting</v>
          </cell>
        </row>
        <row r="358">
          <cell r="A358" t="str">
            <v>4INSHTCS</v>
          </cell>
          <cell r="B358" t="str">
            <v>NEM</v>
          </cell>
          <cell r="C358" t="str">
            <v>4INSHTCSNEM</v>
          </cell>
          <cell r="D358" t="str">
            <v>EUR</v>
          </cell>
          <cell r="E358">
            <v>390</v>
          </cell>
          <cell r="F358" t="str">
            <v>EUR/t</v>
          </cell>
          <cell r="G358" t="str">
            <v>Yes</v>
          </cell>
          <cell r="H358" t="str">
            <v>Insul. galv.supp.struct</v>
          </cell>
          <cell r="K358" t="str">
            <v>sheeting</v>
          </cell>
        </row>
        <row r="359">
          <cell r="A359" t="str">
            <v>4INSP100</v>
          </cell>
          <cell r="B359" t="str">
            <v>WI_INS</v>
          </cell>
          <cell r="C359" t="str">
            <v>4INSP100WI_INS</v>
          </cell>
          <cell r="D359" t="str">
            <v>EUR</v>
          </cell>
          <cell r="E359">
            <v>7.5100625762917987</v>
          </cell>
          <cell r="F359" t="str">
            <v>EUR/m2</v>
          </cell>
          <cell r="G359" t="str">
            <v>Yes</v>
          </cell>
          <cell r="H359" t="str">
            <v>Insul. galv.supp.struct</v>
          </cell>
          <cell r="K359" t="str">
            <v>other mat's</v>
          </cell>
        </row>
        <row r="360">
          <cell r="A360" t="str">
            <v>4INSP120</v>
          </cell>
          <cell r="B360" t="str">
            <v>WI_INS</v>
          </cell>
          <cell r="C360" t="str">
            <v>4INSP120WI_INS</v>
          </cell>
          <cell r="D360" t="str">
            <v>EUR</v>
          </cell>
          <cell r="E360">
            <v>9.1663603650208056</v>
          </cell>
          <cell r="F360" t="str">
            <v>EUR/m2</v>
          </cell>
          <cell r="G360" t="str">
            <v>Yes</v>
          </cell>
          <cell r="H360" t="str">
            <v>Insul. galv.supp.struct</v>
          </cell>
          <cell r="K360" t="str">
            <v>other mat's</v>
          </cell>
        </row>
        <row r="361">
          <cell r="A361" t="str">
            <v>4INSP150</v>
          </cell>
          <cell r="B361" t="str">
            <v>WI_INS</v>
          </cell>
          <cell r="C361" t="str">
            <v>4INSP150WI_INS</v>
          </cell>
          <cell r="D361" t="str">
            <v>EUR</v>
          </cell>
          <cell r="E361">
            <v>9.1663603650208056</v>
          </cell>
          <cell r="F361" t="str">
            <v>EUR/m2</v>
          </cell>
          <cell r="G361" t="str">
            <v>Yes</v>
          </cell>
          <cell r="H361" t="str">
            <v>Insul. galv.supp.struct</v>
          </cell>
          <cell r="K361" t="str">
            <v>other mat's</v>
          </cell>
        </row>
        <row r="362">
          <cell r="A362" t="str">
            <v>4INSP180</v>
          </cell>
          <cell r="B362" t="str">
            <v>WI_INS</v>
          </cell>
          <cell r="C362" t="str">
            <v>4INSP180WI_INS</v>
          </cell>
          <cell r="D362" t="str">
            <v>EUR</v>
          </cell>
          <cell r="E362">
            <v>9.1663603650208056</v>
          </cell>
          <cell r="F362" t="str">
            <v>EUR/m2</v>
          </cell>
          <cell r="G362" t="str">
            <v>Yes</v>
          </cell>
          <cell r="H362" t="str">
            <v>Insul. galv.supp.struct</v>
          </cell>
          <cell r="K362" t="str">
            <v>other mat's</v>
          </cell>
        </row>
        <row r="363">
          <cell r="A363" t="str">
            <v>4INSP200</v>
          </cell>
          <cell r="B363" t="str">
            <v>WI_INS</v>
          </cell>
          <cell r="C363" t="str">
            <v>4INSP200WI_INS</v>
          </cell>
          <cell r="D363" t="str">
            <v>EUR</v>
          </cell>
          <cell r="E363">
            <v>9.1663603650208056</v>
          </cell>
          <cell r="F363" t="str">
            <v>EUR/m2</v>
          </cell>
          <cell r="G363" t="str">
            <v>Yes</v>
          </cell>
          <cell r="H363" t="str">
            <v>Insul. galv.supp.struct</v>
          </cell>
          <cell r="K363" t="str">
            <v>other mat's</v>
          </cell>
        </row>
        <row r="364">
          <cell r="A364" t="str">
            <v>4INSP220</v>
          </cell>
          <cell r="B364" t="str">
            <v>WI_INS</v>
          </cell>
          <cell r="C364" t="str">
            <v>4INSP220WI_INS</v>
          </cell>
          <cell r="D364" t="str">
            <v>EUR</v>
          </cell>
          <cell r="E364">
            <v>10.141987829614605</v>
          </cell>
          <cell r="F364" t="str">
            <v>EUR/m2</v>
          </cell>
          <cell r="G364" t="str">
            <v>Yes</v>
          </cell>
          <cell r="H364" t="str">
            <v>Insul. galv.supp.struct</v>
          </cell>
          <cell r="K364" t="str">
            <v>other mat's</v>
          </cell>
        </row>
        <row r="365">
          <cell r="A365" t="str">
            <v>4INSP250</v>
          </cell>
          <cell r="B365" t="str">
            <v>WI_INS</v>
          </cell>
          <cell r="C365" t="str">
            <v>4INSP250WI_INS</v>
          </cell>
          <cell r="D365" t="str">
            <v>EUR</v>
          </cell>
          <cell r="E365">
            <v>10.141987829614605</v>
          </cell>
          <cell r="F365" t="str">
            <v>EUR/m2</v>
          </cell>
          <cell r="G365" t="str">
            <v>Yes</v>
          </cell>
          <cell r="H365" t="str">
            <v>Insul. galv.supp.struct</v>
          </cell>
          <cell r="K365" t="str">
            <v>other mat's</v>
          </cell>
        </row>
        <row r="366">
          <cell r="A366" t="str">
            <v>4INSP300</v>
          </cell>
          <cell r="B366" t="str">
            <v>WI_INS</v>
          </cell>
          <cell r="C366" t="str">
            <v>4INSP300WI_INS</v>
          </cell>
          <cell r="D366" t="str">
            <v>EUR</v>
          </cell>
          <cell r="E366">
            <v>10.141987829614605</v>
          </cell>
          <cell r="F366" t="str">
            <v>EUR/m2</v>
          </cell>
          <cell r="G366" t="str">
            <v>Yes</v>
          </cell>
          <cell r="H366" t="str">
            <v>Insul. galv.supp.struct</v>
          </cell>
          <cell r="K366" t="str">
            <v>other mat's</v>
          </cell>
        </row>
        <row r="367">
          <cell r="A367" t="str">
            <v>4INSP50</v>
          </cell>
          <cell r="B367" t="str">
            <v>WI_INS</v>
          </cell>
          <cell r="C367" t="str">
            <v>4INSP50WI_INS</v>
          </cell>
          <cell r="D367" t="str">
            <v>EUR</v>
          </cell>
          <cell r="E367">
            <v>7.5100625762917987</v>
          </cell>
          <cell r="F367" t="str">
            <v>EUR/m2</v>
          </cell>
          <cell r="G367" t="str">
            <v>Yes</v>
          </cell>
          <cell r="H367" t="str">
            <v>Insul. galv.supp.struct</v>
          </cell>
          <cell r="K367" t="str">
            <v>other mat's</v>
          </cell>
        </row>
        <row r="368">
          <cell r="A368" t="str">
            <v>4INSP80</v>
          </cell>
          <cell r="B368" t="str">
            <v>WI_INS</v>
          </cell>
          <cell r="C368" t="str">
            <v>4INSP80WI_INS</v>
          </cell>
          <cell r="D368" t="str">
            <v>EUR</v>
          </cell>
          <cell r="E368">
            <v>7.5100625762917987</v>
          </cell>
          <cell r="F368" t="str">
            <v>EUR/m2</v>
          </cell>
          <cell r="G368" t="str">
            <v>Yes</v>
          </cell>
          <cell r="H368" t="str">
            <v>Insul. galv.supp.struct</v>
          </cell>
          <cell r="K368" t="str">
            <v>other mat's</v>
          </cell>
        </row>
        <row r="369">
          <cell r="A369" t="str">
            <v>4INWFAISI 304</v>
          </cell>
          <cell r="B369" t="str">
            <v>AARDING</v>
          </cell>
          <cell r="C369" t="str">
            <v>4INWFAISI 304AARDING</v>
          </cell>
          <cell r="D369" t="str">
            <v>EUR</v>
          </cell>
          <cell r="E369">
            <v>0.3</v>
          </cell>
          <cell r="F369" t="str">
            <v>EUR/ea</v>
          </cell>
          <cell r="G369" t="str">
            <v>Yes</v>
          </cell>
          <cell r="H369" t="str">
            <v>Flat washer</v>
          </cell>
          <cell r="K369" t="str">
            <v>washer</v>
          </cell>
        </row>
        <row r="370">
          <cell r="A370" t="str">
            <v>4INWFAISI 304</v>
          </cell>
          <cell r="B370" t="str">
            <v>ELECTR-N</v>
          </cell>
          <cell r="C370" t="str">
            <v>4INWFAISI 304ELECTR-N</v>
          </cell>
          <cell r="D370" t="str">
            <v>EUR</v>
          </cell>
          <cell r="E370">
            <v>0.3</v>
          </cell>
          <cell r="F370" t="str">
            <v>EUR/ea</v>
          </cell>
          <cell r="G370" t="str">
            <v>Yes</v>
          </cell>
          <cell r="H370" t="str">
            <v>Flat washer</v>
          </cell>
          <cell r="K370" t="str">
            <v>washer</v>
          </cell>
        </row>
        <row r="371">
          <cell r="A371" t="str">
            <v>4INWFAISI 304</v>
          </cell>
          <cell r="B371" t="str">
            <v>OKI</v>
          </cell>
          <cell r="C371" t="str">
            <v>4INWFAISI 304OKI</v>
          </cell>
          <cell r="D371" t="str">
            <v>EUR</v>
          </cell>
          <cell r="E371">
            <v>0.315</v>
          </cell>
          <cell r="F371" t="str">
            <v>EUR/ea</v>
          </cell>
          <cell r="G371" t="str">
            <v>Yes</v>
          </cell>
          <cell r="H371" t="str">
            <v>Flat washer</v>
          </cell>
          <cell r="K371" t="str">
            <v>washer</v>
          </cell>
        </row>
        <row r="372">
          <cell r="A372" t="str">
            <v>4INWFAISI 309</v>
          </cell>
          <cell r="B372" t="str">
            <v>ELECTR-N</v>
          </cell>
          <cell r="C372" t="str">
            <v>4INWFAISI 309ELECTR-N</v>
          </cell>
          <cell r="D372" t="str">
            <v>EUR</v>
          </cell>
          <cell r="E372">
            <v>0.64</v>
          </cell>
          <cell r="F372" t="str">
            <v>EUR/ea</v>
          </cell>
          <cell r="G372" t="str">
            <v>Yes</v>
          </cell>
          <cell r="H372" t="str">
            <v>Flat washer</v>
          </cell>
          <cell r="K372" t="str">
            <v>washer</v>
          </cell>
        </row>
        <row r="373">
          <cell r="A373" t="str">
            <v>4INWFAISI 309</v>
          </cell>
          <cell r="B373" t="str">
            <v>OKI</v>
          </cell>
          <cell r="C373" t="str">
            <v>4INWFAISI 309OKI</v>
          </cell>
          <cell r="D373" t="str">
            <v>EUR</v>
          </cell>
          <cell r="E373">
            <v>0.67200000000000004</v>
          </cell>
          <cell r="F373" t="str">
            <v>EUR/ea</v>
          </cell>
          <cell r="G373" t="str">
            <v>Yes</v>
          </cell>
          <cell r="H373" t="str">
            <v>Flat washer</v>
          </cell>
          <cell r="K373" t="str">
            <v>washer</v>
          </cell>
        </row>
        <row r="374">
          <cell r="A374" t="str">
            <v>4INWFAISI 310</v>
          </cell>
          <cell r="B374" t="str">
            <v>AARDING</v>
          </cell>
          <cell r="C374" t="str">
            <v>4INWFAISI 310AARDING</v>
          </cell>
          <cell r="D374" t="str">
            <v>EUR</v>
          </cell>
          <cell r="E374">
            <v>0.61</v>
          </cell>
          <cell r="F374" t="str">
            <v>EUR/ea</v>
          </cell>
          <cell r="G374" t="str">
            <v>Yes</v>
          </cell>
          <cell r="H374" t="str">
            <v>Flat washer</v>
          </cell>
          <cell r="K374" t="str">
            <v>washer</v>
          </cell>
        </row>
        <row r="375">
          <cell r="A375" t="str">
            <v>4INWFAISI 310</v>
          </cell>
          <cell r="B375" t="str">
            <v>ELECTR-N</v>
          </cell>
          <cell r="C375" t="str">
            <v>4INWFAISI 310ELECTR-N</v>
          </cell>
          <cell r="D375" t="str">
            <v>EUR</v>
          </cell>
          <cell r="E375">
            <v>0.64</v>
          </cell>
          <cell r="F375" t="str">
            <v>EUR/ea</v>
          </cell>
          <cell r="G375" t="str">
            <v>Yes</v>
          </cell>
          <cell r="H375" t="str">
            <v>Flat washer</v>
          </cell>
          <cell r="K375" t="str">
            <v>washer</v>
          </cell>
        </row>
        <row r="376">
          <cell r="A376" t="str">
            <v>4INWFAISI 310</v>
          </cell>
          <cell r="B376" t="str">
            <v>OKI</v>
          </cell>
          <cell r="C376" t="str">
            <v>4INWFAISI 310OKI</v>
          </cell>
          <cell r="D376" t="str">
            <v>EUR</v>
          </cell>
          <cell r="E376">
            <v>0.67200000000000004</v>
          </cell>
          <cell r="F376" t="str">
            <v>EUR/ea</v>
          </cell>
          <cell r="G376" t="str">
            <v>Yes</v>
          </cell>
          <cell r="H376" t="str">
            <v>Flat washer</v>
          </cell>
          <cell r="K376" t="str">
            <v>washer</v>
          </cell>
        </row>
        <row r="377">
          <cell r="A377" t="str">
            <v>4INWFAISI 321</v>
          </cell>
          <cell r="B377" t="str">
            <v>AARDING</v>
          </cell>
          <cell r="C377" t="str">
            <v>4INWFAISI 321AARDING</v>
          </cell>
          <cell r="D377" t="str">
            <v>EUR</v>
          </cell>
          <cell r="E377">
            <v>0.3</v>
          </cell>
          <cell r="F377" t="str">
            <v>EUR/ea</v>
          </cell>
          <cell r="G377" t="str">
            <v>Yes</v>
          </cell>
          <cell r="H377" t="str">
            <v>Flat washer</v>
          </cell>
          <cell r="K377" t="str">
            <v>washer</v>
          </cell>
        </row>
        <row r="378">
          <cell r="A378" t="str">
            <v>4INWFAISI 321</v>
          </cell>
          <cell r="B378" t="str">
            <v>ELECTR-N</v>
          </cell>
          <cell r="C378" t="str">
            <v>4INWFAISI 321ELECTR-N</v>
          </cell>
          <cell r="D378" t="str">
            <v>EUR</v>
          </cell>
          <cell r="E378">
            <v>0.3</v>
          </cell>
          <cell r="F378" t="str">
            <v>EUR/ea</v>
          </cell>
          <cell r="G378" t="str">
            <v>Yes</v>
          </cell>
          <cell r="H378" t="str">
            <v>Flat washer</v>
          </cell>
          <cell r="K378" t="str">
            <v>washer</v>
          </cell>
        </row>
        <row r="379">
          <cell r="A379" t="str">
            <v>4INWFAISI 321</v>
          </cell>
          <cell r="B379" t="str">
            <v>OKI</v>
          </cell>
          <cell r="C379" t="str">
            <v>4INWFAISI 321OKI</v>
          </cell>
          <cell r="D379" t="str">
            <v>EUR</v>
          </cell>
          <cell r="E379">
            <v>0.315</v>
          </cell>
          <cell r="F379" t="str">
            <v>EUR/ea</v>
          </cell>
          <cell r="G379" t="str">
            <v>Yes</v>
          </cell>
          <cell r="H379" t="str">
            <v>Flat washer</v>
          </cell>
          <cell r="K379" t="str">
            <v>washer</v>
          </cell>
        </row>
        <row r="380">
          <cell r="A380" t="str">
            <v>4INWFAISI 409</v>
          </cell>
          <cell r="B380" t="str">
            <v>ELECTR-N</v>
          </cell>
          <cell r="C380" t="str">
            <v>4INWFAISI 409ELECTR-N</v>
          </cell>
          <cell r="D380" t="str">
            <v>EUR</v>
          </cell>
          <cell r="E380">
            <v>0.3</v>
          </cell>
          <cell r="F380" t="str">
            <v>EUR/ea</v>
          </cell>
          <cell r="G380" t="str">
            <v>Yes</v>
          </cell>
          <cell r="H380" t="str">
            <v>Flat washer 304</v>
          </cell>
          <cell r="K380" t="str">
            <v>washer</v>
          </cell>
        </row>
        <row r="381">
          <cell r="A381" t="str">
            <v>4INWFAISI 409</v>
          </cell>
          <cell r="B381" t="str">
            <v>OKI</v>
          </cell>
          <cell r="C381" t="str">
            <v>4INWFAISI 409OKI</v>
          </cell>
          <cell r="D381" t="str">
            <v>EUR</v>
          </cell>
          <cell r="E381">
            <v>0.315</v>
          </cell>
          <cell r="F381" t="str">
            <v>EUR/ea</v>
          </cell>
          <cell r="G381" t="str">
            <v>Yes</v>
          </cell>
          <cell r="H381" t="str">
            <v>Flat washer 304</v>
          </cell>
          <cell r="K381" t="str">
            <v>washer</v>
          </cell>
        </row>
        <row r="382">
          <cell r="A382" t="str">
            <v>4INWFCS</v>
          </cell>
          <cell r="B382" t="str">
            <v>AARDING</v>
          </cell>
          <cell r="C382" t="str">
            <v>4INWFCSAARDING</v>
          </cell>
          <cell r="D382" t="str">
            <v>EUR</v>
          </cell>
          <cell r="E382">
            <v>0.14000000000000001</v>
          </cell>
          <cell r="F382" t="str">
            <v>EUR/ea</v>
          </cell>
          <cell r="G382" t="str">
            <v>Yes</v>
          </cell>
          <cell r="H382" t="str">
            <v>Flat washer</v>
          </cell>
          <cell r="K382" t="str">
            <v>washer</v>
          </cell>
        </row>
        <row r="383">
          <cell r="A383" t="str">
            <v>4INWFCS</v>
          </cell>
          <cell r="B383" t="str">
            <v>ELECTR-N</v>
          </cell>
          <cell r="C383" t="str">
            <v>4INWFCSELECTR-N</v>
          </cell>
          <cell r="D383" t="str">
            <v>EUR</v>
          </cell>
          <cell r="E383">
            <v>0.14000000000000001</v>
          </cell>
          <cell r="F383" t="str">
            <v>EUR/ea</v>
          </cell>
          <cell r="G383" t="str">
            <v>Yes</v>
          </cell>
          <cell r="H383" t="str">
            <v>Flat washer</v>
          </cell>
          <cell r="K383" t="str">
            <v>washer</v>
          </cell>
        </row>
        <row r="384">
          <cell r="A384" t="str">
            <v>4INWFCS</v>
          </cell>
          <cell r="B384" t="str">
            <v>OKI</v>
          </cell>
          <cell r="C384" t="str">
            <v>4INWFCSOKI</v>
          </cell>
          <cell r="D384" t="str">
            <v>EUR</v>
          </cell>
          <cell r="E384">
            <v>0.14699999999999999</v>
          </cell>
          <cell r="F384" t="str">
            <v>EUR/ea</v>
          </cell>
          <cell r="G384" t="str">
            <v>Yes</v>
          </cell>
          <cell r="H384" t="str">
            <v>Flat washer</v>
          </cell>
          <cell r="K384" t="str">
            <v>washer</v>
          </cell>
        </row>
        <row r="385">
          <cell r="A385" t="str">
            <v>4INWSAISI 304</v>
          </cell>
          <cell r="B385" t="str">
            <v>AARDING</v>
          </cell>
          <cell r="C385" t="str">
            <v>4INWSAISI 304AARDING</v>
          </cell>
          <cell r="D385" t="str">
            <v>EUR</v>
          </cell>
          <cell r="E385">
            <v>0.504</v>
          </cell>
          <cell r="F385" t="str">
            <v>EUR/ea</v>
          </cell>
          <cell r="G385" t="str">
            <v>Yes</v>
          </cell>
          <cell r="H385" t="str">
            <v>Special washer</v>
          </cell>
          <cell r="K385" t="str">
            <v>washer</v>
          </cell>
        </row>
        <row r="386">
          <cell r="A386" t="str">
            <v>4INWSAISI 304</v>
          </cell>
          <cell r="B386" t="str">
            <v>ELECTR-N</v>
          </cell>
          <cell r="C386" t="str">
            <v>4INWSAISI 304ELECTR-N</v>
          </cell>
          <cell r="D386" t="str">
            <v>EUR</v>
          </cell>
          <cell r="E386">
            <v>0.48</v>
          </cell>
          <cell r="F386" t="str">
            <v>EUR/ea</v>
          </cell>
          <cell r="G386" t="str">
            <v>Yes</v>
          </cell>
          <cell r="H386" t="str">
            <v>Special washer</v>
          </cell>
          <cell r="K386" t="str">
            <v>washer</v>
          </cell>
        </row>
        <row r="387">
          <cell r="A387" t="str">
            <v>4INWSAISI 304</v>
          </cell>
          <cell r="B387" t="str">
            <v>OKI</v>
          </cell>
          <cell r="C387" t="str">
            <v>4INWSAISI 304OKI</v>
          </cell>
          <cell r="D387" t="str">
            <v>EUR</v>
          </cell>
          <cell r="E387">
            <v>0.47</v>
          </cell>
          <cell r="F387" t="str">
            <v>EUR/ea</v>
          </cell>
          <cell r="G387" t="str">
            <v>Yes</v>
          </cell>
          <cell r="H387" t="str">
            <v>Special washer</v>
          </cell>
          <cell r="K387" t="str">
            <v>washer</v>
          </cell>
        </row>
        <row r="388">
          <cell r="A388" t="str">
            <v>4INWSAISI 309</v>
          </cell>
          <cell r="B388" t="str">
            <v>AARDING</v>
          </cell>
          <cell r="C388" t="str">
            <v>4INWSAISI 309AARDING</v>
          </cell>
          <cell r="D388" t="str">
            <v>EUR</v>
          </cell>
          <cell r="E388">
            <v>0.90300000000000002</v>
          </cell>
          <cell r="F388" t="str">
            <v>EUR/ea</v>
          </cell>
          <cell r="G388" t="str">
            <v>Yes</v>
          </cell>
          <cell r="H388" t="str">
            <v>Special washer</v>
          </cell>
          <cell r="K388" t="str">
            <v>washer</v>
          </cell>
        </row>
        <row r="389">
          <cell r="A389" t="str">
            <v>4INWSAISI 309</v>
          </cell>
          <cell r="B389" t="str">
            <v>ELECTR-N</v>
          </cell>
          <cell r="C389" t="str">
            <v>4INWSAISI 309ELECTR-N</v>
          </cell>
          <cell r="D389" t="str">
            <v>EUR</v>
          </cell>
          <cell r="E389">
            <v>0.86</v>
          </cell>
          <cell r="F389" t="str">
            <v>EUR/ea</v>
          </cell>
          <cell r="G389" t="str">
            <v>Yes</v>
          </cell>
          <cell r="H389" t="str">
            <v>Special washer</v>
          </cell>
          <cell r="K389" t="str">
            <v>washer</v>
          </cell>
        </row>
        <row r="390">
          <cell r="A390" t="str">
            <v>4INWSAISI 309</v>
          </cell>
          <cell r="B390" t="str">
            <v>OKI</v>
          </cell>
          <cell r="C390" t="str">
            <v>4INWSAISI 309OKI</v>
          </cell>
          <cell r="D390" t="str">
            <v>EUR</v>
          </cell>
          <cell r="E390">
            <v>1.17</v>
          </cell>
          <cell r="F390" t="str">
            <v>EUR/ea</v>
          </cell>
          <cell r="G390" t="str">
            <v>Yes</v>
          </cell>
          <cell r="H390" t="str">
            <v>Special washer</v>
          </cell>
          <cell r="K390" t="str">
            <v>washer</v>
          </cell>
        </row>
        <row r="391">
          <cell r="A391" t="str">
            <v>4INWSAISI 310</v>
          </cell>
          <cell r="B391" t="str">
            <v>AARDING</v>
          </cell>
          <cell r="C391" t="str">
            <v>4INWSAISI 310AARDING</v>
          </cell>
          <cell r="D391" t="str">
            <v>EUR</v>
          </cell>
          <cell r="E391">
            <v>0.9</v>
          </cell>
          <cell r="F391" t="str">
            <v>EUR/ea</v>
          </cell>
          <cell r="G391" t="str">
            <v>Yes</v>
          </cell>
          <cell r="H391" t="str">
            <v xml:space="preserve">310 cann't be made </v>
          </cell>
          <cell r="K391" t="str">
            <v>washer</v>
          </cell>
        </row>
        <row r="392">
          <cell r="A392" t="str">
            <v>4INWSAISI 310</v>
          </cell>
          <cell r="B392" t="str">
            <v>ELECTR-N</v>
          </cell>
          <cell r="C392" t="str">
            <v>4INWSAISI 310ELECTR-N</v>
          </cell>
          <cell r="D392" t="str">
            <v>EUR</v>
          </cell>
          <cell r="E392" t="str">
            <v>na</v>
          </cell>
          <cell r="F392" t="str">
            <v>EUR/ea</v>
          </cell>
          <cell r="G392" t="str">
            <v>Yes</v>
          </cell>
          <cell r="H392" t="str">
            <v>Special washer</v>
          </cell>
          <cell r="K392" t="str">
            <v>washer</v>
          </cell>
        </row>
        <row r="393">
          <cell r="A393" t="str">
            <v>4INWSAISI 310</v>
          </cell>
          <cell r="B393" t="str">
            <v>OKI</v>
          </cell>
          <cell r="C393" t="str">
            <v>4INWSAISI 310OKI</v>
          </cell>
          <cell r="D393" t="str">
            <v>EUR</v>
          </cell>
          <cell r="E393">
            <v>1.17</v>
          </cell>
          <cell r="F393" t="str">
            <v>EUR/ea</v>
          </cell>
          <cell r="G393" t="str">
            <v>Yes</v>
          </cell>
          <cell r="H393" t="str">
            <v>Special washer</v>
          </cell>
          <cell r="K393" t="str">
            <v>washer</v>
          </cell>
        </row>
        <row r="394">
          <cell r="A394" t="str">
            <v>4INWSAISI 321</v>
          </cell>
          <cell r="B394" t="str">
            <v>AARDING</v>
          </cell>
          <cell r="C394" t="str">
            <v>4INWSAISI 321AARDING</v>
          </cell>
          <cell r="D394" t="str">
            <v>EUR</v>
          </cell>
          <cell r="E394">
            <v>0.60899999999999999</v>
          </cell>
          <cell r="F394" t="str">
            <v>EUR/ea</v>
          </cell>
          <cell r="G394" t="str">
            <v>Yes</v>
          </cell>
          <cell r="H394" t="str">
            <v>Special washer</v>
          </cell>
          <cell r="K394" t="str">
            <v>washer</v>
          </cell>
        </row>
        <row r="395">
          <cell r="A395" t="str">
            <v>4INWSAISI 321</v>
          </cell>
          <cell r="B395" t="str">
            <v>ELECTR-N</v>
          </cell>
          <cell r="C395" t="str">
            <v>4INWSAISI 321ELECTR-N</v>
          </cell>
          <cell r="D395" t="str">
            <v>EUR</v>
          </cell>
          <cell r="E395">
            <v>0.57999999999999996</v>
          </cell>
          <cell r="F395" t="str">
            <v>EUR/ea</v>
          </cell>
          <cell r="G395" t="str">
            <v>Yes</v>
          </cell>
          <cell r="H395" t="str">
            <v>Special washer</v>
          </cell>
          <cell r="K395" t="str">
            <v>washer</v>
          </cell>
        </row>
        <row r="396">
          <cell r="A396" t="str">
            <v>4INWSAISI 321</v>
          </cell>
          <cell r="B396" t="str">
            <v>OKI</v>
          </cell>
          <cell r="C396" t="str">
            <v>4INWSAISI 321OKI</v>
          </cell>
          <cell r="D396" t="str">
            <v>EUR</v>
          </cell>
          <cell r="E396">
            <v>0.57999999999999996</v>
          </cell>
          <cell r="F396" t="str">
            <v>EUR/ea</v>
          </cell>
          <cell r="G396" t="str">
            <v>Yes</v>
          </cell>
          <cell r="H396" t="str">
            <v>Special washer</v>
          </cell>
          <cell r="K396" t="str">
            <v>washer</v>
          </cell>
        </row>
        <row r="397">
          <cell r="A397" t="str">
            <v>4INWSAISI 409</v>
          </cell>
          <cell r="B397" t="str">
            <v>AARDING</v>
          </cell>
          <cell r="C397" t="str">
            <v>4INWSAISI 409AARDING</v>
          </cell>
          <cell r="D397" t="str">
            <v>EUR</v>
          </cell>
          <cell r="E397">
            <v>0.5</v>
          </cell>
          <cell r="F397" t="str">
            <v>EUR/ea</v>
          </cell>
          <cell r="G397" t="str">
            <v>Yes</v>
          </cell>
          <cell r="H397" t="str">
            <v xml:space="preserve">cann't be made </v>
          </cell>
          <cell r="K397" t="str">
            <v>washer</v>
          </cell>
        </row>
        <row r="398">
          <cell r="A398" t="str">
            <v>4INWSAISI 409</v>
          </cell>
          <cell r="B398" t="str">
            <v>ELECTR-N</v>
          </cell>
          <cell r="C398" t="str">
            <v>4INWSAISI 409ELECTR-N</v>
          </cell>
          <cell r="D398" t="str">
            <v>EUR</v>
          </cell>
          <cell r="E398">
            <v>0.48</v>
          </cell>
          <cell r="F398" t="str">
            <v>EUR/ea</v>
          </cell>
          <cell r="G398" t="str">
            <v>Yes</v>
          </cell>
          <cell r="H398" t="str">
            <v xml:space="preserve">Special washer </v>
          </cell>
          <cell r="K398" t="str">
            <v>washer</v>
          </cell>
        </row>
        <row r="399">
          <cell r="A399" t="str">
            <v>4INWSAISI 409</v>
          </cell>
          <cell r="B399" t="str">
            <v>OKI</v>
          </cell>
          <cell r="C399" t="str">
            <v>4INWSAISI 409OKI</v>
          </cell>
          <cell r="D399" t="str">
            <v>EUR</v>
          </cell>
          <cell r="E399">
            <v>0.47</v>
          </cell>
          <cell r="F399" t="str">
            <v>EUR/ea</v>
          </cell>
          <cell r="G399" t="str">
            <v>Yes</v>
          </cell>
          <cell r="H399" t="str">
            <v xml:space="preserve">Special washer </v>
          </cell>
          <cell r="K399" t="str">
            <v>washer</v>
          </cell>
        </row>
        <row r="400">
          <cell r="A400" t="str">
            <v>4INWSCS</v>
          </cell>
          <cell r="B400" t="str">
            <v>AARDING</v>
          </cell>
          <cell r="C400" t="str">
            <v>4INWSCSAARDING</v>
          </cell>
          <cell r="D400" t="str">
            <v>EUR</v>
          </cell>
          <cell r="E400">
            <v>0.22</v>
          </cell>
          <cell r="F400" t="str">
            <v>EUR/ea</v>
          </cell>
          <cell r="G400" t="str">
            <v>Yes</v>
          </cell>
          <cell r="H400" t="str">
            <v>Special washer</v>
          </cell>
          <cell r="K400" t="str">
            <v>washer</v>
          </cell>
        </row>
        <row r="401">
          <cell r="A401" t="str">
            <v>4INWSCS</v>
          </cell>
          <cell r="B401" t="str">
            <v>ELECTR-N</v>
          </cell>
          <cell r="C401" t="str">
            <v>4INWSCSELECTR-N</v>
          </cell>
          <cell r="D401" t="str">
            <v>EUR</v>
          </cell>
          <cell r="E401">
            <v>0.21</v>
          </cell>
          <cell r="F401" t="str">
            <v>EUR/ea</v>
          </cell>
          <cell r="G401" t="str">
            <v>Yes</v>
          </cell>
          <cell r="H401" t="str">
            <v>Special washer</v>
          </cell>
          <cell r="K401" t="str">
            <v>washer</v>
          </cell>
        </row>
        <row r="402">
          <cell r="A402" t="str">
            <v>4INWSCS</v>
          </cell>
          <cell r="B402" t="str">
            <v>OKI</v>
          </cell>
          <cell r="C402" t="str">
            <v>4INWSCSOKI</v>
          </cell>
          <cell r="D402" t="str">
            <v>EUR</v>
          </cell>
          <cell r="E402">
            <v>0.14000000000000001</v>
          </cell>
          <cell r="F402" t="str">
            <v>EUR/ea</v>
          </cell>
          <cell r="G402" t="str">
            <v>Yes</v>
          </cell>
          <cell r="H402" t="str">
            <v>Special washer</v>
          </cell>
          <cell r="K402" t="str">
            <v>washer</v>
          </cell>
        </row>
        <row r="403">
          <cell r="A403" t="str">
            <v>4INZ 160</v>
          </cell>
          <cell r="B403" t="str">
            <v>GoudaV</v>
          </cell>
          <cell r="C403" t="str">
            <v>4INZ 160GoudaV</v>
          </cell>
          <cell r="D403" t="str">
            <v>EUR</v>
          </cell>
          <cell r="E403">
            <v>4.7</v>
          </cell>
          <cell r="F403" t="str">
            <v>EUR/kg</v>
          </cell>
          <cell r="G403" t="str">
            <v>Yes</v>
          </cell>
          <cell r="H403" t="str">
            <v>Insul. blanket Zirlane</v>
          </cell>
          <cell r="K403" t="str">
            <v>wool</v>
          </cell>
        </row>
        <row r="404">
          <cell r="A404" t="str">
            <v>4MH0</v>
          </cell>
          <cell r="B404" t="str">
            <v>BENTELER</v>
          </cell>
          <cell r="C404" t="str">
            <v>4MH0BENTELER</v>
          </cell>
          <cell r="D404" t="str">
            <v>EUR</v>
          </cell>
          <cell r="E404">
            <v>0</v>
          </cell>
          <cell r="F404" t="str">
            <v>EUR/t</v>
          </cell>
          <cell r="G404" t="str">
            <v>Yes</v>
          </cell>
          <cell r="H404" t="str">
            <v>headerpipe approx 8 inch</v>
          </cell>
          <cell r="K404" t="str">
            <v>baretube</v>
          </cell>
        </row>
        <row r="405">
          <cell r="A405" t="str">
            <v>4MH</v>
          </cell>
          <cell r="B405" t="str">
            <v>BySubc</v>
          </cell>
          <cell r="C405" t="str">
            <v>4MHBySubc</v>
          </cell>
          <cell r="D405" t="str">
            <v>EUR</v>
          </cell>
          <cell r="E405">
            <v>0</v>
          </cell>
          <cell r="F405" t="str">
            <v>EUR/t</v>
          </cell>
          <cell r="G405" t="str">
            <v>no</v>
          </cell>
          <cell r="H405" t="str">
            <v>mat's included in fabr.rate</v>
          </cell>
          <cell r="K405" t="str">
            <v>mat's</v>
          </cell>
        </row>
        <row r="406">
          <cell r="A406" t="str">
            <v>4MHSA-106 GrB</v>
          </cell>
          <cell r="B406" t="str">
            <v>BENTELER</v>
          </cell>
          <cell r="C406" t="str">
            <v>4MHSA-106 GrBBENTELER</v>
          </cell>
          <cell r="D406" t="str">
            <v>EUR</v>
          </cell>
          <cell r="E406">
            <v>675</v>
          </cell>
          <cell r="F406" t="str">
            <v>EUR/t</v>
          </cell>
          <cell r="G406" t="str">
            <v>Yes</v>
          </cell>
          <cell r="H406" t="str">
            <v>headerpipe approx 8 inch</v>
          </cell>
          <cell r="K406" t="str">
            <v>headerpipe</v>
          </cell>
        </row>
        <row r="407">
          <cell r="A407" t="str">
            <v>4MHSA-106 GrB</v>
          </cell>
          <cell r="B407" t="str">
            <v>V&amp;M</v>
          </cell>
          <cell r="C407" t="str">
            <v>4MHSA-106 GrBV&amp;M</v>
          </cell>
          <cell r="D407" t="str">
            <v>EUR</v>
          </cell>
          <cell r="E407">
            <v>675</v>
          </cell>
          <cell r="F407" t="str">
            <v>EUR/t</v>
          </cell>
          <cell r="G407" t="str">
            <v>Yes</v>
          </cell>
          <cell r="H407" t="str">
            <v>headerpipe approx 8 inch</v>
          </cell>
          <cell r="K407" t="str">
            <v>headerpipe</v>
          </cell>
        </row>
        <row r="408">
          <cell r="A408" t="str">
            <v>4MHSA-106 GrC</v>
          </cell>
          <cell r="B408" t="str">
            <v>BENTELER</v>
          </cell>
          <cell r="C408" t="str">
            <v>4MHSA-106 GrCBENTELER</v>
          </cell>
          <cell r="D408" t="str">
            <v>EUR</v>
          </cell>
          <cell r="E408">
            <v>865</v>
          </cell>
          <cell r="F408" t="str">
            <v>EUR/t</v>
          </cell>
          <cell r="G408" t="str">
            <v>Yes</v>
          </cell>
          <cell r="H408" t="str">
            <v>headerpipe approx 8 inch</v>
          </cell>
          <cell r="K408" t="str">
            <v>headerpipe</v>
          </cell>
        </row>
        <row r="409">
          <cell r="A409" t="str">
            <v>4MHSA-106 GrC</v>
          </cell>
          <cell r="B409" t="str">
            <v>V&amp;M</v>
          </cell>
          <cell r="C409" t="str">
            <v>4MHSA-106 GrCV&amp;M</v>
          </cell>
          <cell r="D409" t="str">
            <v>EUR</v>
          </cell>
          <cell r="E409">
            <v>865</v>
          </cell>
          <cell r="F409" t="str">
            <v>EUR/t</v>
          </cell>
          <cell r="G409" t="str">
            <v>Yes</v>
          </cell>
          <cell r="H409" t="str">
            <v>headerpipe approx 8 inch</v>
          </cell>
          <cell r="K409" t="str">
            <v>headerpipe</v>
          </cell>
        </row>
        <row r="410">
          <cell r="A410" t="str">
            <v>4MHSA-335 P11</v>
          </cell>
          <cell r="B410" t="str">
            <v>BENTELER</v>
          </cell>
          <cell r="C410" t="str">
            <v>4MHSA-335 P11BENTELER</v>
          </cell>
          <cell r="D410" t="str">
            <v>EUR</v>
          </cell>
          <cell r="E410">
            <v>1110</v>
          </cell>
          <cell r="F410" t="str">
            <v>EUR/t</v>
          </cell>
          <cell r="G410" t="str">
            <v>Yes</v>
          </cell>
          <cell r="H410" t="str">
            <v>headerpipe approx 8 inch</v>
          </cell>
          <cell r="K410" t="str">
            <v>headerpipe</v>
          </cell>
        </row>
        <row r="411">
          <cell r="A411" t="str">
            <v>4MHSA-335 P11</v>
          </cell>
          <cell r="B411" t="str">
            <v>V&amp;M</v>
          </cell>
          <cell r="C411" t="str">
            <v>4MHSA-335 P11V&amp;M</v>
          </cell>
          <cell r="D411" t="str">
            <v>EUR</v>
          </cell>
          <cell r="E411">
            <v>1110</v>
          </cell>
          <cell r="F411" t="str">
            <v>EUR/t</v>
          </cell>
          <cell r="G411" t="str">
            <v>Yes</v>
          </cell>
          <cell r="H411" t="str">
            <v>headerpipe approx 8 inch</v>
          </cell>
          <cell r="K411" t="str">
            <v>headerpipe</v>
          </cell>
        </row>
        <row r="412">
          <cell r="A412" t="str">
            <v>4MHSA-335 P22</v>
          </cell>
          <cell r="B412" t="str">
            <v>BENTELER</v>
          </cell>
          <cell r="C412" t="str">
            <v>4MHSA-335 P22BENTELER</v>
          </cell>
          <cell r="D412" t="str">
            <v>EUR</v>
          </cell>
          <cell r="E412">
            <v>1250</v>
          </cell>
          <cell r="F412" t="str">
            <v>EUR/t</v>
          </cell>
          <cell r="G412" t="str">
            <v>Yes</v>
          </cell>
          <cell r="H412" t="str">
            <v>headerpipe approx 8 inch</v>
          </cell>
          <cell r="K412" t="str">
            <v>headerpipe</v>
          </cell>
        </row>
        <row r="413">
          <cell r="A413" t="str">
            <v>4MHSA-335 P22</v>
          </cell>
          <cell r="B413" t="str">
            <v>V&amp;M</v>
          </cell>
          <cell r="C413" t="str">
            <v>4MHSA-335 P22V&amp;M</v>
          </cell>
          <cell r="D413" t="str">
            <v>EUR</v>
          </cell>
          <cell r="E413">
            <v>1250</v>
          </cell>
          <cell r="F413" t="str">
            <v>EUR/t</v>
          </cell>
          <cell r="G413" t="str">
            <v>Yes</v>
          </cell>
          <cell r="H413" t="str">
            <v>headerpipe approx 8 inch</v>
          </cell>
          <cell r="K413" t="str">
            <v>headerpipe</v>
          </cell>
        </row>
        <row r="414">
          <cell r="A414" t="str">
            <v>4MHSA-335 P91</v>
          </cell>
          <cell r="B414" t="str">
            <v>BENTELER</v>
          </cell>
          <cell r="C414" t="str">
            <v>4MHSA-335 P91BENTELER</v>
          </cell>
          <cell r="D414" t="str">
            <v>EUR</v>
          </cell>
          <cell r="E414">
            <v>3100</v>
          </cell>
          <cell r="F414" t="str">
            <v>EUR/t</v>
          </cell>
          <cell r="G414" t="str">
            <v>Yes</v>
          </cell>
          <cell r="H414" t="str">
            <v>headerpipe approx 8 inch</v>
          </cell>
          <cell r="K414" t="str">
            <v>headerpipe</v>
          </cell>
        </row>
        <row r="415">
          <cell r="A415" t="str">
            <v>4MHSA-335 P91</v>
          </cell>
          <cell r="B415" t="str">
            <v>V&amp;M</v>
          </cell>
          <cell r="C415" t="str">
            <v>4MHSA-335 P91V&amp;M</v>
          </cell>
          <cell r="D415" t="str">
            <v>EUR</v>
          </cell>
          <cell r="E415">
            <v>3100</v>
          </cell>
          <cell r="F415" t="str">
            <v>EUR/t</v>
          </cell>
          <cell r="G415" t="str">
            <v>Yes</v>
          </cell>
          <cell r="H415" t="str">
            <v>headerpipe approx 8 inch</v>
          </cell>
          <cell r="K415" t="str">
            <v>headerpipe</v>
          </cell>
        </row>
        <row r="416">
          <cell r="A416" t="str">
            <v>4MT</v>
          </cell>
          <cell r="B416" t="str">
            <v>BENTELER</v>
          </cell>
          <cell r="C416" t="str">
            <v>4MTBENTELER</v>
          </cell>
          <cell r="D416" t="str">
            <v>EUR</v>
          </cell>
          <cell r="E416">
            <v>0</v>
          </cell>
          <cell r="F416" t="str">
            <v>EUR/t</v>
          </cell>
          <cell r="G416" t="str">
            <v>Yes</v>
          </cell>
          <cell r="H416" t="str">
            <v>baretube</v>
          </cell>
          <cell r="K416" t="str">
            <v>baretube</v>
          </cell>
        </row>
        <row r="417">
          <cell r="A417" t="str">
            <v>4MT</v>
          </cell>
          <cell r="B417" t="str">
            <v>BySubc</v>
          </cell>
          <cell r="C417" t="str">
            <v>4MTBySubc</v>
          </cell>
          <cell r="D417" t="str">
            <v>EUR</v>
          </cell>
          <cell r="E417">
            <v>0</v>
          </cell>
          <cell r="F417" t="str">
            <v>EUR/t</v>
          </cell>
          <cell r="G417" t="str">
            <v>no</v>
          </cell>
          <cell r="H417" t="str">
            <v>mat's included in fabr.rate</v>
          </cell>
          <cell r="K417" t="str">
            <v>mat's</v>
          </cell>
        </row>
        <row r="418">
          <cell r="A418" t="str">
            <v>4MTSA-192252.6</v>
          </cell>
          <cell r="B418" t="str">
            <v>BENTELER</v>
          </cell>
          <cell r="C418" t="str">
            <v>4MTSA-192252.6BENTELER</v>
          </cell>
          <cell r="D418" t="str">
            <v>EUR</v>
          </cell>
          <cell r="E418">
            <v>741</v>
          </cell>
          <cell r="F418" t="str">
            <v>EUR/t</v>
          </cell>
          <cell r="G418" t="str">
            <v>Yes</v>
          </cell>
          <cell r="H418" t="str">
            <v>Frame contract for 2002</v>
          </cell>
          <cell r="K418" t="str">
            <v>baretube</v>
          </cell>
        </row>
        <row r="419">
          <cell r="A419" t="str">
            <v>4MTSA-192252.9</v>
          </cell>
          <cell r="B419" t="str">
            <v>BENTELER</v>
          </cell>
          <cell r="C419" t="str">
            <v>4MTSA-192252.9BENTELER</v>
          </cell>
          <cell r="D419" t="str">
            <v>EUR</v>
          </cell>
          <cell r="E419">
            <v>708</v>
          </cell>
          <cell r="F419" t="str">
            <v>EUR/t</v>
          </cell>
          <cell r="G419" t="str">
            <v>Yes</v>
          </cell>
          <cell r="H419" t="str">
            <v>Frame contract for 2002</v>
          </cell>
          <cell r="K419" t="str">
            <v>baretube</v>
          </cell>
        </row>
        <row r="420">
          <cell r="A420" t="str">
            <v>4MTSA-192253.2</v>
          </cell>
          <cell r="B420" t="str">
            <v>BENTELER</v>
          </cell>
          <cell r="C420" t="str">
            <v>4MTSA-192253.2BENTELER</v>
          </cell>
          <cell r="D420" t="str">
            <v>EUR</v>
          </cell>
          <cell r="E420">
            <v>708</v>
          </cell>
          <cell r="F420" t="str">
            <v>EUR/t</v>
          </cell>
          <cell r="G420" t="str">
            <v>Yes</v>
          </cell>
          <cell r="H420" t="str">
            <v>Frame contract for 2002</v>
          </cell>
          <cell r="K420" t="str">
            <v>baretube</v>
          </cell>
        </row>
        <row r="421">
          <cell r="A421" t="str">
            <v>4MTSA-192253.4</v>
          </cell>
          <cell r="B421" t="str">
            <v>BENTELER</v>
          </cell>
          <cell r="C421" t="str">
            <v>4MTSA-192253.4BENTELER</v>
          </cell>
          <cell r="D421" t="str">
            <v>EUR</v>
          </cell>
          <cell r="E421">
            <v>708</v>
          </cell>
          <cell r="F421" t="str">
            <v>EUR/t</v>
          </cell>
          <cell r="G421" t="str">
            <v>Yes</v>
          </cell>
          <cell r="H421" t="str">
            <v>Frame contract for 2002</v>
          </cell>
          <cell r="K421" t="str">
            <v>baretube</v>
          </cell>
        </row>
        <row r="422">
          <cell r="A422" t="str">
            <v>4MTSA-192253.6</v>
          </cell>
          <cell r="B422" t="str">
            <v>BENTELER</v>
          </cell>
          <cell r="C422" t="str">
            <v>4MTSA-192253.6BENTELER</v>
          </cell>
          <cell r="D422" t="str">
            <v>EUR</v>
          </cell>
          <cell r="E422">
            <v>708</v>
          </cell>
          <cell r="F422" t="str">
            <v>EUR/t</v>
          </cell>
          <cell r="G422" t="str">
            <v>Yes</v>
          </cell>
          <cell r="H422" t="str">
            <v>Frame contract for 2002</v>
          </cell>
          <cell r="K422" t="str">
            <v>baretube</v>
          </cell>
        </row>
        <row r="423">
          <cell r="A423" t="str">
            <v>4MTSA-192253.9</v>
          </cell>
          <cell r="B423" t="str">
            <v>BENTELER</v>
          </cell>
          <cell r="C423" t="str">
            <v>4MTSA-192253.9BENTELER</v>
          </cell>
          <cell r="D423" t="str">
            <v>EUR</v>
          </cell>
          <cell r="E423">
            <v>708</v>
          </cell>
          <cell r="F423" t="str">
            <v>EUR/t</v>
          </cell>
          <cell r="G423" t="str">
            <v>Yes</v>
          </cell>
          <cell r="H423" t="str">
            <v>Frame contract for 2002</v>
          </cell>
          <cell r="K423" t="str">
            <v>baretube</v>
          </cell>
        </row>
        <row r="424">
          <cell r="A424" t="str">
            <v>4MTSA-192254.5</v>
          </cell>
          <cell r="B424" t="str">
            <v>BENTELER</v>
          </cell>
          <cell r="C424" t="str">
            <v>4MTSA-192254.5BENTELER</v>
          </cell>
          <cell r="D424" t="str">
            <v>EUR</v>
          </cell>
          <cell r="E424">
            <v>708</v>
          </cell>
          <cell r="F424" t="str">
            <v>EUR/t</v>
          </cell>
          <cell r="G424" t="str">
            <v>Yes</v>
          </cell>
          <cell r="H424" t="str">
            <v>Frame contract for 2002</v>
          </cell>
          <cell r="K424" t="str">
            <v>baretube</v>
          </cell>
        </row>
        <row r="425">
          <cell r="A425" t="str">
            <v>4MTSA-192254</v>
          </cell>
          <cell r="B425" t="str">
            <v>BENTELER</v>
          </cell>
          <cell r="C425" t="str">
            <v>4MTSA-192254BENTELER</v>
          </cell>
          <cell r="D425" t="str">
            <v>EUR</v>
          </cell>
          <cell r="E425">
            <v>708</v>
          </cell>
          <cell r="F425" t="str">
            <v>EUR/t</v>
          </cell>
          <cell r="G425" t="str">
            <v>Yes</v>
          </cell>
          <cell r="H425" t="str">
            <v>Frame contract for 2002</v>
          </cell>
          <cell r="K425" t="str">
            <v>baretube</v>
          </cell>
        </row>
        <row r="426">
          <cell r="A426" t="str">
            <v>4MTSA-19226.92.6</v>
          </cell>
          <cell r="B426" t="str">
            <v>BENTELER</v>
          </cell>
          <cell r="C426" t="str">
            <v>4MTSA-19226.92.6BENTELER</v>
          </cell>
          <cell r="D426" t="str">
            <v>EUR</v>
          </cell>
          <cell r="E426">
            <v>741</v>
          </cell>
          <cell r="F426" t="str">
            <v>EUR/t</v>
          </cell>
          <cell r="G426" t="str">
            <v>Yes</v>
          </cell>
          <cell r="H426" t="str">
            <v>Frame contract for 2002</v>
          </cell>
          <cell r="K426" t="str">
            <v>baretube</v>
          </cell>
        </row>
        <row r="427">
          <cell r="A427" t="str">
            <v>4MTSA-19231.82.6</v>
          </cell>
          <cell r="B427" t="str">
            <v>BENTELER</v>
          </cell>
          <cell r="C427" t="str">
            <v>4MTSA-19231.82.6BENTELER</v>
          </cell>
          <cell r="D427" t="str">
            <v>EUR</v>
          </cell>
          <cell r="E427">
            <v>672</v>
          </cell>
          <cell r="F427" t="str">
            <v>EUR/t</v>
          </cell>
          <cell r="G427" t="str">
            <v>Yes</v>
          </cell>
          <cell r="H427" t="str">
            <v>Frame contract for 2002</v>
          </cell>
          <cell r="K427" t="str">
            <v>baretube</v>
          </cell>
        </row>
        <row r="428">
          <cell r="A428" t="str">
            <v>4MTSA-19231.82.9</v>
          </cell>
          <cell r="B428" t="str">
            <v>BENTELER</v>
          </cell>
          <cell r="C428" t="str">
            <v>4MTSA-19231.82.9BENTELER</v>
          </cell>
          <cell r="D428" t="str">
            <v>EUR</v>
          </cell>
          <cell r="E428">
            <v>661</v>
          </cell>
          <cell r="F428" t="str">
            <v>EUR/t</v>
          </cell>
          <cell r="G428" t="str">
            <v>Yes</v>
          </cell>
          <cell r="H428" t="str">
            <v>Frame contract for 2002</v>
          </cell>
          <cell r="K428" t="str">
            <v>baretube</v>
          </cell>
        </row>
        <row r="429">
          <cell r="A429" t="str">
            <v>4MTSA-19231.83.2</v>
          </cell>
          <cell r="B429" t="str">
            <v>BENTELER</v>
          </cell>
          <cell r="C429" t="str">
            <v>4MTSA-19231.83.2BENTELER</v>
          </cell>
          <cell r="D429" t="str">
            <v>EUR</v>
          </cell>
          <cell r="E429">
            <v>661</v>
          </cell>
          <cell r="F429" t="str">
            <v>EUR/t</v>
          </cell>
          <cell r="G429" t="str">
            <v>Yes</v>
          </cell>
          <cell r="H429" t="str">
            <v>Frame contract for 2002</v>
          </cell>
          <cell r="K429" t="str">
            <v>baretube</v>
          </cell>
        </row>
        <row r="430">
          <cell r="A430" t="str">
            <v>4MTSA-19231.83.4</v>
          </cell>
          <cell r="B430" t="str">
            <v>BENTELER</v>
          </cell>
          <cell r="C430" t="str">
            <v>4MTSA-19231.83.4BENTELER</v>
          </cell>
          <cell r="D430" t="str">
            <v>EUR</v>
          </cell>
          <cell r="E430">
            <v>661</v>
          </cell>
          <cell r="F430" t="str">
            <v>EUR/t</v>
          </cell>
          <cell r="G430" t="str">
            <v>Yes</v>
          </cell>
          <cell r="H430" t="str">
            <v>Frame contract for 2002</v>
          </cell>
          <cell r="K430" t="str">
            <v>baretube</v>
          </cell>
        </row>
        <row r="431">
          <cell r="A431" t="str">
            <v>4MTSA-19231.83.6</v>
          </cell>
          <cell r="B431" t="str">
            <v>BENTELER</v>
          </cell>
          <cell r="C431" t="str">
            <v>4MTSA-19231.83.6BENTELER</v>
          </cell>
          <cell r="D431" t="str">
            <v>EUR</v>
          </cell>
          <cell r="E431">
            <v>656</v>
          </cell>
          <cell r="F431" t="str">
            <v>EUR/t</v>
          </cell>
          <cell r="G431" t="str">
            <v>Yes</v>
          </cell>
          <cell r="H431" t="str">
            <v>Frame contract for 2002</v>
          </cell>
          <cell r="K431" t="str">
            <v>baretube</v>
          </cell>
        </row>
        <row r="432">
          <cell r="A432" t="str">
            <v>4MTSA-19231.83.9</v>
          </cell>
          <cell r="B432" t="str">
            <v>BENTELER</v>
          </cell>
          <cell r="C432" t="str">
            <v>4MTSA-19231.83.9BENTELER</v>
          </cell>
          <cell r="D432" t="str">
            <v>EUR</v>
          </cell>
          <cell r="E432">
            <v>656</v>
          </cell>
          <cell r="F432" t="str">
            <v>EUR/t</v>
          </cell>
          <cell r="G432" t="str">
            <v>Yes</v>
          </cell>
          <cell r="H432" t="str">
            <v>Frame contract for 2002</v>
          </cell>
          <cell r="K432" t="str">
            <v>baretube</v>
          </cell>
        </row>
        <row r="433">
          <cell r="A433" t="str">
            <v>4MTSA-19231.84.5</v>
          </cell>
          <cell r="B433" t="str">
            <v>BENTELER</v>
          </cell>
          <cell r="C433" t="str">
            <v>4MTSA-19231.84.5BENTELER</v>
          </cell>
          <cell r="D433" t="str">
            <v>EUR</v>
          </cell>
          <cell r="E433">
            <v>656</v>
          </cell>
          <cell r="F433" t="str">
            <v>EUR/t</v>
          </cell>
          <cell r="G433" t="str">
            <v>Yes</v>
          </cell>
          <cell r="H433" t="str">
            <v>Frame contract for 2002</v>
          </cell>
          <cell r="K433" t="str">
            <v>baretube</v>
          </cell>
        </row>
        <row r="434">
          <cell r="A434" t="str">
            <v>4MTSA-19231.84</v>
          </cell>
          <cell r="B434" t="str">
            <v>BENTELER</v>
          </cell>
          <cell r="C434" t="str">
            <v>4MTSA-19231.84BENTELER</v>
          </cell>
          <cell r="D434" t="str">
            <v>EUR</v>
          </cell>
          <cell r="E434">
            <v>656</v>
          </cell>
          <cell r="F434" t="str">
            <v>EUR/t</v>
          </cell>
          <cell r="G434" t="str">
            <v>Yes</v>
          </cell>
          <cell r="H434" t="str">
            <v>Frame contract for 2002</v>
          </cell>
          <cell r="K434" t="str">
            <v>baretube</v>
          </cell>
        </row>
        <row r="435">
          <cell r="A435" t="str">
            <v>4MTSA-192382.6</v>
          </cell>
          <cell r="B435" t="str">
            <v>BENTELER</v>
          </cell>
          <cell r="C435" t="str">
            <v>4MTSA-192382.6BENTELER</v>
          </cell>
          <cell r="D435" t="str">
            <v>EUR</v>
          </cell>
          <cell r="E435">
            <v>653</v>
          </cell>
          <cell r="F435" t="str">
            <v>EUR/t</v>
          </cell>
          <cell r="G435" t="str">
            <v>Yes</v>
          </cell>
          <cell r="H435" t="str">
            <v>Frame contract for 2002</v>
          </cell>
          <cell r="K435" t="str">
            <v>baretube</v>
          </cell>
        </row>
        <row r="436">
          <cell r="A436" t="str">
            <v>4MTSA-192382.8</v>
          </cell>
          <cell r="B436" t="str">
            <v>BENTELER</v>
          </cell>
          <cell r="C436" t="str">
            <v>4MTSA-192382.8BENTELER</v>
          </cell>
          <cell r="D436" t="str">
            <v>EUR</v>
          </cell>
          <cell r="E436">
            <v>649</v>
          </cell>
          <cell r="F436" t="str">
            <v>EUR/t</v>
          </cell>
          <cell r="G436" t="str">
            <v>Yes</v>
          </cell>
          <cell r="H436" t="str">
            <v>Frame contract for 2002</v>
          </cell>
          <cell r="K436" t="str">
            <v>baretube</v>
          </cell>
        </row>
        <row r="437">
          <cell r="A437" t="str">
            <v>4MTSA-192382.9</v>
          </cell>
          <cell r="B437" t="str">
            <v>BENTELER</v>
          </cell>
          <cell r="C437" t="str">
            <v>4MTSA-192382.9BENTELER</v>
          </cell>
          <cell r="D437" t="str">
            <v>EUR</v>
          </cell>
          <cell r="E437">
            <v>648</v>
          </cell>
          <cell r="F437" t="str">
            <v>EUR/t</v>
          </cell>
          <cell r="G437" t="str">
            <v>Yes</v>
          </cell>
          <cell r="H437" t="str">
            <v>Frame contract for 2002</v>
          </cell>
          <cell r="K437" t="str">
            <v>baretube</v>
          </cell>
        </row>
        <row r="438">
          <cell r="A438" t="str">
            <v>4MTSA-192383.1</v>
          </cell>
          <cell r="B438" t="str">
            <v>BENTELER</v>
          </cell>
          <cell r="C438" t="str">
            <v>4MTSA-192383.1BENTELER</v>
          </cell>
          <cell r="D438" t="str">
            <v>EUR</v>
          </cell>
          <cell r="E438">
            <v>642</v>
          </cell>
          <cell r="F438" t="str">
            <v>EUR/t</v>
          </cell>
          <cell r="G438" t="str">
            <v>Yes</v>
          </cell>
          <cell r="H438" t="str">
            <v>Frame contract for 2002</v>
          </cell>
          <cell r="K438" t="str">
            <v>baretube</v>
          </cell>
        </row>
        <row r="439">
          <cell r="A439" t="str">
            <v>4MTSA-192383.2</v>
          </cell>
          <cell r="B439" t="str">
            <v>BENTELER</v>
          </cell>
          <cell r="C439" t="str">
            <v>4MTSA-192383.2BENTELER</v>
          </cell>
          <cell r="D439" t="str">
            <v>EUR</v>
          </cell>
          <cell r="E439">
            <v>642</v>
          </cell>
          <cell r="F439" t="str">
            <v>EUR/t</v>
          </cell>
          <cell r="G439" t="str">
            <v>Yes</v>
          </cell>
          <cell r="H439" t="str">
            <v>Frame contract for 2002</v>
          </cell>
          <cell r="K439" t="str">
            <v>baretube</v>
          </cell>
        </row>
        <row r="440">
          <cell r="A440" t="str">
            <v>4MTSA-192383.4</v>
          </cell>
          <cell r="B440" t="str">
            <v>BENTELER</v>
          </cell>
          <cell r="C440" t="str">
            <v>4MTSA-192383.4BENTELER</v>
          </cell>
          <cell r="D440" t="str">
            <v>EUR</v>
          </cell>
          <cell r="E440">
            <v>642</v>
          </cell>
          <cell r="F440" t="str">
            <v>EUR/t</v>
          </cell>
          <cell r="G440" t="str">
            <v>Yes</v>
          </cell>
          <cell r="H440" t="str">
            <v>Frame contract for 2002</v>
          </cell>
          <cell r="K440" t="str">
            <v>baretube</v>
          </cell>
        </row>
        <row r="441">
          <cell r="A441" t="str">
            <v>4MTSA-192383.6</v>
          </cell>
          <cell r="B441" t="str">
            <v>BENTELER</v>
          </cell>
          <cell r="C441" t="str">
            <v>4MTSA-192383.6BENTELER</v>
          </cell>
          <cell r="D441" t="str">
            <v>EUR</v>
          </cell>
          <cell r="E441">
            <v>638</v>
          </cell>
          <cell r="F441" t="str">
            <v>EUR/t</v>
          </cell>
          <cell r="G441" t="str">
            <v>Yes</v>
          </cell>
          <cell r="H441" t="str">
            <v>Frame contract for 2002</v>
          </cell>
          <cell r="K441" t="str">
            <v>baretube</v>
          </cell>
        </row>
        <row r="442">
          <cell r="A442" t="str">
            <v>4MTSA-192383.9</v>
          </cell>
          <cell r="B442" t="str">
            <v>BENTELER</v>
          </cell>
          <cell r="C442" t="str">
            <v>4MTSA-192383.9BENTELER</v>
          </cell>
          <cell r="D442" t="str">
            <v>EUR</v>
          </cell>
          <cell r="E442">
            <v>638</v>
          </cell>
          <cell r="F442" t="str">
            <v>EUR/t</v>
          </cell>
          <cell r="G442" t="str">
            <v>Yes</v>
          </cell>
          <cell r="H442" t="str">
            <v>Frame contract for 2002</v>
          </cell>
          <cell r="K442" t="str">
            <v>baretube</v>
          </cell>
        </row>
        <row r="443">
          <cell r="A443" t="str">
            <v>4MTSA-192383</v>
          </cell>
          <cell r="B443" t="str">
            <v>BENTELER</v>
          </cell>
          <cell r="C443" t="str">
            <v>4MTSA-192383BENTELER</v>
          </cell>
          <cell r="D443" t="str">
            <v>EUR</v>
          </cell>
          <cell r="E443">
            <v>648</v>
          </cell>
          <cell r="F443" t="str">
            <v>EUR/t</v>
          </cell>
          <cell r="G443" t="str">
            <v>Yes</v>
          </cell>
          <cell r="H443" t="str">
            <v>Frame contract for 2002</v>
          </cell>
          <cell r="K443" t="str">
            <v>baretube</v>
          </cell>
        </row>
        <row r="444">
          <cell r="A444" t="str">
            <v>4MTSA-192384.1</v>
          </cell>
          <cell r="B444" t="str">
            <v>BENTELER</v>
          </cell>
          <cell r="C444" t="str">
            <v>4MTSA-192384.1BENTELER</v>
          </cell>
          <cell r="D444" t="str">
            <v>EUR</v>
          </cell>
          <cell r="E444">
            <v>638</v>
          </cell>
          <cell r="F444" t="str">
            <v>EUR/t</v>
          </cell>
          <cell r="G444" t="str">
            <v>Yes</v>
          </cell>
          <cell r="H444" t="str">
            <v>Frame contract for 2002</v>
          </cell>
          <cell r="K444" t="str">
            <v>baretube</v>
          </cell>
        </row>
        <row r="445">
          <cell r="A445" t="str">
            <v>4MTSA-192384.5</v>
          </cell>
          <cell r="B445" t="str">
            <v>BENTELER</v>
          </cell>
          <cell r="C445" t="str">
            <v>4MTSA-192384.5BENTELER</v>
          </cell>
          <cell r="D445" t="str">
            <v>EUR</v>
          </cell>
          <cell r="E445">
            <v>638</v>
          </cell>
          <cell r="F445" t="str">
            <v>EUR/t</v>
          </cell>
          <cell r="G445" t="str">
            <v>Yes</v>
          </cell>
          <cell r="H445" t="str">
            <v>Frame contract for 2002</v>
          </cell>
          <cell r="K445" t="str">
            <v>baretube</v>
          </cell>
        </row>
        <row r="446">
          <cell r="A446" t="str">
            <v>4MTSA-192384</v>
          </cell>
          <cell r="B446" t="str">
            <v>BENTELER</v>
          </cell>
          <cell r="C446" t="str">
            <v>4MTSA-192384BENTELER</v>
          </cell>
          <cell r="D446" t="str">
            <v>EUR</v>
          </cell>
          <cell r="E446">
            <v>638</v>
          </cell>
          <cell r="F446" t="str">
            <v>EUR/t</v>
          </cell>
          <cell r="G446" t="str">
            <v>Yes</v>
          </cell>
          <cell r="H446" t="str">
            <v>Frame contract for 2002</v>
          </cell>
          <cell r="K446" t="str">
            <v>baretube</v>
          </cell>
        </row>
        <row r="447">
          <cell r="A447" t="str">
            <v>4MTSA-19244.52.6</v>
          </cell>
          <cell r="B447" t="str">
            <v>BENTELER</v>
          </cell>
          <cell r="C447" t="str">
            <v>4MTSA-19244.52.6BENTELER</v>
          </cell>
          <cell r="D447" t="str">
            <v>EUR</v>
          </cell>
          <cell r="E447">
            <v>653</v>
          </cell>
          <cell r="F447" t="str">
            <v>EUR/t</v>
          </cell>
          <cell r="G447" t="str">
            <v>Yes</v>
          </cell>
          <cell r="H447" t="str">
            <v>Frame contract for 2002</v>
          </cell>
          <cell r="K447" t="str">
            <v>baretube</v>
          </cell>
        </row>
        <row r="448">
          <cell r="A448" t="str">
            <v>4MTSA-19244.52.9</v>
          </cell>
          <cell r="B448" t="str">
            <v>BENTELER</v>
          </cell>
          <cell r="C448" t="str">
            <v>4MTSA-19244.52.9BENTELER</v>
          </cell>
          <cell r="D448" t="str">
            <v>EUR</v>
          </cell>
          <cell r="E448">
            <v>648</v>
          </cell>
          <cell r="F448" t="str">
            <v>EUR/t</v>
          </cell>
          <cell r="G448" t="str">
            <v>Yes</v>
          </cell>
          <cell r="H448" t="str">
            <v>Frame contract for 2002</v>
          </cell>
          <cell r="K448" t="str">
            <v>baretube</v>
          </cell>
        </row>
        <row r="449">
          <cell r="A449" t="str">
            <v>4MTSA-19244.53.2</v>
          </cell>
          <cell r="B449" t="str">
            <v>BENTELER</v>
          </cell>
          <cell r="C449" t="str">
            <v>4MTSA-19244.53.2BENTELER</v>
          </cell>
          <cell r="D449" t="str">
            <v>EUR</v>
          </cell>
          <cell r="E449">
            <v>642</v>
          </cell>
          <cell r="F449" t="str">
            <v>EUR/t</v>
          </cell>
          <cell r="G449" t="str">
            <v>Yes</v>
          </cell>
          <cell r="H449" t="str">
            <v>Frame contract for 2002</v>
          </cell>
          <cell r="K449" t="str">
            <v>baretube</v>
          </cell>
        </row>
        <row r="450">
          <cell r="A450" t="str">
            <v>4MTSA-19244.53.4</v>
          </cell>
          <cell r="B450" t="str">
            <v>BENTELER</v>
          </cell>
          <cell r="C450" t="str">
            <v>4MTSA-19244.53.4BENTELER</v>
          </cell>
          <cell r="D450" t="str">
            <v>EUR</v>
          </cell>
          <cell r="E450">
            <v>642</v>
          </cell>
          <cell r="F450" t="str">
            <v>EUR/t</v>
          </cell>
          <cell r="G450" t="str">
            <v>Yes</v>
          </cell>
          <cell r="H450" t="str">
            <v>Frame contract for 2002</v>
          </cell>
          <cell r="K450" t="str">
            <v>baretube</v>
          </cell>
        </row>
        <row r="451">
          <cell r="A451" t="str">
            <v>4MTSA-19244.53.6</v>
          </cell>
          <cell r="B451" t="str">
            <v>BENTELER</v>
          </cell>
          <cell r="C451" t="str">
            <v>4MTSA-19244.53.6BENTELER</v>
          </cell>
          <cell r="D451" t="str">
            <v>EUR</v>
          </cell>
          <cell r="E451">
            <v>638</v>
          </cell>
          <cell r="F451" t="str">
            <v>EUR/t</v>
          </cell>
          <cell r="G451" t="str">
            <v>Yes</v>
          </cell>
          <cell r="H451" t="str">
            <v>Frame contract for 2002</v>
          </cell>
          <cell r="K451" t="str">
            <v>baretube</v>
          </cell>
        </row>
        <row r="452">
          <cell r="A452" t="str">
            <v>4MTSA-19244.53.9</v>
          </cell>
          <cell r="B452" t="str">
            <v>BENTELER</v>
          </cell>
          <cell r="C452" t="str">
            <v>4MTSA-19244.53.9BENTELER</v>
          </cell>
          <cell r="D452" t="str">
            <v>EUR</v>
          </cell>
          <cell r="E452">
            <v>638</v>
          </cell>
          <cell r="F452" t="str">
            <v>EUR/t</v>
          </cell>
          <cell r="G452" t="str">
            <v>Yes</v>
          </cell>
          <cell r="H452" t="str">
            <v>Frame contract for 2002</v>
          </cell>
          <cell r="K452" t="str">
            <v>baretube</v>
          </cell>
        </row>
        <row r="453">
          <cell r="A453" t="str">
            <v>4MTSA-19244.54.5</v>
          </cell>
          <cell r="B453" t="str">
            <v>BENTELER</v>
          </cell>
          <cell r="C453" t="str">
            <v>4MTSA-19244.54.5BENTELER</v>
          </cell>
          <cell r="D453" t="str">
            <v>EUR</v>
          </cell>
          <cell r="E453">
            <v>638</v>
          </cell>
          <cell r="F453" t="str">
            <v>EUR/t</v>
          </cell>
          <cell r="G453" t="str">
            <v>Yes</v>
          </cell>
          <cell r="H453" t="str">
            <v>Frame contract for 2002</v>
          </cell>
          <cell r="K453" t="str">
            <v>baretube</v>
          </cell>
        </row>
        <row r="454">
          <cell r="A454" t="str">
            <v>4MTSA-19244.54</v>
          </cell>
          <cell r="B454" t="str">
            <v>BENTELER</v>
          </cell>
          <cell r="C454" t="str">
            <v>4MTSA-19244.54BENTELER</v>
          </cell>
          <cell r="D454" t="str">
            <v>EUR</v>
          </cell>
          <cell r="E454">
            <v>638</v>
          </cell>
          <cell r="F454" t="str">
            <v>EUR/t</v>
          </cell>
          <cell r="G454" t="str">
            <v>Yes</v>
          </cell>
          <cell r="H454" t="str">
            <v>Frame contract for 2002</v>
          </cell>
          <cell r="K454" t="str">
            <v>baretube</v>
          </cell>
        </row>
        <row r="455">
          <cell r="A455" t="str">
            <v>4MTSA-19250.82.6</v>
          </cell>
          <cell r="B455" t="str">
            <v>BENTELER</v>
          </cell>
          <cell r="C455" t="str">
            <v>4MTSA-19250.82.6BENTELER</v>
          </cell>
          <cell r="D455" t="str">
            <v>EUR</v>
          </cell>
          <cell r="E455">
            <v>653</v>
          </cell>
          <cell r="F455" t="str">
            <v>EUR/t</v>
          </cell>
          <cell r="G455" t="str">
            <v>Yes</v>
          </cell>
          <cell r="H455" t="str">
            <v>Frame contract for 2002</v>
          </cell>
          <cell r="K455" t="str">
            <v>baretube</v>
          </cell>
        </row>
        <row r="456">
          <cell r="A456" t="str">
            <v>4MTSA-19250.82.9</v>
          </cell>
          <cell r="B456" t="str">
            <v>BENTELER</v>
          </cell>
          <cell r="C456" t="str">
            <v>4MTSA-19250.82.9BENTELER</v>
          </cell>
          <cell r="D456" t="str">
            <v>EUR</v>
          </cell>
          <cell r="E456">
            <v>648</v>
          </cell>
          <cell r="F456" t="str">
            <v>EUR/t</v>
          </cell>
          <cell r="G456" t="str">
            <v>Yes</v>
          </cell>
          <cell r="H456" t="str">
            <v>Frame contract for 2002</v>
          </cell>
          <cell r="K456" t="str">
            <v>baretube</v>
          </cell>
        </row>
        <row r="457">
          <cell r="A457" t="str">
            <v>4MTSA-19250.83.2</v>
          </cell>
          <cell r="B457" t="str">
            <v>BENTELER</v>
          </cell>
          <cell r="C457" t="str">
            <v>4MTSA-19250.83.2BENTELER</v>
          </cell>
          <cell r="D457" t="str">
            <v>EUR</v>
          </cell>
          <cell r="E457">
            <v>642</v>
          </cell>
          <cell r="F457" t="str">
            <v>EUR/t</v>
          </cell>
          <cell r="G457" t="str">
            <v>Yes</v>
          </cell>
          <cell r="H457" t="str">
            <v>Frame contract for 2002</v>
          </cell>
          <cell r="K457" t="str">
            <v>baretube</v>
          </cell>
        </row>
        <row r="458">
          <cell r="A458" t="str">
            <v>4MTSA-19250.83.4</v>
          </cell>
          <cell r="B458" t="str">
            <v>BENTELER</v>
          </cell>
          <cell r="C458" t="str">
            <v>4MTSA-19250.83.4BENTELER</v>
          </cell>
          <cell r="D458" t="str">
            <v>EUR</v>
          </cell>
          <cell r="E458">
            <v>642</v>
          </cell>
          <cell r="F458" t="str">
            <v>EUR/t</v>
          </cell>
          <cell r="G458" t="str">
            <v>Yes</v>
          </cell>
          <cell r="H458" t="str">
            <v>Frame contract for 2002</v>
          </cell>
          <cell r="K458" t="str">
            <v>baretube</v>
          </cell>
        </row>
        <row r="459">
          <cell r="A459" t="str">
            <v>4MTSA-19250.83.6</v>
          </cell>
          <cell r="B459" t="str">
            <v>BENTELER</v>
          </cell>
          <cell r="C459" t="str">
            <v>4MTSA-19250.83.6BENTELER</v>
          </cell>
          <cell r="D459" t="str">
            <v>EUR</v>
          </cell>
          <cell r="E459">
            <v>638</v>
          </cell>
          <cell r="F459" t="str">
            <v>EUR/t</v>
          </cell>
          <cell r="G459" t="str">
            <v>Yes</v>
          </cell>
          <cell r="H459" t="str">
            <v>Frame contract for 2002</v>
          </cell>
          <cell r="K459" t="str">
            <v>baretube</v>
          </cell>
        </row>
        <row r="460">
          <cell r="A460" t="str">
            <v>4MTSA-19250.83.9</v>
          </cell>
          <cell r="B460" t="str">
            <v>BENTELER</v>
          </cell>
          <cell r="C460" t="str">
            <v>4MTSA-19250.83.9BENTELER</v>
          </cell>
          <cell r="D460" t="str">
            <v>EUR</v>
          </cell>
          <cell r="E460">
            <v>638</v>
          </cell>
          <cell r="F460" t="str">
            <v>EUR/t</v>
          </cell>
          <cell r="G460" t="str">
            <v>Yes</v>
          </cell>
          <cell r="H460" t="str">
            <v>Frame contract for 2002</v>
          </cell>
          <cell r="K460" t="str">
            <v>baretube</v>
          </cell>
        </row>
        <row r="461">
          <cell r="A461" t="str">
            <v>4MTSA-19250.84.5</v>
          </cell>
          <cell r="B461" t="str">
            <v>BENTELER</v>
          </cell>
          <cell r="C461" t="str">
            <v>4MTSA-19250.84.5BENTELER</v>
          </cell>
          <cell r="D461" t="str">
            <v>EUR</v>
          </cell>
          <cell r="E461">
            <v>638</v>
          </cell>
          <cell r="F461" t="str">
            <v>EUR/t</v>
          </cell>
          <cell r="G461" t="str">
            <v>Yes</v>
          </cell>
          <cell r="H461" t="str">
            <v>Frame contract for 2002</v>
          </cell>
          <cell r="K461" t="str">
            <v>baretube</v>
          </cell>
        </row>
        <row r="462">
          <cell r="A462" t="str">
            <v>4MTSA-19250.84</v>
          </cell>
          <cell r="B462" t="str">
            <v>BENTELER</v>
          </cell>
          <cell r="C462" t="str">
            <v>4MTSA-19250.84BENTELER</v>
          </cell>
          <cell r="D462" t="str">
            <v>EUR</v>
          </cell>
          <cell r="E462">
            <v>638</v>
          </cell>
          <cell r="F462" t="str">
            <v>EUR/t</v>
          </cell>
          <cell r="G462" t="str">
            <v>Yes</v>
          </cell>
          <cell r="H462" t="str">
            <v>Frame contract for 2002</v>
          </cell>
          <cell r="K462" t="str">
            <v>baretube</v>
          </cell>
        </row>
        <row r="463">
          <cell r="A463" t="str">
            <v>4MTSA-192572.6</v>
          </cell>
          <cell r="B463" t="str">
            <v>BENTELER</v>
          </cell>
          <cell r="C463" t="str">
            <v>4MTSA-192572.6BENTELER</v>
          </cell>
          <cell r="D463" t="str">
            <v>EUR</v>
          </cell>
          <cell r="E463">
            <v>653</v>
          </cell>
          <cell r="F463" t="str">
            <v>EUR/t</v>
          </cell>
          <cell r="G463" t="str">
            <v>Yes</v>
          </cell>
          <cell r="H463" t="str">
            <v>Frame contract for 2002</v>
          </cell>
          <cell r="K463" t="str">
            <v>baretube</v>
          </cell>
        </row>
        <row r="464">
          <cell r="A464" t="str">
            <v>4MTSA-192572.9</v>
          </cell>
          <cell r="B464" t="str">
            <v>BENTELER</v>
          </cell>
          <cell r="C464" t="str">
            <v>4MTSA-192572.9BENTELER</v>
          </cell>
          <cell r="D464" t="str">
            <v>EUR</v>
          </cell>
          <cell r="E464">
            <v>648</v>
          </cell>
          <cell r="F464" t="str">
            <v>EUR/t</v>
          </cell>
          <cell r="G464" t="str">
            <v>Yes</v>
          </cell>
          <cell r="H464" t="str">
            <v>Frame contract for 2002</v>
          </cell>
          <cell r="K464" t="str">
            <v>baretube</v>
          </cell>
        </row>
        <row r="465">
          <cell r="A465" t="str">
            <v>4MTSA-192573.2</v>
          </cell>
          <cell r="B465" t="str">
            <v>BENTELER</v>
          </cell>
          <cell r="C465" t="str">
            <v>4MTSA-192573.2BENTELER</v>
          </cell>
          <cell r="D465" t="str">
            <v>EUR</v>
          </cell>
          <cell r="E465">
            <v>642</v>
          </cell>
          <cell r="F465" t="str">
            <v>EUR/t</v>
          </cell>
          <cell r="G465" t="str">
            <v>Yes</v>
          </cell>
          <cell r="H465" t="str">
            <v>Frame contract for 2002</v>
          </cell>
          <cell r="K465" t="str">
            <v>baretube</v>
          </cell>
        </row>
        <row r="466">
          <cell r="A466" t="str">
            <v>4MTSA-192573.4</v>
          </cell>
          <cell r="B466" t="str">
            <v>BENTELER</v>
          </cell>
          <cell r="C466" t="str">
            <v>4MTSA-192573.4BENTELER</v>
          </cell>
          <cell r="D466" t="str">
            <v>EUR</v>
          </cell>
          <cell r="E466">
            <v>642</v>
          </cell>
          <cell r="F466" t="str">
            <v>EUR/t</v>
          </cell>
          <cell r="G466" t="str">
            <v>Yes</v>
          </cell>
          <cell r="H466" t="str">
            <v>Frame contract for 2002</v>
          </cell>
          <cell r="K466" t="str">
            <v>baretube</v>
          </cell>
        </row>
        <row r="467">
          <cell r="A467" t="str">
            <v>4MTSA-192573.6</v>
          </cell>
          <cell r="B467" t="str">
            <v>BENTELER</v>
          </cell>
          <cell r="C467" t="str">
            <v>4MTSA-192573.6BENTELER</v>
          </cell>
          <cell r="D467" t="str">
            <v>EUR</v>
          </cell>
          <cell r="E467">
            <v>638</v>
          </cell>
          <cell r="F467" t="str">
            <v>EUR/t</v>
          </cell>
          <cell r="G467" t="str">
            <v>Yes</v>
          </cell>
          <cell r="H467" t="str">
            <v>Frame contract for 2002</v>
          </cell>
          <cell r="K467" t="str">
            <v>baretube</v>
          </cell>
        </row>
        <row r="468">
          <cell r="A468" t="str">
            <v>4MTSA-192573.9</v>
          </cell>
          <cell r="B468" t="str">
            <v>BENTELER</v>
          </cell>
          <cell r="C468" t="str">
            <v>4MTSA-192573.9BENTELER</v>
          </cell>
          <cell r="D468" t="str">
            <v>EUR</v>
          </cell>
          <cell r="E468">
            <v>638</v>
          </cell>
          <cell r="F468" t="str">
            <v>EUR/t</v>
          </cell>
          <cell r="G468" t="str">
            <v>Yes</v>
          </cell>
          <cell r="H468" t="str">
            <v>Frame contract for 2002</v>
          </cell>
          <cell r="K468" t="str">
            <v>baretube</v>
          </cell>
        </row>
        <row r="469">
          <cell r="A469" t="str">
            <v>4MTSA-192574.5</v>
          </cell>
          <cell r="B469" t="str">
            <v>BENTELER</v>
          </cell>
          <cell r="C469" t="str">
            <v>4MTSA-192574.5BENTELER</v>
          </cell>
          <cell r="D469" t="str">
            <v>EUR</v>
          </cell>
          <cell r="E469">
            <v>638</v>
          </cell>
          <cell r="F469" t="str">
            <v>EUR/t</v>
          </cell>
          <cell r="G469" t="str">
            <v>Yes</v>
          </cell>
          <cell r="H469" t="str">
            <v>Frame contract for 2002</v>
          </cell>
          <cell r="K469" t="str">
            <v>baretube</v>
          </cell>
        </row>
        <row r="470">
          <cell r="A470" t="str">
            <v>4MTSA-192574</v>
          </cell>
          <cell r="B470" t="str">
            <v>BENTELER</v>
          </cell>
          <cell r="C470" t="str">
            <v>4MTSA-192574BENTELER</v>
          </cell>
          <cell r="D470" t="str">
            <v>EUR</v>
          </cell>
          <cell r="E470">
            <v>638</v>
          </cell>
          <cell r="F470" t="str">
            <v>EUR/t</v>
          </cell>
          <cell r="G470" t="str">
            <v>Yes</v>
          </cell>
          <cell r="H470" t="str">
            <v>Frame contract for 2002</v>
          </cell>
          <cell r="K470" t="str">
            <v>baretube</v>
          </cell>
        </row>
        <row r="471">
          <cell r="A471" t="str">
            <v>4MTSA-192</v>
          </cell>
          <cell r="B471" t="str">
            <v>BENTELER</v>
          </cell>
          <cell r="C471" t="str">
            <v>4MTSA-192BENTELER</v>
          </cell>
          <cell r="D471" t="str">
            <v>EUR</v>
          </cell>
          <cell r="E471">
            <v>0</v>
          </cell>
          <cell r="F471" t="str">
            <v>EUR/t</v>
          </cell>
          <cell r="G471" t="str">
            <v>Yes</v>
          </cell>
          <cell r="H471" t="str">
            <v>Frame contract for 2002</v>
          </cell>
          <cell r="K471" t="str">
            <v>baretube</v>
          </cell>
        </row>
        <row r="472">
          <cell r="A472" t="str">
            <v>4MTSA-210 A1252.6</v>
          </cell>
          <cell r="B472" t="str">
            <v>BENTELER</v>
          </cell>
          <cell r="C472" t="str">
            <v>4MTSA-210 A1252.6BENTELER</v>
          </cell>
          <cell r="D472" t="str">
            <v>EUR</v>
          </cell>
          <cell r="E472">
            <v>741</v>
          </cell>
          <cell r="F472" t="str">
            <v>EUR/t</v>
          </cell>
          <cell r="G472" t="str">
            <v>Yes</v>
          </cell>
          <cell r="H472" t="str">
            <v>Frame contract for 2002</v>
          </cell>
          <cell r="K472" t="str">
            <v>baretube</v>
          </cell>
        </row>
        <row r="473">
          <cell r="A473" t="str">
            <v>4MTSA-210 A1252.9</v>
          </cell>
          <cell r="B473" t="str">
            <v>BENTELER</v>
          </cell>
          <cell r="C473" t="str">
            <v>4MTSA-210 A1252.9BENTELER</v>
          </cell>
          <cell r="D473" t="str">
            <v>EUR</v>
          </cell>
          <cell r="E473">
            <v>708</v>
          </cell>
          <cell r="F473" t="str">
            <v>EUR/t</v>
          </cell>
          <cell r="G473" t="str">
            <v>Yes</v>
          </cell>
          <cell r="H473" t="str">
            <v>Frame contract for 2002</v>
          </cell>
          <cell r="K473" t="str">
            <v>baretube</v>
          </cell>
        </row>
        <row r="474">
          <cell r="A474" t="str">
            <v>4MTSA-210 A1253.2</v>
          </cell>
          <cell r="B474" t="str">
            <v>BENTELER</v>
          </cell>
          <cell r="C474" t="str">
            <v>4MTSA-210 A1253.2BENTELER</v>
          </cell>
          <cell r="D474" t="str">
            <v>EUR</v>
          </cell>
          <cell r="E474">
            <v>708</v>
          </cell>
          <cell r="F474" t="str">
            <v>EUR/t</v>
          </cell>
          <cell r="G474" t="str">
            <v>Yes</v>
          </cell>
          <cell r="H474" t="str">
            <v>Frame contract for 2002</v>
          </cell>
          <cell r="K474" t="str">
            <v>baretube</v>
          </cell>
        </row>
        <row r="475">
          <cell r="A475" t="str">
            <v>4MTSA-210 A1253.4</v>
          </cell>
          <cell r="B475" t="str">
            <v>BENTELER</v>
          </cell>
          <cell r="C475" t="str">
            <v>4MTSA-210 A1253.4BENTELER</v>
          </cell>
          <cell r="D475" t="str">
            <v>EUR</v>
          </cell>
          <cell r="E475">
            <v>708</v>
          </cell>
          <cell r="F475" t="str">
            <v>EUR/t</v>
          </cell>
          <cell r="G475" t="str">
            <v>Yes</v>
          </cell>
          <cell r="H475" t="str">
            <v>Frame contract for 2002</v>
          </cell>
          <cell r="K475" t="str">
            <v>baretube</v>
          </cell>
        </row>
        <row r="476">
          <cell r="A476" t="str">
            <v>4MTSA-210 A1253.6</v>
          </cell>
          <cell r="B476" t="str">
            <v>BENTELER</v>
          </cell>
          <cell r="C476" t="str">
            <v>4MTSA-210 A1253.6BENTELER</v>
          </cell>
          <cell r="D476" t="str">
            <v>EUR</v>
          </cell>
          <cell r="E476">
            <v>708</v>
          </cell>
          <cell r="F476" t="str">
            <v>EUR/t</v>
          </cell>
          <cell r="G476" t="str">
            <v>Yes</v>
          </cell>
          <cell r="H476" t="str">
            <v>Frame contract for 2002</v>
          </cell>
          <cell r="K476" t="str">
            <v>baretube</v>
          </cell>
        </row>
        <row r="477">
          <cell r="A477" t="str">
            <v>4MTSA-210 A1253.9</v>
          </cell>
          <cell r="B477" t="str">
            <v>BENTELER</v>
          </cell>
          <cell r="C477" t="str">
            <v>4MTSA-210 A1253.9BENTELER</v>
          </cell>
          <cell r="D477" t="str">
            <v>EUR</v>
          </cell>
          <cell r="E477">
            <v>708</v>
          </cell>
          <cell r="F477" t="str">
            <v>EUR/t</v>
          </cell>
          <cell r="G477" t="str">
            <v>Yes</v>
          </cell>
          <cell r="H477" t="str">
            <v>Frame contract for 2002</v>
          </cell>
          <cell r="K477" t="str">
            <v>baretube</v>
          </cell>
        </row>
        <row r="478">
          <cell r="A478" t="str">
            <v>4MTSA-210 A1254.5</v>
          </cell>
          <cell r="B478" t="str">
            <v>BENTELER</v>
          </cell>
          <cell r="C478" t="str">
            <v>4MTSA-210 A1254.5BENTELER</v>
          </cell>
          <cell r="D478" t="str">
            <v>EUR</v>
          </cell>
          <cell r="E478">
            <v>708</v>
          </cell>
          <cell r="F478" t="str">
            <v>EUR/t</v>
          </cell>
          <cell r="G478" t="str">
            <v>Yes</v>
          </cell>
          <cell r="H478" t="str">
            <v>Frame contract for 2002</v>
          </cell>
          <cell r="K478" t="str">
            <v>baretube</v>
          </cell>
        </row>
        <row r="479">
          <cell r="A479" t="str">
            <v>4MTSA-210 A1254</v>
          </cell>
          <cell r="B479" t="str">
            <v>BENTELER</v>
          </cell>
          <cell r="C479" t="str">
            <v>4MTSA-210 A1254BENTELER</v>
          </cell>
          <cell r="D479" t="str">
            <v>EUR</v>
          </cell>
          <cell r="E479">
            <v>708</v>
          </cell>
          <cell r="F479" t="str">
            <v>EUR/t</v>
          </cell>
          <cell r="G479" t="str">
            <v>Yes</v>
          </cell>
          <cell r="H479" t="str">
            <v>Frame contract for 2002</v>
          </cell>
          <cell r="K479" t="str">
            <v>baretube</v>
          </cell>
        </row>
        <row r="480">
          <cell r="A480" t="str">
            <v>4MTSA-210 A126.92.6</v>
          </cell>
          <cell r="B480" t="str">
            <v>BENTELER</v>
          </cell>
          <cell r="C480" t="str">
            <v>4MTSA-210 A126.92.6BENTELER</v>
          </cell>
          <cell r="D480" t="str">
            <v>EUR</v>
          </cell>
          <cell r="E480">
            <v>741</v>
          </cell>
          <cell r="F480" t="str">
            <v>EUR/t</v>
          </cell>
          <cell r="G480" t="str">
            <v>Yes</v>
          </cell>
          <cell r="H480" t="str">
            <v>Frame contract for 2002</v>
          </cell>
          <cell r="K480" t="str">
            <v>baretube</v>
          </cell>
        </row>
        <row r="481">
          <cell r="A481" t="str">
            <v>4MTSA-210 A131.82.6</v>
          </cell>
          <cell r="B481" t="str">
            <v>BENTELER</v>
          </cell>
          <cell r="C481" t="str">
            <v>4MTSA-210 A131.82.6BENTELER</v>
          </cell>
          <cell r="D481" t="str">
            <v>EUR</v>
          </cell>
          <cell r="E481">
            <v>672</v>
          </cell>
          <cell r="F481" t="str">
            <v>EUR/t</v>
          </cell>
          <cell r="G481" t="str">
            <v>Yes</v>
          </cell>
          <cell r="H481" t="str">
            <v>Frame contract for 2002</v>
          </cell>
          <cell r="K481" t="str">
            <v>baretube</v>
          </cell>
        </row>
        <row r="482">
          <cell r="A482" t="str">
            <v>4MTSA-210 A131.82.9</v>
          </cell>
          <cell r="B482" t="str">
            <v>BENTELER</v>
          </cell>
          <cell r="C482" t="str">
            <v>4MTSA-210 A131.82.9BENTELER</v>
          </cell>
          <cell r="D482" t="str">
            <v>EUR</v>
          </cell>
          <cell r="E482">
            <v>661</v>
          </cell>
          <cell r="F482" t="str">
            <v>EUR/t</v>
          </cell>
          <cell r="G482" t="str">
            <v>Yes</v>
          </cell>
          <cell r="H482" t="str">
            <v>Frame contract for 2002</v>
          </cell>
          <cell r="K482" t="str">
            <v>baretube</v>
          </cell>
        </row>
        <row r="483">
          <cell r="A483" t="str">
            <v>4MTSA-210 A131.83.2</v>
          </cell>
          <cell r="B483" t="str">
            <v>BENTELER</v>
          </cell>
          <cell r="C483" t="str">
            <v>4MTSA-210 A131.83.2BENTELER</v>
          </cell>
          <cell r="D483" t="str">
            <v>EUR</v>
          </cell>
          <cell r="E483">
            <v>661</v>
          </cell>
          <cell r="F483" t="str">
            <v>EUR/t</v>
          </cell>
          <cell r="G483" t="str">
            <v>Yes</v>
          </cell>
          <cell r="H483" t="str">
            <v>Frame contract for 2002</v>
          </cell>
          <cell r="K483" t="str">
            <v>baretube</v>
          </cell>
        </row>
        <row r="484">
          <cell r="A484" t="str">
            <v>4MTSA-210 A131.83.4</v>
          </cell>
          <cell r="B484" t="str">
            <v>BENTELER</v>
          </cell>
          <cell r="C484" t="str">
            <v>4MTSA-210 A131.83.4BENTELER</v>
          </cell>
          <cell r="D484" t="str">
            <v>EUR</v>
          </cell>
          <cell r="E484">
            <v>661</v>
          </cell>
          <cell r="F484" t="str">
            <v>EUR/t</v>
          </cell>
          <cell r="G484" t="str">
            <v>Yes</v>
          </cell>
          <cell r="H484" t="str">
            <v>Frame contract for 2002</v>
          </cell>
          <cell r="K484" t="str">
            <v>baretube</v>
          </cell>
        </row>
        <row r="485">
          <cell r="A485" t="str">
            <v>4MTSA-210 A131.83.6</v>
          </cell>
          <cell r="B485" t="str">
            <v>BENTELER</v>
          </cell>
          <cell r="C485" t="str">
            <v>4MTSA-210 A131.83.6BENTELER</v>
          </cell>
          <cell r="D485" t="str">
            <v>EUR</v>
          </cell>
          <cell r="E485">
            <v>656</v>
          </cell>
          <cell r="F485" t="str">
            <v>EUR/t</v>
          </cell>
          <cell r="G485" t="str">
            <v>Yes</v>
          </cell>
          <cell r="H485" t="str">
            <v>Frame contract for 2002</v>
          </cell>
          <cell r="K485" t="str">
            <v>baretube</v>
          </cell>
        </row>
        <row r="486">
          <cell r="A486" t="str">
            <v>4MTSA-210 A131.83.9</v>
          </cell>
          <cell r="B486" t="str">
            <v>BENTELER</v>
          </cell>
          <cell r="C486" t="str">
            <v>4MTSA-210 A131.83.9BENTELER</v>
          </cell>
          <cell r="D486" t="str">
            <v>EUR</v>
          </cell>
          <cell r="E486">
            <v>656</v>
          </cell>
          <cell r="F486" t="str">
            <v>EUR/t</v>
          </cell>
          <cell r="G486" t="str">
            <v>Yes</v>
          </cell>
          <cell r="H486" t="str">
            <v>Frame contract for 2002</v>
          </cell>
          <cell r="K486" t="str">
            <v>baretube</v>
          </cell>
        </row>
        <row r="487">
          <cell r="A487" t="str">
            <v>4MTSA-210 A131.84.5</v>
          </cell>
          <cell r="B487" t="str">
            <v>BENTELER</v>
          </cell>
          <cell r="C487" t="str">
            <v>4MTSA-210 A131.84.5BENTELER</v>
          </cell>
          <cell r="D487" t="str">
            <v>EUR</v>
          </cell>
          <cell r="E487">
            <v>656</v>
          </cell>
          <cell r="F487" t="str">
            <v>EUR/t</v>
          </cell>
          <cell r="G487" t="str">
            <v>Yes</v>
          </cell>
          <cell r="H487" t="str">
            <v>Frame contract for 2002</v>
          </cell>
          <cell r="K487" t="str">
            <v>baretube</v>
          </cell>
        </row>
        <row r="488">
          <cell r="A488" t="str">
            <v>4MTSA-210 A131.84</v>
          </cell>
          <cell r="B488" t="str">
            <v>BENTELER</v>
          </cell>
          <cell r="C488" t="str">
            <v>4MTSA-210 A131.84BENTELER</v>
          </cell>
          <cell r="D488" t="str">
            <v>EUR</v>
          </cell>
          <cell r="E488">
            <v>656</v>
          </cell>
          <cell r="F488" t="str">
            <v>EUR/t</v>
          </cell>
          <cell r="G488" t="str">
            <v>Yes</v>
          </cell>
          <cell r="H488" t="str">
            <v>Frame contract for 2002</v>
          </cell>
          <cell r="K488" t="str">
            <v>baretube</v>
          </cell>
        </row>
        <row r="489">
          <cell r="A489" t="str">
            <v>4MTSA-210 A1382.6</v>
          </cell>
          <cell r="B489" t="str">
            <v>BENTELER</v>
          </cell>
          <cell r="C489" t="str">
            <v>4MTSA-210 A1382.6BENTELER</v>
          </cell>
          <cell r="D489" t="str">
            <v>EUR</v>
          </cell>
          <cell r="E489">
            <v>653</v>
          </cell>
          <cell r="F489" t="str">
            <v>EUR/t</v>
          </cell>
          <cell r="G489" t="str">
            <v>Yes</v>
          </cell>
          <cell r="H489" t="str">
            <v>Frame contract for 2002</v>
          </cell>
          <cell r="K489" t="str">
            <v>baretube</v>
          </cell>
        </row>
        <row r="490">
          <cell r="A490" t="str">
            <v>4MTSA-210 A1382.8</v>
          </cell>
          <cell r="B490" t="str">
            <v>BENTELER</v>
          </cell>
          <cell r="C490" t="str">
            <v>4MTSA-210 A1382.8BENTELER</v>
          </cell>
          <cell r="D490" t="str">
            <v>EUR</v>
          </cell>
          <cell r="E490">
            <v>649</v>
          </cell>
          <cell r="F490" t="str">
            <v>EUR/t</v>
          </cell>
          <cell r="G490" t="str">
            <v>Yes</v>
          </cell>
          <cell r="H490" t="str">
            <v>Frame contract for 2002</v>
          </cell>
          <cell r="K490" t="str">
            <v>baretube</v>
          </cell>
        </row>
        <row r="491">
          <cell r="A491" t="str">
            <v>4MTSA-210 A1382.9</v>
          </cell>
          <cell r="B491" t="str">
            <v>BENTELER</v>
          </cell>
          <cell r="C491" t="str">
            <v>4MTSA-210 A1382.9BENTELER</v>
          </cell>
          <cell r="D491" t="str">
            <v>EUR</v>
          </cell>
          <cell r="E491">
            <v>648</v>
          </cell>
          <cell r="F491" t="str">
            <v>EUR/t</v>
          </cell>
          <cell r="G491" t="str">
            <v>Yes</v>
          </cell>
          <cell r="H491" t="str">
            <v>Frame contract for 2002</v>
          </cell>
          <cell r="K491" t="str">
            <v>baretube</v>
          </cell>
        </row>
        <row r="492">
          <cell r="A492" t="str">
            <v>4MTSA-210 A1383.1</v>
          </cell>
          <cell r="B492" t="str">
            <v>BENTELER</v>
          </cell>
          <cell r="C492" t="str">
            <v>4MTSA-210 A1383.1BENTELER</v>
          </cell>
          <cell r="D492" t="str">
            <v>EUR</v>
          </cell>
          <cell r="E492">
            <v>642</v>
          </cell>
          <cell r="F492" t="str">
            <v>EUR/t</v>
          </cell>
          <cell r="G492" t="str">
            <v>Yes</v>
          </cell>
          <cell r="H492" t="str">
            <v>Frame contract for 2002</v>
          </cell>
          <cell r="K492" t="str">
            <v>baretube</v>
          </cell>
        </row>
        <row r="493">
          <cell r="A493" t="str">
            <v>4MTSA-210 A1383.2</v>
          </cell>
          <cell r="B493" t="str">
            <v>BENTELER</v>
          </cell>
          <cell r="C493" t="str">
            <v>4MTSA-210 A1383.2BENTELER</v>
          </cell>
          <cell r="D493" t="str">
            <v>EUR</v>
          </cell>
          <cell r="E493">
            <v>642</v>
          </cell>
          <cell r="F493" t="str">
            <v>EUR/t</v>
          </cell>
          <cell r="G493" t="str">
            <v>Yes</v>
          </cell>
          <cell r="H493" t="str">
            <v>Frame contract for 2002</v>
          </cell>
          <cell r="K493" t="str">
            <v>baretube</v>
          </cell>
        </row>
        <row r="494">
          <cell r="A494" t="str">
            <v>4MTSA-210 A1383.4</v>
          </cell>
          <cell r="B494" t="str">
            <v>BENTELER</v>
          </cell>
          <cell r="C494" t="str">
            <v>4MTSA-210 A1383.4BENTELER</v>
          </cell>
          <cell r="D494" t="str">
            <v>EUR</v>
          </cell>
          <cell r="E494">
            <v>642</v>
          </cell>
          <cell r="F494" t="str">
            <v>EUR/t</v>
          </cell>
          <cell r="G494" t="str">
            <v>Yes</v>
          </cell>
          <cell r="H494" t="str">
            <v>Frame contract for 2002</v>
          </cell>
          <cell r="K494" t="str">
            <v>baretube</v>
          </cell>
        </row>
        <row r="495">
          <cell r="A495" t="str">
            <v>4MTSA-210 A1383.6</v>
          </cell>
          <cell r="B495" t="str">
            <v>BENTELER</v>
          </cell>
          <cell r="C495" t="str">
            <v>4MTSA-210 A1383.6BENTELER</v>
          </cell>
          <cell r="D495" t="str">
            <v>EUR</v>
          </cell>
          <cell r="E495">
            <v>638</v>
          </cell>
          <cell r="F495" t="str">
            <v>EUR/t</v>
          </cell>
          <cell r="G495" t="str">
            <v>Yes</v>
          </cell>
          <cell r="H495" t="str">
            <v>Frame contract for 2002</v>
          </cell>
          <cell r="K495" t="str">
            <v>baretube</v>
          </cell>
        </row>
        <row r="496">
          <cell r="A496" t="str">
            <v>4MTSA-210 A1383.9</v>
          </cell>
          <cell r="B496" t="str">
            <v>BENTELER</v>
          </cell>
          <cell r="C496" t="str">
            <v>4MTSA-210 A1383.9BENTELER</v>
          </cell>
          <cell r="D496" t="str">
            <v>EUR</v>
          </cell>
          <cell r="E496">
            <v>638</v>
          </cell>
          <cell r="F496" t="str">
            <v>EUR/t</v>
          </cell>
          <cell r="G496" t="str">
            <v>Yes</v>
          </cell>
          <cell r="H496" t="str">
            <v>Frame contract for 2002</v>
          </cell>
          <cell r="K496" t="str">
            <v>baretube</v>
          </cell>
        </row>
        <row r="497">
          <cell r="A497" t="str">
            <v>4MTSA-210 A1383</v>
          </cell>
          <cell r="B497" t="str">
            <v>BENTELER</v>
          </cell>
          <cell r="C497" t="str">
            <v>4MTSA-210 A1383BENTELER</v>
          </cell>
          <cell r="D497" t="str">
            <v>EUR</v>
          </cell>
          <cell r="E497">
            <v>648</v>
          </cell>
          <cell r="F497" t="str">
            <v>EUR/t</v>
          </cell>
          <cell r="G497" t="str">
            <v>Yes</v>
          </cell>
          <cell r="H497" t="str">
            <v>Frame contract for 2002</v>
          </cell>
          <cell r="K497" t="str">
            <v>baretube</v>
          </cell>
        </row>
        <row r="498">
          <cell r="A498" t="str">
            <v>4MTSA-210 A1384.1</v>
          </cell>
          <cell r="B498" t="str">
            <v>BENTELER</v>
          </cell>
          <cell r="C498" t="str">
            <v>4MTSA-210 A1384.1BENTELER</v>
          </cell>
          <cell r="D498" t="str">
            <v>EUR</v>
          </cell>
          <cell r="E498">
            <v>638</v>
          </cell>
          <cell r="F498" t="str">
            <v>EUR/t</v>
          </cell>
          <cell r="G498" t="str">
            <v>Yes</v>
          </cell>
          <cell r="H498" t="str">
            <v>Frame contract for 2002</v>
          </cell>
          <cell r="K498" t="str">
            <v>baretube</v>
          </cell>
        </row>
        <row r="499">
          <cell r="A499" t="str">
            <v>4MTSA-210 A1384.5</v>
          </cell>
          <cell r="B499" t="str">
            <v>BENTELER</v>
          </cell>
          <cell r="C499" t="str">
            <v>4MTSA-210 A1384.5BENTELER</v>
          </cell>
          <cell r="D499" t="str">
            <v>EUR</v>
          </cell>
          <cell r="E499">
            <v>638</v>
          </cell>
          <cell r="F499" t="str">
            <v>EUR/t</v>
          </cell>
          <cell r="G499" t="str">
            <v>Yes</v>
          </cell>
          <cell r="H499" t="str">
            <v>Frame contract for 2002</v>
          </cell>
          <cell r="K499" t="str">
            <v>baretube</v>
          </cell>
        </row>
        <row r="500">
          <cell r="A500" t="str">
            <v>4MTSA-210 A1384</v>
          </cell>
          <cell r="B500" t="str">
            <v>BENTELER</v>
          </cell>
          <cell r="C500" t="str">
            <v>4MTSA-210 A1384BENTELER</v>
          </cell>
          <cell r="D500" t="str">
            <v>EUR</v>
          </cell>
          <cell r="E500">
            <v>638</v>
          </cell>
          <cell r="F500" t="str">
            <v>EUR/t</v>
          </cell>
          <cell r="G500" t="str">
            <v>Yes</v>
          </cell>
          <cell r="H500" t="str">
            <v>Frame contract for 2002</v>
          </cell>
          <cell r="K500" t="str">
            <v>baretube</v>
          </cell>
        </row>
        <row r="501">
          <cell r="A501" t="str">
            <v>4MTSA-210 A144.52.6</v>
          </cell>
          <cell r="B501" t="str">
            <v>BENTELER</v>
          </cell>
          <cell r="C501" t="str">
            <v>4MTSA-210 A144.52.6BENTELER</v>
          </cell>
          <cell r="D501" t="str">
            <v>EUR</v>
          </cell>
          <cell r="E501">
            <v>653</v>
          </cell>
          <cell r="F501" t="str">
            <v>EUR/t</v>
          </cell>
          <cell r="G501" t="str">
            <v>Yes</v>
          </cell>
          <cell r="H501" t="str">
            <v>Frame contract for 2002</v>
          </cell>
          <cell r="K501" t="str">
            <v>baretube</v>
          </cell>
        </row>
        <row r="502">
          <cell r="A502" t="str">
            <v>4MTSA-210 A144.52.9</v>
          </cell>
          <cell r="B502" t="str">
            <v>BENTELER</v>
          </cell>
          <cell r="C502" t="str">
            <v>4MTSA-210 A144.52.9BENTELER</v>
          </cell>
          <cell r="D502" t="str">
            <v>EUR</v>
          </cell>
          <cell r="E502">
            <v>648</v>
          </cell>
          <cell r="F502" t="str">
            <v>EUR/t</v>
          </cell>
          <cell r="G502" t="str">
            <v>Yes</v>
          </cell>
          <cell r="H502" t="str">
            <v>Frame contract for 2002</v>
          </cell>
          <cell r="K502" t="str">
            <v>baretube</v>
          </cell>
        </row>
        <row r="503">
          <cell r="A503" t="str">
            <v>4MTSA-210 A144.53.2</v>
          </cell>
          <cell r="B503" t="str">
            <v>BENTELER</v>
          </cell>
          <cell r="C503" t="str">
            <v>4MTSA-210 A144.53.2BENTELER</v>
          </cell>
          <cell r="D503" t="str">
            <v>EUR</v>
          </cell>
          <cell r="E503">
            <v>642</v>
          </cell>
          <cell r="F503" t="str">
            <v>EUR/t</v>
          </cell>
          <cell r="G503" t="str">
            <v>Yes</v>
          </cell>
          <cell r="H503" t="str">
            <v>Frame contract for 2002</v>
          </cell>
          <cell r="K503" t="str">
            <v>baretube</v>
          </cell>
        </row>
        <row r="504">
          <cell r="A504" t="str">
            <v>4MTSA-210 A144.53.4</v>
          </cell>
          <cell r="B504" t="str">
            <v>BENTELER</v>
          </cell>
          <cell r="C504" t="str">
            <v>4MTSA-210 A144.53.4BENTELER</v>
          </cell>
          <cell r="D504" t="str">
            <v>EUR</v>
          </cell>
          <cell r="E504">
            <v>642</v>
          </cell>
          <cell r="F504" t="str">
            <v>EUR/t</v>
          </cell>
          <cell r="G504" t="str">
            <v>Yes</v>
          </cell>
          <cell r="H504" t="str">
            <v>Frame contract for 2002</v>
          </cell>
          <cell r="K504" t="str">
            <v>baretube</v>
          </cell>
        </row>
        <row r="505">
          <cell r="A505" t="str">
            <v>4MTSA-210 A144.53.6</v>
          </cell>
          <cell r="B505" t="str">
            <v>BENTELER</v>
          </cell>
          <cell r="C505" t="str">
            <v>4MTSA-210 A144.53.6BENTELER</v>
          </cell>
          <cell r="D505" t="str">
            <v>EUR</v>
          </cell>
          <cell r="E505">
            <v>638</v>
          </cell>
          <cell r="F505" t="str">
            <v>EUR/t</v>
          </cell>
          <cell r="G505" t="str">
            <v>Yes</v>
          </cell>
          <cell r="H505" t="str">
            <v>Frame contract for 2002</v>
          </cell>
          <cell r="K505" t="str">
            <v>baretube</v>
          </cell>
        </row>
        <row r="506">
          <cell r="A506" t="str">
            <v>4MTSA-210 A144.53.9</v>
          </cell>
          <cell r="B506" t="str">
            <v>BENTELER</v>
          </cell>
          <cell r="C506" t="str">
            <v>4MTSA-210 A144.53.9BENTELER</v>
          </cell>
          <cell r="D506" t="str">
            <v>EUR</v>
          </cell>
          <cell r="E506">
            <v>638</v>
          </cell>
          <cell r="F506" t="str">
            <v>EUR/t</v>
          </cell>
          <cell r="G506" t="str">
            <v>Yes</v>
          </cell>
          <cell r="H506" t="str">
            <v>Frame contract for 2002</v>
          </cell>
          <cell r="K506" t="str">
            <v>baretube</v>
          </cell>
        </row>
        <row r="507">
          <cell r="A507" t="str">
            <v>4MTSA-210 A144.54.5</v>
          </cell>
          <cell r="B507" t="str">
            <v>BENTELER</v>
          </cell>
          <cell r="C507" t="str">
            <v>4MTSA-210 A144.54.5BENTELER</v>
          </cell>
          <cell r="D507" t="str">
            <v>EUR</v>
          </cell>
          <cell r="E507">
            <v>638</v>
          </cell>
          <cell r="F507" t="str">
            <v>EUR/t</v>
          </cell>
          <cell r="G507" t="str">
            <v>Yes</v>
          </cell>
          <cell r="H507" t="str">
            <v>Frame contract for 2002</v>
          </cell>
          <cell r="K507" t="str">
            <v>baretube</v>
          </cell>
        </row>
        <row r="508">
          <cell r="A508" t="str">
            <v>4MTSA-210 A144.54</v>
          </cell>
          <cell r="B508" t="str">
            <v>BENTELER</v>
          </cell>
          <cell r="C508" t="str">
            <v>4MTSA-210 A144.54BENTELER</v>
          </cell>
          <cell r="D508" t="str">
            <v>EUR</v>
          </cell>
          <cell r="E508">
            <v>638</v>
          </cell>
          <cell r="F508" t="str">
            <v>EUR/t</v>
          </cell>
          <cell r="G508" t="str">
            <v>Yes</v>
          </cell>
          <cell r="H508" t="str">
            <v>Frame contract for 2002</v>
          </cell>
          <cell r="K508" t="str">
            <v>baretube</v>
          </cell>
        </row>
        <row r="509">
          <cell r="A509" t="str">
            <v>4MTSA-210 A150.82.6</v>
          </cell>
          <cell r="B509" t="str">
            <v>BENTELER</v>
          </cell>
          <cell r="C509" t="str">
            <v>4MTSA-210 A150.82.6BENTELER</v>
          </cell>
          <cell r="D509" t="str">
            <v>EUR</v>
          </cell>
          <cell r="E509">
            <v>653</v>
          </cell>
          <cell r="F509" t="str">
            <v>EUR/t</v>
          </cell>
          <cell r="G509" t="str">
            <v>Yes</v>
          </cell>
          <cell r="H509" t="str">
            <v>Frame contract for 2002</v>
          </cell>
          <cell r="K509" t="str">
            <v>baretube</v>
          </cell>
        </row>
        <row r="510">
          <cell r="A510" t="str">
            <v>4MTSA-210 A150.82.9</v>
          </cell>
          <cell r="B510" t="str">
            <v>BENTELER</v>
          </cell>
          <cell r="C510" t="str">
            <v>4MTSA-210 A150.82.9BENTELER</v>
          </cell>
          <cell r="D510" t="str">
            <v>EUR</v>
          </cell>
          <cell r="E510">
            <v>648</v>
          </cell>
          <cell r="F510" t="str">
            <v>EUR/t</v>
          </cell>
          <cell r="G510" t="str">
            <v>Yes</v>
          </cell>
          <cell r="H510" t="str">
            <v>Frame contract for 2002</v>
          </cell>
          <cell r="K510" t="str">
            <v>baretube</v>
          </cell>
        </row>
        <row r="511">
          <cell r="A511" t="str">
            <v>4MTSA-210 A150.83.2</v>
          </cell>
          <cell r="B511" t="str">
            <v>BENTELER</v>
          </cell>
          <cell r="C511" t="str">
            <v>4MTSA-210 A150.83.2BENTELER</v>
          </cell>
          <cell r="D511" t="str">
            <v>EUR</v>
          </cell>
          <cell r="E511">
            <v>642</v>
          </cell>
          <cell r="F511" t="str">
            <v>EUR/t</v>
          </cell>
          <cell r="G511" t="str">
            <v>Yes</v>
          </cell>
          <cell r="H511" t="str">
            <v>Frame contract for 2002</v>
          </cell>
          <cell r="K511" t="str">
            <v>baretube</v>
          </cell>
        </row>
        <row r="512">
          <cell r="A512" t="str">
            <v>4MTSA-210 A150.83.4</v>
          </cell>
          <cell r="B512" t="str">
            <v>BENTELER</v>
          </cell>
          <cell r="C512" t="str">
            <v>4MTSA-210 A150.83.4BENTELER</v>
          </cell>
          <cell r="D512" t="str">
            <v>EUR</v>
          </cell>
          <cell r="E512">
            <v>642</v>
          </cell>
          <cell r="F512" t="str">
            <v>EUR/t</v>
          </cell>
          <cell r="G512" t="str">
            <v>Yes</v>
          </cell>
          <cell r="H512" t="str">
            <v>Frame contract for 2002</v>
          </cell>
          <cell r="K512" t="str">
            <v>baretube</v>
          </cell>
        </row>
        <row r="513">
          <cell r="A513" t="str">
            <v>4MTSA-210 A150.83.6</v>
          </cell>
          <cell r="B513" t="str">
            <v>BENTELER</v>
          </cell>
          <cell r="C513" t="str">
            <v>4MTSA-210 A150.83.6BENTELER</v>
          </cell>
          <cell r="D513" t="str">
            <v>EUR</v>
          </cell>
          <cell r="E513">
            <v>638</v>
          </cell>
          <cell r="F513" t="str">
            <v>EUR/t</v>
          </cell>
          <cell r="G513" t="str">
            <v>Yes</v>
          </cell>
          <cell r="H513" t="str">
            <v>Frame contract for 2002</v>
          </cell>
          <cell r="K513" t="str">
            <v>baretube</v>
          </cell>
        </row>
        <row r="514">
          <cell r="A514" t="str">
            <v>4MTSA-210 A150.83.9</v>
          </cell>
          <cell r="B514" t="str">
            <v>BENTELER</v>
          </cell>
          <cell r="C514" t="str">
            <v>4MTSA-210 A150.83.9BENTELER</v>
          </cell>
          <cell r="D514" t="str">
            <v>EUR</v>
          </cell>
          <cell r="E514">
            <v>638</v>
          </cell>
          <cell r="F514" t="str">
            <v>EUR/t</v>
          </cell>
          <cell r="G514" t="str">
            <v>Yes</v>
          </cell>
          <cell r="H514" t="str">
            <v>Frame contract for 2002</v>
          </cell>
          <cell r="K514" t="str">
            <v>baretube</v>
          </cell>
        </row>
        <row r="515">
          <cell r="A515" t="str">
            <v>4MTSA-210 A150.84.5</v>
          </cell>
          <cell r="B515" t="str">
            <v>BENTELER</v>
          </cell>
          <cell r="C515" t="str">
            <v>4MTSA-210 A150.84.5BENTELER</v>
          </cell>
          <cell r="D515" t="str">
            <v>EUR</v>
          </cell>
          <cell r="E515">
            <v>638</v>
          </cell>
          <cell r="F515" t="str">
            <v>EUR/t</v>
          </cell>
          <cell r="G515" t="str">
            <v>Yes</v>
          </cell>
          <cell r="H515" t="str">
            <v>Frame contract for 2002</v>
          </cell>
          <cell r="K515" t="str">
            <v>baretube</v>
          </cell>
        </row>
        <row r="516">
          <cell r="A516" t="str">
            <v>4MTSA-210 A150.84</v>
          </cell>
          <cell r="B516" t="str">
            <v>BENTELER</v>
          </cell>
          <cell r="C516" t="str">
            <v>4MTSA-210 A150.84BENTELER</v>
          </cell>
          <cell r="D516" t="str">
            <v>EUR</v>
          </cell>
          <cell r="E516">
            <v>638</v>
          </cell>
          <cell r="F516" t="str">
            <v>EUR/t</v>
          </cell>
          <cell r="G516" t="str">
            <v>Yes</v>
          </cell>
          <cell r="H516" t="str">
            <v>Frame contract for 2002</v>
          </cell>
          <cell r="K516" t="str">
            <v>baretube</v>
          </cell>
        </row>
        <row r="517">
          <cell r="A517" t="str">
            <v>4MTSA-210 A1572.6</v>
          </cell>
          <cell r="B517" t="str">
            <v>BENTELER</v>
          </cell>
          <cell r="C517" t="str">
            <v>4MTSA-210 A1572.6BENTELER</v>
          </cell>
          <cell r="D517" t="str">
            <v>EUR</v>
          </cell>
          <cell r="E517">
            <v>653</v>
          </cell>
          <cell r="F517" t="str">
            <v>EUR/t</v>
          </cell>
          <cell r="G517" t="str">
            <v>Yes</v>
          </cell>
          <cell r="H517" t="str">
            <v>Frame contract for 2002</v>
          </cell>
          <cell r="K517" t="str">
            <v>baretube</v>
          </cell>
        </row>
        <row r="518">
          <cell r="A518" t="str">
            <v>4MTSA-210 A1572.9</v>
          </cell>
          <cell r="B518" t="str">
            <v>BENTELER</v>
          </cell>
          <cell r="C518" t="str">
            <v>4MTSA-210 A1572.9BENTELER</v>
          </cell>
          <cell r="D518" t="str">
            <v>EUR</v>
          </cell>
          <cell r="E518">
            <v>648</v>
          </cell>
          <cell r="F518" t="str">
            <v>EUR/t</v>
          </cell>
          <cell r="G518" t="str">
            <v>Yes</v>
          </cell>
          <cell r="H518" t="str">
            <v>Frame contract for 2002</v>
          </cell>
          <cell r="K518" t="str">
            <v>baretube</v>
          </cell>
        </row>
        <row r="519">
          <cell r="A519" t="str">
            <v>4MTSA-210 A1573.2</v>
          </cell>
          <cell r="B519" t="str">
            <v>BENTELER</v>
          </cell>
          <cell r="C519" t="str">
            <v>4MTSA-210 A1573.2BENTELER</v>
          </cell>
          <cell r="D519" t="str">
            <v>EUR</v>
          </cell>
          <cell r="E519">
            <v>642</v>
          </cell>
          <cell r="F519" t="str">
            <v>EUR/t</v>
          </cell>
          <cell r="G519" t="str">
            <v>Yes</v>
          </cell>
          <cell r="H519" t="str">
            <v>Frame contract for 2002</v>
          </cell>
          <cell r="K519" t="str">
            <v>baretube</v>
          </cell>
        </row>
        <row r="520">
          <cell r="A520" t="str">
            <v>4MTSA-210 A1573.4</v>
          </cell>
          <cell r="B520" t="str">
            <v>BENTELER</v>
          </cell>
          <cell r="C520" t="str">
            <v>4MTSA-210 A1573.4BENTELER</v>
          </cell>
          <cell r="D520" t="str">
            <v>EUR</v>
          </cell>
          <cell r="E520">
            <v>642</v>
          </cell>
          <cell r="F520" t="str">
            <v>EUR/t</v>
          </cell>
          <cell r="G520" t="str">
            <v>Yes</v>
          </cell>
          <cell r="H520" t="str">
            <v>Frame contract for 2002</v>
          </cell>
          <cell r="K520" t="str">
            <v>baretube</v>
          </cell>
        </row>
        <row r="521">
          <cell r="A521" t="str">
            <v>4MTSA-210 A1573.6</v>
          </cell>
          <cell r="B521" t="str">
            <v>BENTELER</v>
          </cell>
          <cell r="C521" t="str">
            <v>4MTSA-210 A1573.6BENTELER</v>
          </cell>
          <cell r="D521" t="str">
            <v>EUR</v>
          </cell>
          <cell r="E521">
            <v>638</v>
          </cell>
          <cell r="F521" t="str">
            <v>EUR/t</v>
          </cell>
          <cell r="G521" t="str">
            <v>Yes</v>
          </cell>
          <cell r="H521" t="str">
            <v>Frame contract for 2002</v>
          </cell>
          <cell r="K521" t="str">
            <v>baretube</v>
          </cell>
        </row>
        <row r="522">
          <cell r="A522" t="str">
            <v>4MTSA-210 A1573.9</v>
          </cell>
          <cell r="B522" t="str">
            <v>BENTELER</v>
          </cell>
          <cell r="C522" t="str">
            <v>4MTSA-210 A1573.9BENTELER</v>
          </cell>
          <cell r="D522" t="str">
            <v>EUR</v>
          </cell>
          <cell r="E522">
            <v>638</v>
          </cell>
          <cell r="F522" t="str">
            <v>EUR/t</v>
          </cell>
          <cell r="G522" t="str">
            <v>Yes</v>
          </cell>
          <cell r="H522" t="str">
            <v>Frame contract for 2002</v>
          </cell>
          <cell r="K522" t="str">
            <v>baretube</v>
          </cell>
        </row>
        <row r="523">
          <cell r="A523" t="str">
            <v>4MTSA-210 A1574.5</v>
          </cell>
          <cell r="B523" t="str">
            <v>BENTELER</v>
          </cell>
          <cell r="C523" t="str">
            <v>4MTSA-210 A1574.5BENTELER</v>
          </cell>
          <cell r="D523" t="str">
            <v>EUR</v>
          </cell>
          <cell r="E523">
            <v>638</v>
          </cell>
          <cell r="F523" t="str">
            <v>EUR/t</v>
          </cell>
          <cell r="G523" t="str">
            <v>Yes</v>
          </cell>
          <cell r="H523" t="str">
            <v>Frame contract for 2002</v>
          </cell>
          <cell r="K523" t="str">
            <v>baretube</v>
          </cell>
        </row>
        <row r="524">
          <cell r="A524" t="str">
            <v>4MTSA-210 A1574</v>
          </cell>
          <cell r="B524" t="str">
            <v>BENTELER</v>
          </cell>
          <cell r="C524" t="str">
            <v>4MTSA-210 A1574BENTELER</v>
          </cell>
          <cell r="D524" t="str">
            <v>EUR</v>
          </cell>
          <cell r="E524">
            <v>638</v>
          </cell>
          <cell r="F524" t="str">
            <v>EUR/t</v>
          </cell>
          <cell r="G524" t="str">
            <v>Yes</v>
          </cell>
          <cell r="H524" t="str">
            <v>Frame contract for 2002</v>
          </cell>
          <cell r="K524" t="str">
            <v>baretube</v>
          </cell>
        </row>
        <row r="525">
          <cell r="A525" t="str">
            <v>4MTSA-210 A1</v>
          </cell>
          <cell r="B525" t="str">
            <v>BENTELER</v>
          </cell>
          <cell r="C525" t="str">
            <v>4MTSA-210 A1BENTELER</v>
          </cell>
          <cell r="D525" t="str">
            <v>EUR</v>
          </cell>
          <cell r="E525">
            <v>0</v>
          </cell>
          <cell r="F525" t="str">
            <v>EUR/t</v>
          </cell>
          <cell r="G525" t="str">
            <v>Yes</v>
          </cell>
          <cell r="H525" t="str">
            <v>Frame contract for 2002</v>
          </cell>
          <cell r="K525" t="str">
            <v>baretube</v>
          </cell>
        </row>
        <row r="526">
          <cell r="A526" t="str">
            <v>4MTSA-210 C252.6</v>
          </cell>
          <cell r="B526" t="str">
            <v>BENTELER</v>
          </cell>
          <cell r="C526" t="str">
            <v>4MTSA-210 C252.6BENTELER</v>
          </cell>
          <cell r="D526" t="str">
            <v>EUR</v>
          </cell>
          <cell r="E526">
            <v>768</v>
          </cell>
          <cell r="F526" t="str">
            <v>EUR/t</v>
          </cell>
          <cell r="G526" t="str">
            <v>Yes</v>
          </cell>
          <cell r="H526" t="str">
            <v>Frame contract for 2002</v>
          </cell>
          <cell r="K526" t="str">
            <v>baretube</v>
          </cell>
        </row>
        <row r="527">
          <cell r="A527" t="str">
            <v>4MTSA-210 C252.9</v>
          </cell>
          <cell r="B527" t="str">
            <v>BENTELER</v>
          </cell>
          <cell r="C527" t="str">
            <v>4MTSA-210 C252.9BENTELER</v>
          </cell>
          <cell r="D527" t="str">
            <v>EUR</v>
          </cell>
          <cell r="E527">
            <v>763</v>
          </cell>
          <cell r="F527" t="str">
            <v>EUR/t</v>
          </cell>
          <cell r="G527" t="str">
            <v>Yes</v>
          </cell>
          <cell r="H527" t="str">
            <v>Frame contract for 2002</v>
          </cell>
          <cell r="K527" t="str">
            <v>baretube</v>
          </cell>
        </row>
        <row r="528">
          <cell r="A528" t="str">
            <v>4MTSA-210 C253.2</v>
          </cell>
          <cell r="B528" t="str">
            <v>BENTELER</v>
          </cell>
          <cell r="C528" t="str">
            <v>4MTSA-210 C253.2BENTELER</v>
          </cell>
          <cell r="D528" t="str">
            <v>EUR</v>
          </cell>
          <cell r="E528">
            <v>730</v>
          </cell>
          <cell r="F528" t="str">
            <v>EUR/t</v>
          </cell>
          <cell r="G528" t="str">
            <v>Yes</v>
          </cell>
          <cell r="H528" t="str">
            <v>Frame contract for 2002</v>
          </cell>
          <cell r="K528" t="str">
            <v>baretube</v>
          </cell>
        </row>
        <row r="529">
          <cell r="A529" t="str">
            <v>4MTSA-210 C253.4</v>
          </cell>
          <cell r="B529" t="str">
            <v>BENTELER</v>
          </cell>
          <cell r="C529" t="str">
            <v>4MTSA-210 C253.4BENTELER</v>
          </cell>
          <cell r="D529" t="str">
            <v>EUR</v>
          </cell>
          <cell r="E529">
            <v>730</v>
          </cell>
          <cell r="F529" t="str">
            <v>EUR/t</v>
          </cell>
          <cell r="G529" t="str">
            <v>Yes</v>
          </cell>
          <cell r="H529" t="str">
            <v>Frame contract for 2002</v>
          </cell>
          <cell r="K529" t="str">
            <v>baretube</v>
          </cell>
        </row>
        <row r="530">
          <cell r="A530" t="str">
            <v>4MTSA-210 C253.6</v>
          </cell>
          <cell r="B530" t="str">
            <v>BENTELER</v>
          </cell>
          <cell r="C530" t="str">
            <v>4MTSA-210 C253.6BENTELER</v>
          </cell>
          <cell r="D530" t="str">
            <v>EUR</v>
          </cell>
          <cell r="E530">
            <v>730</v>
          </cell>
          <cell r="F530" t="str">
            <v>EUR/t</v>
          </cell>
          <cell r="G530" t="str">
            <v>Yes</v>
          </cell>
          <cell r="H530" t="str">
            <v>Frame contract for 2002</v>
          </cell>
          <cell r="K530" t="str">
            <v>baretube</v>
          </cell>
        </row>
        <row r="531">
          <cell r="A531" t="str">
            <v>4MTSA-210 C253.9</v>
          </cell>
          <cell r="B531" t="str">
            <v>BENTELER</v>
          </cell>
          <cell r="C531" t="str">
            <v>4MTSA-210 C253.9BENTELER</v>
          </cell>
          <cell r="D531" t="str">
            <v>EUR</v>
          </cell>
          <cell r="E531">
            <v>730</v>
          </cell>
          <cell r="F531" t="str">
            <v>EUR/t</v>
          </cell>
          <cell r="G531" t="str">
            <v>Yes</v>
          </cell>
          <cell r="H531" t="str">
            <v>Frame contract for 2002</v>
          </cell>
          <cell r="K531" t="str">
            <v>baretube</v>
          </cell>
        </row>
        <row r="532">
          <cell r="A532" t="str">
            <v>4MTSA-210 C254.5</v>
          </cell>
          <cell r="B532" t="str">
            <v>BENTELER</v>
          </cell>
          <cell r="C532" t="str">
            <v>4MTSA-210 C254.5BENTELER</v>
          </cell>
          <cell r="D532" t="str">
            <v>EUR</v>
          </cell>
          <cell r="E532">
            <v>730</v>
          </cell>
          <cell r="F532" t="str">
            <v>EUR/t</v>
          </cell>
          <cell r="G532" t="str">
            <v>Yes</v>
          </cell>
          <cell r="H532" t="str">
            <v>Frame contract for 2002</v>
          </cell>
          <cell r="K532" t="str">
            <v>baretube</v>
          </cell>
        </row>
        <row r="533">
          <cell r="A533" t="str">
            <v>4MTSA-210 C254</v>
          </cell>
          <cell r="B533" t="str">
            <v>BENTELER</v>
          </cell>
          <cell r="C533" t="str">
            <v>4MTSA-210 C254BENTELER</v>
          </cell>
          <cell r="D533" t="str">
            <v>EUR</v>
          </cell>
          <cell r="E533">
            <v>730</v>
          </cell>
          <cell r="F533" t="str">
            <v>EUR/t</v>
          </cell>
          <cell r="G533" t="str">
            <v>Yes</v>
          </cell>
          <cell r="H533" t="str">
            <v>Frame contract for 2002</v>
          </cell>
          <cell r="K533" t="str">
            <v>baretube</v>
          </cell>
        </row>
        <row r="534">
          <cell r="A534" t="str">
            <v>4MTSA-210 C26.92.6</v>
          </cell>
          <cell r="B534" t="str">
            <v>BENTELER</v>
          </cell>
          <cell r="C534" t="str">
            <v>4MTSA-210 C26.92.6BENTELER</v>
          </cell>
          <cell r="D534" t="str">
            <v>EUR</v>
          </cell>
          <cell r="E534">
            <v>768</v>
          </cell>
          <cell r="F534" t="str">
            <v>EUR/t</v>
          </cell>
          <cell r="G534" t="str">
            <v>Yes</v>
          </cell>
          <cell r="H534" t="str">
            <v>Frame contract for 2002</v>
          </cell>
          <cell r="K534" t="str">
            <v>baretube</v>
          </cell>
        </row>
        <row r="535">
          <cell r="A535" t="str">
            <v>4MTSA-210 C31.82.6</v>
          </cell>
          <cell r="B535" t="str">
            <v>BENTELER</v>
          </cell>
          <cell r="C535" t="str">
            <v>4MTSA-210 C31.82.6BENTELER</v>
          </cell>
          <cell r="D535" t="str">
            <v>EUR</v>
          </cell>
          <cell r="E535">
            <v>698</v>
          </cell>
          <cell r="F535" t="str">
            <v>EUR/t</v>
          </cell>
          <cell r="G535" t="str">
            <v>Yes</v>
          </cell>
          <cell r="H535" t="str">
            <v>Frame contract for 2002</v>
          </cell>
          <cell r="K535" t="str">
            <v>baretube</v>
          </cell>
        </row>
        <row r="536">
          <cell r="A536" t="str">
            <v>4MTSA-210 C31.82.9</v>
          </cell>
          <cell r="B536" t="str">
            <v>BENTELER</v>
          </cell>
          <cell r="C536" t="str">
            <v>4MTSA-210 C31.82.9BENTELER</v>
          </cell>
          <cell r="D536" t="str">
            <v>EUR</v>
          </cell>
          <cell r="E536">
            <v>693</v>
          </cell>
          <cell r="F536" t="str">
            <v>EUR/t</v>
          </cell>
          <cell r="G536" t="str">
            <v>Yes</v>
          </cell>
          <cell r="H536" t="str">
            <v>Frame contract for 2002</v>
          </cell>
          <cell r="K536" t="str">
            <v>baretube</v>
          </cell>
        </row>
        <row r="537">
          <cell r="A537" t="str">
            <v>4MTSA-210 C31.83.2</v>
          </cell>
          <cell r="B537" t="str">
            <v>BENTELER</v>
          </cell>
          <cell r="C537" t="str">
            <v>4MTSA-210 C31.83.2BENTELER</v>
          </cell>
          <cell r="D537" t="str">
            <v>EUR</v>
          </cell>
          <cell r="E537">
            <v>682</v>
          </cell>
          <cell r="F537" t="str">
            <v>EUR/t</v>
          </cell>
          <cell r="G537" t="str">
            <v>Yes</v>
          </cell>
          <cell r="H537" t="str">
            <v>Frame contract for 2002</v>
          </cell>
          <cell r="K537" t="str">
            <v>baretube</v>
          </cell>
        </row>
        <row r="538">
          <cell r="A538" t="str">
            <v>4MTSA-210 C31.83.4</v>
          </cell>
          <cell r="B538" t="str">
            <v>BENTELER</v>
          </cell>
          <cell r="C538" t="str">
            <v>4MTSA-210 C31.83.4BENTELER</v>
          </cell>
          <cell r="D538" t="str">
            <v>EUR</v>
          </cell>
          <cell r="E538">
            <v>682</v>
          </cell>
          <cell r="F538" t="str">
            <v>EUR/t</v>
          </cell>
          <cell r="G538" t="str">
            <v>Yes</v>
          </cell>
          <cell r="H538" t="str">
            <v>Frame contract for 2002</v>
          </cell>
          <cell r="K538" t="str">
            <v>baretube</v>
          </cell>
        </row>
        <row r="539">
          <cell r="A539" t="str">
            <v>4MTSA-210 C31.83.6</v>
          </cell>
          <cell r="B539" t="str">
            <v>BENTELER</v>
          </cell>
          <cell r="C539" t="str">
            <v>4MTSA-210 C31.83.6BENTELER</v>
          </cell>
          <cell r="D539" t="str">
            <v>EUR</v>
          </cell>
          <cell r="E539">
            <v>682</v>
          </cell>
          <cell r="F539" t="str">
            <v>EUR/t</v>
          </cell>
          <cell r="G539" t="str">
            <v>Yes</v>
          </cell>
          <cell r="H539" t="str">
            <v>Frame contract for 2002</v>
          </cell>
          <cell r="K539" t="str">
            <v>baretube</v>
          </cell>
        </row>
        <row r="540">
          <cell r="A540" t="str">
            <v>4MTSA-210 C31.83.9</v>
          </cell>
          <cell r="B540" t="str">
            <v>BENTELER</v>
          </cell>
          <cell r="C540" t="str">
            <v>4MTSA-210 C31.83.9BENTELER</v>
          </cell>
          <cell r="D540" t="str">
            <v>EUR</v>
          </cell>
          <cell r="E540">
            <v>676</v>
          </cell>
          <cell r="F540" t="str">
            <v>EUR/t</v>
          </cell>
          <cell r="G540" t="str">
            <v>Yes</v>
          </cell>
          <cell r="H540" t="str">
            <v>Frame contract for 2002</v>
          </cell>
          <cell r="K540" t="str">
            <v>baretube</v>
          </cell>
        </row>
        <row r="541">
          <cell r="A541" t="str">
            <v>4MTSA-210 C31.84.5</v>
          </cell>
          <cell r="B541" t="str">
            <v>BENTELER</v>
          </cell>
          <cell r="C541" t="str">
            <v>4MTSA-210 C31.84.5BENTELER</v>
          </cell>
          <cell r="D541" t="str">
            <v>EUR</v>
          </cell>
          <cell r="E541">
            <v>676</v>
          </cell>
          <cell r="F541" t="str">
            <v>EUR/t</v>
          </cell>
          <cell r="G541" t="str">
            <v>Yes</v>
          </cell>
          <cell r="H541" t="str">
            <v>Frame contract for 2002</v>
          </cell>
          <cell r="K541" t="str">
            <v>baretube</v>
          </cell>
        </row>
        <row r="542">
          <cell r="A542" t="str">
            <v>4MTSA-210 C31.84</v>
          </cell>
          <cell r="B542" t="str">
            <v>BENTELER</v>
          </cell>
          <cell r="C542" t="str">
            <v>4MTSA-210 C31.84BENTELER</v>
          </cell>
          <cell r="D542" t="str">
            <v>EUR</v>
          </cell>
          <cell r="E542">
            <v>676</v>
          </cell>
          <cell r="F542" t="str">
            <v>EUR/t</v>
          </cell>
          <cell r="G542" t="str">
            <v>Yes</v>
          </cell>
          <cell r="H542" t="str">
            <v>Frame contract for 2002</v>
          </cell>
          <cell r="K542" t="str">
            <v>baretube</v>
          </cell>
        </row>
        <row r="543">
          <cell r="A543" t="str">
            <v>4MTSA-210 C382.6</v>
          </cell>
          <cell r="B543" t="str">
            <v>BENTELER</v>
          </cell>
          <cell r="C543" t="str">
            <v>4MTSA-210 C382.6BENTELER</v>
          </cell>
          <cell r="D543" t="str">
            <v>EUR</v>
          </cell>
          <cell r="E543">
            <v>687</v>
          </cell>
          <cell r="F543" t="str">
            <v>EUR/t</v>
          </cell>
          <cell r="G543" t="str">
            <v>Yes</v>
          </cell>
          <cell r="H543" t="str">
            <v>Frame contract for 2002</v>
          </cell>
          <cell r="K543" t="str">
            <v>baretube</v>
          </cell>
        </row>
        <row r="544">
          <cell r="A544" t="str">
            <v>4MTSA-210 C382.9</v>
          </cell>
          <cell r="B544" t="str">
            <v>BENTELER</v>
          </cell>
          <cell r="C544" t="str">
            <v>4MTSA-210 C382.9BENTELER</v>
          </cell>
          <cell r="D544" t="str">
            <v>EUR</v>
          </cell>
          <cell r="E544">
            <v>673</v>
          </cell>
          <cell r="F544" t="str">
            <v>EUR/t</v>
          </cell>
          <cell r="G544" t="str">
            <v>Yes</v>
          </cell>
          <cell r="H544" t="str">
            <v>Frame contract for 2002</v>
          </cell>
          <cell r="K544" t="str">
            <v>baretube</v>
          </cell>
        </row>
        <row r="545">
          <cell r="A545" t="str">
            <v>4MTSA-210 C383.2</v>
          </cell>
          <cell r="B545" t="str">
            <v>BENTELER</v>
          </cell>
          <cell r="C545" t="str">
            <v>4MTSA-210 C383.2BENTELER</v>
          </cell>
          <cell r="D545" t="str">
            <v>EUR</v>
          </cell>
          <cell r="E545">
            <v>661</v>
          </cell>
          <cell r="F545" t="str">
            <v>EUR/t</v>
          </cell>
          <cell r="G545" t="str">
            <v>Yes</v>
          </cell>
          <cell r="H545" t="str">
            <v>Frame contract for 2002</v>
          </cell>
          <cell r="K545" t="str">
            <v>baretube</v>
          </cell>
        </row>
        <row r="546">
          <cell r="A546" t="str">
            <v>4MTSA-210 C383.4</v>
          </cell>
          <cell r="B546" t="str">
            <v>BENTELER</v>
          </cell>
          <cell r="C546" t="str">
            <v>4MTSA-210 C383.4BENTELER</v>
          </cell>
          <cell r="D546" t="str">
            <v>EUR</v>
          </cell>
          <cell r="E546">
            <v>661</v>
          </cell>
          <cell r="F546" t="str">
            <v>EUR/t</v>
          </cell>
          <cell r="G546" t="str">
            <v>Yes</v>
          </cell>
          <cell r="H546" t="str">
            <v>Frame contract for 2002</v>
          </cell>
          <cell r="K546" t="str">
            <v>baretube</v>
          </cell>
        </row>
        <row r="547">
          <cell r="A547" t="str">
            <v>4MTSA-210 C383.6</v>
          </cell>
          <cell r="B547" t="str">
            <v>BENTELER</v>
          </cell>
          <cell r="C547" t="str">
            <v>4MTSA-210 C383.6BENTELER</v>
          </cell>
          <cell r="D547" t="str">
            <v>EUR</v>
          </cell>
          <cell r="E547">
            <v>657</v>
          </cell>
          <cell r="F547" t="str">
            <v>EUR/t</v>
          </cell>
          <cell r="G547" t="str">
            <v>Yes</v>
          </cell>
          <cell r="H547" t="str">
            <v>Frame contract for 2002</v>
          </cell>
          <cell r="K547" t="str">
            <v>baretube</v>
          </cell>
        </row>
        <row r="548">
          <cell r="A548" t="str">
            <v>4MTSA-210 C383.9</v>
          </cell>
          <cell r="B548" t="str">
            <v>BENTELER</v>
          </cell>
          <cell r="C548" t="str">
            <v>4MTSA-210 C383.9BENTELER</v>
          </cell>
          <cell r="D548" t="str">
            <v>EUR</v>
          </cell>
          <cell r="E548">
            <v>657</v>
          </cell>
          <cell r="F548" t="str">
            <v>EUR/t</v>
          </cell>
          <cell r="G548" t="str">
            <v>Yes</v>
          </cell>
          <cell r="H548" t="str">
            <v>Frame contract for 2002</v>
          </cell>
          <cell r="K548" t="str">
            <v>baretube</v>
          </cell>
        </row>
        <row r="549">
          <cell r="A549" t="str">
            <v>4MTSA-210 C384.5</v>
          </cell>
          <cell r="B549" t="str">
            <v>BENTELER</v>
          </cell>
          <cell r="C549" t="str">
            <v>4MTSA-210 C384.5BENTELER</v>
          </cell>
          <cell r="D549" t="str">
            <v>EUR</v>
          </cell>
          <cell r="E549">
            <v>657</v>
          </cell>
          <cell r="F549" t="str">
            <v>EUR/t</v>
          </cell>
          <cell r="G549" t="str">
            <v>Yes</v>
          </cell>
          <cell r="H549" t="str">
            <v>Frame contract for 2002</v>
          </cell>
          <cell r="K549" t="str">
            <v>baretube</v>
          </cell>
        </row>
        <row r="550">
          <cell r="A550" t="str">
            <v>4MTSA-210 C384</v>
          </cell>
          <cell r="B550" t="str">
            <v>BENTELER</v>
          </cell>
          <cell r="C550" t="str">
            <v>4MTSA-210 C384BENTELER</v>
          </cell>
          <cell r="D550" t="str">
            <v>EUR</v>
          </cell>
          <cell r="E550">
            <v>657</v>
          </cell>
          <cell r="F550" t="str">
            <v>EUR/t</v>
          </cell>
          <cell r="G550" t="str">
            <v>Yes</v>
          </cell>
          <cell r="H550" t="str">
            <v>Frame contract for 2002</v>
          </cell>
          <cell r="K550" t="str">
            <v>baretube</v>
          </cell>
        </row>
        <row r="551">
          <cell r="A551" t="str">
            <v>4MTSA-210 C44.52.6</v>
          </cell>
          <cell r="B551" t="str">
            <v>BENTELER</v>
          </cell>
          <cell r="C551" t="str">
            <v>4MTSA-210 C44.52.6BENTELER</v>
          </cell>
          <cell r="D551" t="str">
            <v>EUR</v>
          </cell>
          <cell r="E551">
            <v>687</v>
          </cell>
          <cell r="F551" t="str">
            <v>EUR/t</v>
          </cell>
          <cell r="G551" t="str">
            <v>Yes</v>
          </cell>
          <cell r="H551" t="str">
            <v>Frame contract for 2002</v>
          </cell>
          <cell r="K551" t="str">
            <v>baretube</v>
          </cell>
        </row>
        <row r="552">
          <cell r="A552" t="str">
            <v>4MTSA-210 C44.52.9</v>
          </cell>
          <cell r="B552" t="str">
            <v>BENTELER</v>
          </cell>
          <cell r="C552" t="str">
            <v>4MTSA-210 C44.52.9BENTELER</v>
          </cell>
          <cell r="D552" t="str">
            <v>EUR</v>
          </cell>
          <cell r="E552">
            <v>673</v>
          </cell>
          <cell r="F552" t="str">
            <v>EUR/t</v>
          </cell>
          <cell r="G552" t="str">
            <v>Yes</v>
          </cell>
          <cell r="H552" t="str">
            <v>Frame contract for 2002</v>
          </cell>
          <cell r="K552" t="str">
            <v>baretube</v>
          </cell>
        </row>
        <row r="553">
          <cell r="A553" t="str">
            <v>4MTSA-210 C44.53.2</v>
          </cell>
          <cell r="B553" t="str">
            <v>BENTELER</v>
          </cell>
          <cell r="C553" t="str">
            <v>4MTSA-210 C44.53.2BENTELER</v>
          </cell>
          <cell r="D553" t="str">
            <v>EUR</v>
          </cell>
          <cell r="E553">
            <v>661</v>
          </cell>
          <cell r="F553" t="str">
            <v>EUR/t</v>
          </cell>
          <cell r="G553" t="str">
            <v>Yes</v>
          </cell>
          <cell r="H553" t="str">
            <v>Frame contract for 2002</v>
          </cell>
          <cell r="K553" t="str">
            <v>baretube</v>
          </cell>
        </row>
        <row r="554">
          <cell r="A554" t="str">
            <v>4MTSA-210 C44.53.4</v>
          </cell>
          <cell r="B554" t="str">
            <v>BENTELER</v>
          </cell>
          <cell r="C554" t="str">
            <v>4MTSA-210 C44.53.4BENTELER</v>
          </cell>
          <cell r="D554" t="str">
            <v>EUR</v>
          </cell>
          <cell r="E554">
            <v>661</v>
          </cell>
          <cell r="F554" t="str">
            <v>EUR/t</v>
          </cell>
          <cell r="G554" t="str">
            <v>Yes</v>
          </cell>
          <cell r="H554" t="str">
            <v>Frame contract for 2002</v>
          </cell>
          <cell r="K554" t="str">
            <v>baretube</v>
          </cell>
        </row>
        <row r="555">
          <cell r="A555" t="str">
            <v>4MTSA-210 C44.53.6</v>
          </cell>
          <cell r="B555" t="str">
            <v>BENTELER</v>
          </cell>
          <cell r="C555" t="str">
            <v>4MTSA-210 C44.53.6BENTELER</v>
          </cell>
          <cell r="D555" t="str">
            <v>EUR</v>
          </cell>
          <cell r="E555">
            <v>657</v>
          </cell>
          <cell r="F555" t="str">
            <v>EUR/t</v>
          </cell>
          <cell r="G555" t="str">
            <v>Yes</v>
          </cell>
          <cell r="H555" t="str">
            <v>Frame contract for 2002</v>
          </cell>
          <cell r="K555" t="str">
            <v>baretube</v>
          </cell>
        </row>
        <row r="556">
          <cell r="A556" t="str">
            <v>4MTSA-210 C44.53.9</v>
          </cell>
          <cell r="B556" t="str">
            <v>BENTELER</v>
          </cell>
          <cell r="C556" t="str">
            <v>4MTSA-210 C44.53.9BENTELER</v>
          </cell>
          <cell r="D556" t="str">
            <v>EUR</v>
          </cell>
          <cell r="E556">
            <v>657</v>
          </cell>
          <cell r="F556" t="str">
            <v>EUR/t</v>
          </cell>
          <cell r="G556" t="str">
            <v>Yes</v>
          </cell>
          <cell r="H556" t="str">
            <v>Frame contract for 2002</v>
          </cell>
          <cell r="K556" t="str">
            <v>baretube</v>
          </cell>
        </row>
        <row r="557">
          <cell r="A557" t="str">
            <v>4MTSA-210 C44.54.5</v>
          </cell>
          <cell r="B557" t="str">
            <v>BENTELER</v>
          </cell>
          <cell r="C557" t="str">
            <v>4MTSA-210 C44.54.5BENTELER</v>
          </cell>
          <cell r="D557" t="str">
            <v>EUR</v>
          </cell>
          <cell r="E557">
            <v>657</v>
          </cell>
          <cell r="F557" t="str">
            <v>EUR/t</v>
          </cell>
          <cell r="G557" t="str">
            <v>Yes</v>
          </cell>
          <cell r="H557" t="str">
            <v>Frame contract for 2002</v>
          </cell>
          <cell r="K557" t="str">
            <v>baretube</v>
          </cell>
        </row>
        <row r="558">
          <cell r="A558" t="str">
            <v>4MTSA-210 C44.54</v>
          </cell>
          <cell r="B558" t="str">
            <v>BENTELER</v>
          </cell>
          <cell r="C558" t="str">
            <v>4MTSA-210 C44.54BENTELER</v>
          </cell>
          <cell r="D558" t="str">
            <v>EUR</v>
          </cell>
          <cell r="E558">
            <v>657</v>
          </cell>
          <cell r="F558" t="str">
            <v>EUR/t</v>
          </cell>
          <cell r="G558" t="str">
            <v>Yes</v>
          </cell>
          <cell r="H558" t="str">
            <v>Frame contract for 2002</v>
          </cell>
          <cell r="K558" t="str">
            <v>baretube</v>
          </cell>
        </row>
        <row r="559">
          <cell r="A559" t="str">
            <v>4MTSA-210 C50.82.6</v>
          </cell>
          <cell r="B559" t="str">
            <v>BENTELER</v>
          </cell>
          <cell r="C559" t="str">
            <v>4MTSA-210 C50.82.6BENTELER</v>
          </cell>
          <cell r="D559" t="str">
            <v>EUR</v>
          </cell>
          <cell r="E559">
            <v>676</v>
          </cell>
          <cell r="F559" t="str">
            <v>EUR/t</v>
          </cell>
          <cell r="G559" t="str">
            <v>Yes</v>
          </cell>
          <cell r="H559" t="str">
            <v>Frame contract for 2002</v>
          </cell>
          <cell r="K559" t="str">
            <v>baretube</v>
          </cell>
        </row>
        <row r="560">
          <cell r="A560" t="str">
            <v>4MTSA-210 C50.82.9</v>
          </cell>
          <cell r="B560" t="str">
            <v>BENTELER</v>
          </cell>
          <cell r="C560" t="str">
            <v>4MTSA-210 C50.82.9BENTELER</v>
          </cell>
          <cell r="D560" t="str">
            <v>EUR</v>
          </cell>
          <cell r="E560">
            <v>673</v>
          </cell>
          <cell r="F560" t="str">
            <v>EUR/t</v>
          </cell>
          <cell r="G560" t="str">
            <v>Yes</v>
          </cell>
          <cell r="H560" t="str">
            <v>Frame contract for 2002</v>
          </cell>
          <cell r="K560" t="str">
            <v>baretube</v>
          </cell>
        </row>
        <row r="561">
          <cell r="A561" t="str">
            <v>4MTSA-210 C50.83.2</v>
          </cell>
          <cell r="B561" t="str">
            <v>BENTELER</v>
          </cell>
          <cell r="C561" t="str">
            <v>4MTSA-210 C50.83.2BENTELER</v>
          </cell>
          <cell r="D561" t="str">
            <v>EUR</v>
          </cell>
          <cell r="E561">
            <v>661</v>
          </cell>
          <cell r="F561" t="str">
            <v>EUR/t</v>
          </cell>
          <cell r="G561" t="str">
            <v>Yes</v>
          </cell>
          <cell r="H561" t="str">
            <v>Frame contract for 2002</v>
          </cell>
          <cell r="K561" t="str">
            <v>baretube</v>
          </cell>
        </row>
        <row r="562">
          <cell r="A562" t="str">
            <v>4MTSA-210 C50.83.4</v>
          </cell>
          <cell r="B562" t="str">
            <v>BENTELER</v>
          </cell>
          <cell r="C562" t="str">
            <v>4MTSA-210 C50.83.4BENTELER</v>
          </cell>
          <cell r="D562" t="str">
            <v>EUR</v>
          </cell>
          <cell r="E562">
            <v>661</v>
          </cell>
          <cell r="F562" t="str">
            <v>EUR/t</v>
          </cell>
          <cell r="G562" t="str">
            <v>Yes</v>
          </cell>
          <cell r="H562" t="str">
            <v>Frame contract for 2002</v>
          </cell>
          <cell r="K562" t="str">
            <v>baretube</v>
          </cell>
        </row>
        <row r="563">
          <cell r="A563" t="str">
            <v>4MTSA-210 C50.83.6</v>
          </cell>
          <cell r="B563" t="str">
            <v>BENTELER</v>
          </cell>
          <cell r="C563" t="str">
            <v>4MTSA-210 C50.83.6BENTELER</v>
          </cell>
          <cell r="D563" t="str">
            <v>EUR</v>
          </cell>
          <cell r="E563">
            <v>657</v>
          </cell>
          <cell r="F563" t="str">
            <v>EUR/t</v>
          </cell>
          <cell r="G563" t="str">
            <v>Yes</v>
          </cell>
          <cell r="H563" t="str">
            <v>Frame contract for 2002</v>
          </cell>
          <cell r="K563" t="str">
            <v>baretube</v>
          </cell>
        </row>
        <row r="564">
          <cell r="A564" t="str">
            <v>4MTSA-210 C50.83.9</v>
          </cell>
          <cell r="B564" t="str">
            <v>BENTELER</v>
          </cell>
          <cell r="C564" t="str">
            <v>4MTSA-210 C50.83.9BENTELER</v>
          </cell>
          <cell r="D564" t="str">
            <v>EUR</v>
          </cell>
          <cell r="E564">
            <v>657</v>
          </cell>
          <cell r="F564" t="str">
            <v>EUR/t</v>
          </cell>
          <cell r="G564" t="str">
            <v>Yes</v>
          </cell>
          <cell r="H564" t="str">
            <v>Frame contract for 2002</v>
          </cell>
          <cell r="K564" t="str">
            <v>baretube</v>
          </cell>
        </row>
        <row r="565">
          <cell r="A565" t="str">
            <v>4MTSA-210 C50.84.5</v>
          </cell>
          <cell r="B565" t="str">
            <v>BENTELER</v>
          </cell>
          <cell r="C565" t="str">
            <v>4MTSA-210 C50.84.5BENTELER</v>
          </cell>
          <cell r="D565" t="str">
            <v>EUR</v>
          </cell>
          <cell r="E565">
            <v>657</v>
          </cell>
          <cell r="F565" t="str">
            <v>EUR/t</v>
          </cell>
          <cell r="G565" t="str">
            <v>Yes</v>
          </cell>
          <cell r="H565" t="str">
            <v>Frame contract for 2002</v>
          </cell>
          <cell r="K565" t="str">
            <v>baretube</v>
          </cell>
        </row>
        <row r="566">
          <cell r="A566" t="str">
            <v>4MTSA-210 C50.84</v>
          </cell>
          <cell r="B566" t="str">
            <v>BENTELER</v>
          </cell>
          <cell r="C566" t="str">
            <v>4MTSA-210 C50.84BENTELER</v>
          </cell>
          <cell r="D566" t="str">
            <v>EUR</v>
          </cell>
          <cell r="E566">
            <v>657</v>
          </cell>
          <cell r="F566" t="str">
            <v>EUR/t</v>
          </cell>
          <cell r="G566" t="str">
            <v>Yes</v>
          </cell>
          <cell r="H566" t="str">
            <v>Frame contract for 2002</v>
          </cell>
          <cell r="K566" t="str">
            <v>baretube</v>
          </cell>
        </row>
        <row r="567">
          <cell r="A567" t="str">
            <v>4MTSA-210 C572.6</v>
          </cell>
          <cell r="B567" t="str">
            <v>BENTELER</v>
          </cell>
          <cell r="C567" t="str">
            <v>4MTSA-210 C572.6BENTELER</v>
          </cell>
          <cell r="D567" t="str">
            <v>EUR</v>
          </cell>
          <cell r="E567">
            <v>676</v>
          </cell>
          <cell r="F567" t="str">
            <v>EUR/t</v>
          </cell>
          <cell r="G567" t="str">
            <v>Yes</v>
          </cell>
          <cell r="H567" t="str">
            <v>Frame contract for 2002</v>
          </cell>
          <cell r="K567" t="str">
            <v>baretube</v>
          </cell>
        </row>
        <row r="568">
          <cell r="A568" t="str">
            <v>4MTSA-210 C572.9</v>
          </cell>
          <cell r="B568" t="str">
            <v>BENTELER</v>
          </cell>
          <cell r="C568" t="str">
            <v>4MTSA-210 C572.9BENTELER</v>
          </cell>
          <cell r="D568" t="str">
            <v>EUR</v>
          </cell>
          <cell r="E568">
            <v>673</v>
          </cell>
          <cell r="F568" t="str">
            <v>EUR/t</v>
          </cell>
          <cell r="G568" t="str">
            <v>Yes</v>
          </cell>
          <cell r="H568" t="str">
            <v>Frame contract for 2002</v>
          </cell>
          <cell r="K568" t="str">
            <v>baretube</v>
          </cell>
        </row>
        <row r="569">
          <cell r="A569" t="str">
            <v>4MTSA-210 C573.2</v>
          </cell>
          <cell r="B569" t="str">
            <v>BENTELER</v>
          </cell>
          <cell r="C569" t="str">
            <v>4MTSA-210 C573.2BENTELER</v>
          </cell>
          <cell r="D569" t="str">
            <v>EUR</v>
          </cell>
          <cell r="E569">
            <v>661</v>
          </cell>
          <cell r="F569" t="str">
            <v>EUR/t</v>
          </cell>
          <cell r="G569" t="str">
            <v>Yes</v>
          </cell>
          <cell r="H569" t="str">
            <v>Frame contract for 2002</v>
          </cell>
          <cell r="K569" t="str">
            <v>baretube</v>
          </cell>
        </row>
        <row r="570">
          <cell r="A570" t="str">
            <v>4MTSA-210 C573.4</v>
          </cell>
          <cell r="B570" t="str">
            <v>BENTELER</v>
          </cell>
          <cell r="C570" t="str">
            <v>4MTSA-210 C573.4BENTELER</v>
          </cell>
          <cell r="D570" t="str">
            <v>EUR</v>
          </cell>
          <cell r="E570">
            <v>661</v>
          </cell>
          <cell r="F570" t="str">
            <v>EUR/t</v>
          </cell>
          <cell r="G570" t="str">
            <v>Yes</v>
          </cell>
          <cell r="H570" t="str">
            <v>Frame contract for 2002</v>
          </cell>
          <cell r="K570" t="str">
            <v>baretube</v>
          </cell>
        </row>
        <row r="571">
          <cell r="A571" t="str">
            <v>4MTSA-210 C573.6</v>
          </cell>
          <cell r="B571" t="str">
            <v>BENTELER</v>
          </cell>
          <cell r="C571" t="str">
            <v>4MTSA-210 C573.6BENTELER</v>
          </cell>
          <cell r="D571" t="str">
            <v>EUR</v>
          </cell>
          <cell r="E571">
            <v>657</v>
          </cell>
          <cell r="F571" t="str">
            <v>EUR/t</v>
          </cell>
          <cell r="G571" t="str">
            <v>Yes</v>
          </cell>
          <cell r="H571" t="str">
            <v>Frame contract for 2002</v>
          </cell>
          <cell r="K571" t="str">
            <v>baretube</v>
          </cell>
        </row>
        <row r="572">
          <cell r="A572" t="str">
            <v>4MTSA-210 C573.9</v>
          </cell>
          <cell r="B572" t="str">
            <v>BENTELER</v>
          </cell>
          <cell r="C572" t="str">
            <v>4MTSA-210 C573.9BENTELER</v>
          </cell>
          <cell r="D572" t="str">
            <v>EUR</v>
          </cell>
          <cell r="E572">
            <v>657</v>
          </cell>
          <cell r="F572" t="str">
            <v>EUR/t</v>
          </cell>
          <cell r="G572" t="str">
            <v>Yes</v>
          </cell>
          <cell r="H572" t="str">
            <v>Frame contract for 2002</v>
          </cell>
          <cell r="K572" t="str">
            <v>baretube</v>
          </cell>
        </row>
        <row r="573">
          <cell r="A573" t="str">
            <v>4MTSA-210 C574.5</v>
          </cell>
          <cell r="B573" t="str">
            <v>BENTELER</v>
          </cell>
          <cell r="C573" t="str">
            <v>4MTSA-210 C574.5BENTELER</v>
          </cell>
          <cell r="D573" t="str">
            <v>EUR</v>
          </cell>
          <cell r="E573">
            <v>657</v>
          </cell>
          <cell r="F573" t="str">
            <v>EUR/t</v>
          </cell>
          <cell r="G573" t="str">
            <v>Yes</v>
          </cell>
          <cell r="H573" t="str">
            <v>Frame contract for 2002</v>
          </cell>
          <cell r="K573" t="str">
            <v>baretube</v>
          </cell>
        </row>
        <row r="574">
          <cell r="A574" t="str">
            <v>4MTSA-210 C574</v>
          </cell>
          <cell r="B574" t="str">
            <v>BENTELER</v>
          </cell>
          <cell r="C574" t="str">
            <v>4MTSA-210 C574BENTELER</v>
          </cell>
          <cell r="D574" t="str">
            <v>EUR</v>
          </cell>
          <cell r="E574">
            <v>657</v>
          </cell>
          <cell r="F574" t="str">
            <v>EUR/t</v>
          </cell>
          <cell r="G574" t="str">
            <v>Yes</v>
          </cell>
          <cell r="H574" t="str">
            <v>Frame contract for 2002</v>
          </cell>
          <cell r="K574" t="str">
            <v>baretube</v>
          </cell>
        </row>
        <row r="575">
          <cell r="A575" t="str">
            <v>4MTSA-210 C</v>
          </cell>
          <cell r="B575" t="str">
            <v>BENTELER</v>
          </cell>
          <cell r="C575" t="str">
            <v>4MTSA-210 CBENTELER</v>
          </cell>
          <cell r="D575" t="str">
            <v>EUR</v>
          </cell>
          <cell r="E575">
            <v>0</v>
          </cell>
          <cell r="F575" t="str">
            <v>EUR/t</v>
          </cell>
          <cell r="G575" t="str">
            <v>Yes</v>
          </cell>
          <cell r="H575" t="str">
            <v>Frame contract for 2002</v>
          </cell>
          <cell r="K575" t="str">
            <v>baretube</v>
          </cell>
        </row>
        <row r="576">
          <cell r="A576" t="str">
            <v>4MTSA-213 T11252.6</v>
          </cell>
          <cell r="B576" t="str">
            <v>BENTELER</v>
          </cell>
          <cell r="C576" t="str">
            <v>4MTSA-213 T11252.6BENTELER</v>
          </cell>
          <cell r="D576" t="str">
            <v>EUR</v>
          </cell>
          <cell r="E576">
            <v>1126</v>
          </cell>
          <cell r="F576" t="str">
            <v>EUR/t</v>
          </cell>
          <cell r="G576" t="str">
            <v>Yes</v>
          </cell>
          <cell r="H576" t="str">
            <v>Frame contract for 2002</v>
          </cell>
          <cell r="K576" t="str">
            <v>baretube</v>
          </cell>
        </row>
        <row r="577">
          <cell r="A577" t="str">
            <v>4MTSA-213 T11252.9</v>
          </cell>
          <cell r="B577" t="str">
            <v>BENTELER</v>
          </cell>
          <cell r="C577" t="str">
            <v>4MTSA-213 T11252.9BENTELER</v>
          </cell>
          <cell r="D577" t="str">
            <v>EUR</v>
          </cell>
          <cell r="E577">
            <v>1105</v>
          </cell>
          <cell r="F577" t="str">
            <v>EUR/t</v>
          </cell>
          <cell r="G577" t="str">
            <v>Yes</v>
          </cell>
          <cell r="H577" t="str">
            <v>Frame contract for 2002</v>
          </cell>
          <cell r="K577" t="str">
            <v>baretube</v>
          </cell>
        </row>
        <row r="578">
          <cell r="A578" t="str">
            <v>4MTSA-213 T11253.2</v>
          </cell>
          <cell r="B578" t="str">
            <v>BENTELER</v>
          </cell>
          <cell r="C578" t="str">
            <v>4MTSA-213 T11253.2BENTELER</v>
          </cell>
          <cell r="D578" t="str">
            <v>EUR</v>
          </cell>
          <cell r="E578">
            <v>1053</v>
          </cell>
          <cell r="F578" t="str">
            <v>EUR/t</v>
          </cell>
          <cell r="G578" t="str">
            <v>Yes</v>
          </cell>
          <cell r="H578" t="str">
            <v>Frame contract for 2002</v>
          </cell>
          <cell r="K578" t="str">
            <v>baretube</v>
          </cell>
        </row>
        <row r="579">
          <cell r="A579" t="str">
            <v>4MTSA-213 T11253.4</v>
          </cell>
          <cell r="B579" t="str">
            <v>BENTELER</v>
          </cell>
          <cell r="C579" t="str">
            <v>4MTSA-213 T11253.4BENTELER</v>
          </cell>
          <cell r="D579" t="str">
            <v>EUR</v>
          </cell>
          <cell r="E579">
            <v>1053</v>
          </cell>
          <cell r="F579" t="str">
            <v>EUR/t</v>
          </cell>
          <cell r="G579" t="str">
            <v>Yes</v>
          </cell>
          <cell r="H579" t="str">
            <v>Frame contract for 2002</v>
          </cell>
          <cell r="K579" t="str">
            <v>baretube</v>
          </cell>
        </row>
        <row r="580">
          <cell r="A580" t="str">
            <v>4MTSA-213 T11253.6</v>
          </cell>
          <cell r="B580" t="str">
            <v>BENTELER</v>
          </cell>
          <cell r="C580" t="str">
            <v>4MTSA-213 T11253.6BENTELER</v>
          </cell>
          <cell r="D580" t="str">
            <v>EUR</v>
          </cell>
          <cell r="E580">
            <v>1053</v>
          </cell>
          <cell r="F580" t="str">
            <v>EUR/t</v>
          </cell>
          <cell r="G580" t="str">
            <v>Yes</v>
          </cell>
          <cell r="H580" t="str">
            <v>Frame contract for 2002</v>
          </cell>
          <cell r="K580" t="str">
            <v>baretube</v>
          </cell>
        </row>
        <row r="581">
          <cell r="A581" t="str">
            <v>4MTSA-213 T11253.9</v>
          </cell>
          <cell r="B581" t="str">
            <v>BENTELER</v>
          </cell>
          <cell r="C581" t="str">
            <v>4MTSA-213 T11253.9BENTELER</v>
          </cell>
          <cell r="D581" t="str">
            <v>EUR</v>
          </cell>
          <cell r="E581">
            <v>1053</v>
          </cell>
          <cell r="F581" t="str">
            <v>EUR/t</v>
          </cell>
          <cell r="G581" t="str">
            <v>Yes</v>
          </cell>
          <cell r="H581" t="str">
            <v>Frame contract for 2002</v>
          </cell>
          <cell r="K581" t="str">
            <v>baretube</v>
          </cell>
        </row>
        <row r="582">
          <cell r="A582" t="str">
            <v>4MTSA-213 T11254.5</v>
          </cell>
          <cell r="B582" t="str">
            <v>BENTELER</v>
          </cell>
          <cell r="C582" t="str">
            <v>4MTSA-213 T11254.5BENTELER</v>
          </cell>
          <cell r="D582" t="str">
            <v>EUR</v>
          </cell>
          <cell r="E582">
            <v>1053</v>
          </cell>
          <cell r="F582" t="str">
            <v>EUR/t</v>
          </cell>
          <cell r="G582" t="str">
            <v>Yes</v>
          </cell>
          <cell r="H582" t="str">
            <v>Frame contract for 2002</v>
          </cell>
          <cell r="K582" t="str">
            <v>baretube</v>
          </cell>
        </row>
        <row r="583">
          <cell r="A583" t="str">
            <v>4MTSA-213 T11254</v>
          </cell>
          <cell r="B583" t="str">
            <v>BENTELER</v>
          </cell>
          <cell r="C583" t="str">
            <v>4MTSA-213 T11254BENTELER</v>
          </cell>
          <cell r="D583" t="str">
            <v>EUR</v>
          </cell>
          <cell r="E583">
            <v>1053</v>
          </cell>
          <cell r="F583" t="str">
            <v>EUR/t</v>
          </cell>
          <cell r="G583" t="str">
            <v>Yes</v>
          </cell>
          <cell r="H583" t="str">
            <v>Frame contract for 2002</v>
          </cell>
          <cell r="K583" t="str">
            <v>baretube</v>
          </cell>
        </row>
        <row r="584">
          <cell r="A584" t="str">
            <v>4MTSA-213 T1126.92.6</v>
          </cell>
          <cell r="B584" t="str">
            <v>BENTELER</v>
          </cell>
          <cell r="C584" t="str">
            <v>4MTSA-213 T1126.92.6BENTELER</v>
          </cell>
          <cell r="D584" t="str">
            <v>EUR</v>
          </cell>
          <cell r="E584">
            <v>1126</v>
          </cell>
          <cell r="F584" t="str">
            <v>EUR/t</v>
          </cell>
          <cell r="G584" t="str">
            <v>Yes</v>
          </cell>
          <cell r="H584" t="str">
            <v>Frame contract for 2002</v>
          </cell>
          <cell r="K584" t="str">
            <v>baretube</v>
          </cell>
        </row>
        <row r="585">
          <cell r="A585" t="str">
            <v>4MTSA-213 T1131.82.6</v>
          </cell>
          <cell r="B585" t="str">
            <v>BENTELER</v>
          </cell>
          <cell r="C585" t="str">
            <v>4MTSA-213 T1131.82.6BENTELER</v>
          </cell>
          <cell r="D585" t="str">
            <v>EUR</v>
          </cell>
          <cell r="E585">
            <v>1035</v>
          </cell>
          <cell r="F585" t="str">
            <v>EUR/t</v>
          </cell>
          <cell r="G585" t="str">
            <v>Yes</v>
          </cell>
          <cell r="H585" t="str">
            <v>Frame contract for 2002</v>
          </cell>
          <cell r="K585" t="str">
            <v>baretube</v>
          </cell>
        </row>
        <row r="586">
          <cell r="A586" t="str">
            <v>4MTSA-213 T1131.82.9</v>
          </cell>
          <cell r="B586" t="str">
            <v>BENTELER</v>
          </cell>
          <cell r="C586" t="str">
            <v>4MTSA-213 T1131.82.9BENTELER</v>
          </cell>
          <cell r="D586" t="str">
            <v>EUR</v>
          </cell>
          <cell r="E586">
            <v>1015</v>
          </cell>
          <cell r="F586" t="str">
            <v>EUR/t</v>
          </cell>
          <cell r="G586" t="str">
            <v>Yes</v>
          </cell>
          <cell r="H586" t="str">
            <v>Frame contract for 2002</v>
          </cell>
          <cell r="K586" t="str">
            <v>baretube</v>
          </cell>
        </row>
        <row r="587">
          <cell r="A587" t="str">
            <v>4MTSA-213 T1131.83.2</v>
          </cell>
          <cell r="B587" t="str">
            <v>BENTELER</v>
          </cell>
          <cell r="C587" t="str">
            <v>4MTSA-213 T1131.83.2BENTELER</v>
          </cell>
          <cell r="D587" t="str">
            <v>EUR</v>
          </cell>
          <cell r="E587">
            <v>996</v>
          </cell>
          <cell r="F587" t="str">
            <v>EUR/t</v>
          </cell>
          <cell r="G587" t="str">
            <v>Yes</v>
          </cell>
          <cell r="H587" t="str">
            <v>Frame contract for 2002</v>
          </cell>
          <cell r="K587" t="str">
            <v>baretube</v>
          </cell>
        </row>
        <row r="588">
          <cell r="A588" t="str">
            <v>4MTSA-213 T1131.83.4</v>
          </cell>
          <cell r="B588" t="str">
            <v>BENTELER</v>
          </cell>
          <cell r="C588" t="str">
            <v>4MTSA-213 T1131.83.4BENTELER</v>
          </cell>
          <cell r="D588" t="str">
            <v>EUR</v>
          </cell>
          <cell r="E588">
            <v>996</v>
          </cell>
          <cell r="F588" t="str">
            <v>EUR/t</v>
          </cell>
          <cell r="G588" t="str">
            <v>Yes</v>
          </cell>
          <cell r="H588" t="str">
            <v>Frame contract for 2002</v>
          </cell>
          <cell r="K588" t="str">
            <v>baretube</v>
          </cell>
        </row>
        <row r="589">
          <cell r="A589" t="str">
            <v>4MTSA-213 T1131.83.6</v>
          </cell>
          <cell r="B589" t="str">
            <v>BENTELER</v>
          </cell>
          <cell r="C589" t="str">
            <v>4MTSA-213 T1131.83.6BENTELER</v>
          </cell>
          <cell r="D589" t="str">
            <v>EUR</v>
          </cell>
          <cell r="E589">
            <v>948</v>
          </cell>
          <cell r="F589" t="str">
            <v>EUR/t</v>
          </cell>
          <cell r="G589" t="str">
            <v>Yes</v>
          </cell>
          <cell r="H589" t="str">
            <v>Frame contract for 2002</v>
          </cell>
          <cell r="K589" t="str">
            <v>baretube</v>
          </cell>
        </row>
        <row r="590">
          <cell r="A590" t="str">
            <v>4MTSA-213 T1131.83.9</v>
          </cell>
          <cell r="B590" t="str">
            <v>BENTELER</v>
          </cell>
          <cell r="C590" t="str">
            <v>4MTSA-213 T1131.83.9BENTELER</v>
          </cell>
          <cell r="D590" t="str">
            <v>EUR</v>
          </cell>
          <cell r="E590">
            <v>948</v>
          </cell>
          <cell r="F590" t="str">
            <v>EUR/t</v>
          </cell>
          <cell r="G590" t="str">
            <v>Yes</v>
          </cell>
          <cell r="H590" t="str">
            <v>Frame contract for 2002</v>
          </cell>
          <cell r="K590" t="str">
            <v>baretube</v>
          </cell>
        </row>
        <row r="591">
          <cell r="A591" t="str">
            <v>4MTSA-213 T1131.83</v>
          </cell>
          <cell r="B591" t="str">
            <v>BENTELER</v>
          </cell>
          <cell r="C591" t="str">
            <v>4MTSA-213 T1131.83BENTELER</v>
          </cell>
          <cell r="D591" t="str">
            <v>EUR</v>
          </cell>
          <cell r="E591">
            <v>1007</v>
          </cell>
          <cell r="F591" t="str">
            <v>EUR/t</v>
          </cell>
          <cell r="G591" t="str">
            <v>Yes</v>
          </cell>
          <cell r="H591" t="str">
            <v>Frame contract for 2002</v>
          </cell>
          <cell r="K591" t="str">
            <v>baretube</v>
          </cell>
        </row>
        <row r="592">
          <cell r="A592" t="str">
            <v>4MTSA-213 T1131.84.5</v>
          </cell>
          <cell r="B592" t="str">
            <v>BENTELER</v>
          </cell>
          <cell r="C592" t="str">
            <v>4MTSA-213 T1131.84.5BENTELER</v>
          </cell>
          <cell r="D592" t="str">
            <v>EUR</v>
          </cell>
          <cell r="E592">
            <v>948</v>
          </cell>
          <cell r="F592" t="str">
            <v>EUR/t</v>
          </cell>
          <cell r="G592" t="str">
            <v>Yes</v>
          </cell>
          <cell r="H592" t="str">
            <v>Frame contract for 2002</v>
          </cell>
          <cell r="K592" t="str">
            <v>baretube</v>
          </cell>
        </row>
        <row r="593">
          <cell r="A593" t="str">
            <v>4MTSA-213 T1131.84</v>
          </cell>
          <cell r="B593" t="str">
            <v>BENTELER</v>
          </cell>
          <cell r="C593" t="str">
            <v>4MTSA-213 T1131.84BENTELER</v>
          </cell>
          <cell r="D593" t="str">
            <v>EUR</v>
          </cell>
          <cell r="E593">
            <v>948</v>
          </cell>
          <cell r="F593" t="str">
            <v>EUR/t</v>
          </cell>
          <cell r="G593" t="str">
            <v>Yes</v>
          </cell>
          <cell r="H593" t="str">
            <v>Frame contract for 2002</v>
          </cell>
          <cell r="K593" t="str">
            <v>baretube</v>
          </cell>
        </row>
        <row r="594">
          <cell r="A594" t="str">
            <v>4MTSA-213 T11382.6</v>
          </cell>
          <cell r="B594" t="str">
            <v>BENTELER</v>
          </cell>
          <cell r="C594" t="str">
            <v>4MTSA-213 T11382.6BENTELER</v>
          </cell>
          <cell r="D594" t="str">
            <v>EUR</v>
          </cell>
          <cell r="E594">
            <v>1021</v>
          </cell>
          <cell r="F594" t="str">
            <v>EUR/t</v>
          </cell>
          <cell r="G594" t="str">
            <v>Yes</v>
          </cell>
          <cell r="H594" t="str">
            <v>Frame contract for 2002</v>
          </cell>
          <cell r="K594" t="str">
            <v>baretube</v>
          </cell>
        </row>
        <row r="595">
          <cell r="A595" t="str">
            <v>4MTSA-213 T11382.9</v>
          </cell>
          <cell r="B595" t="str">
            <v>BENTELER</v>
          </cell>
          <cell r="C595" t="str">
            <v>4MTSA-213 T11382.9BENTELER</v>
          </cell>
          <cell r="D595" t="str">
            <v>EUR</v>
          </cell>
          <cell r="E595">
            <v>1002</v>
          </cell>
          <cell r="F595" t="str">
            <v>EUR/t</v>
          </cell>
          <cell r="G595" t="str">
            <v>Yes</v>
          </cell>
          <cell r="H595" t="str">
            <v>Frame contract for 2002</v>
          </cell>
          <cell r="K595" t="str">
            <v>baretube</v>
          </cell>
        </row>
        <row r="596">
          <cell r="A596" t="str">
            <v>4MTSA-213 T11383.2</v>
          </cell>
          <cell r="B596" t="str">
            <v>BENTELER</v>
          </cell>
          <cell r="C596" t="str">
            <v>4MTSA-213 T11383.2BENTELER</v>
          </cell>
          <cell r="D596" t="str">
            <v>EUR</v>
          </cell>
          <cell r="E596">
            <v>984</v>
          </cell>
          <cell r="F596" t="str">
            <v>EUR/t</v>
          </cell>
          <cell r="G596" t="str">
            <v>Yes</v>
          </cell>
          <cell r="H596" t="str">
            <v>Frame contract for 2002</v>
          </cell>
          <cell r="K596" t="str">
            <v>baretube</v>
          </cell>
        </row>
        <row r="597">
          <cell r="A597" t="str">
            <v>4MTSA-213 T11383.4</v>
          </cell>
          <cell r="B597" t="str">
            <v>BENTELER</v>
          </cell>
          <cell r="C597" t="str">
            <v>4MTSA-213 T11383.4BENTELER</v>
          </cell>
          <cell r="D597" t="str">
            <v>EUR</v>
          </cell>
          <cell r="E597">
            <v>984</v>
          </cell>
          <cell r="F597" t="str">
            <v>EUR/t</v>
          </cell>
          <cell r="G597" t="str">
            <v>Yes</v>
          </cell>
          <cell r="H597" t="str">
            <v>Frame contract for 2002</v>
          </cell>
          <cell r="K597" t="str">
            <v>baretube</v>
          </cell>
        </row>
        <row r="598">
          <cell r="A598" t="str">
            <v>4MTSA-213 T11383.6</v>
          </cell>
          <cell r="B598" t="str">
            <v>BENTELER</v>
          </cell>
          <cell r="C598" t="str">
            <v>4MTSA-213 T11383.6BENTELER</v>
          </cell>
          <cell r="D598" t="str">
            <v>EUR</v>
          </cell>
          <cell r="E598">
            <v>936</v>
          </cell>
          <cell r="F598" t="str">
            <v>EUR/t</v>
          </cell>
          <cell r="G598" t="str">
            <v>Yes</v>
          </cell>
          <cell r="H598" t="str">
            <v>Frame contract for 2002</v>
          </cell>
          <cell r="K598" t="str">
            <v>baretube</v>
          </cell>
        </row>
        <row r="599">
          <cell r="A599" t="str">
            <v>4MTSA-213 T11383.9</v>
          </cell>
          <cell r="B599" t="str">
            <v>BENTELER</v>
          </cell>
          <cell r="C599" t="str">
            <v>4MTSA-213 T11383.9BENTELER</v>
          </cell>
          <cell r="D599" t="str">
            <v>EUR</v>
          </cell>
          <cell r="E599">
            <v>936</v>
          </cell>
          <cell r="F599" t="str">
            <v>EUR/t</v>
          </cell>
          <cell r="G599" t="str">
            <v>Yes</v>
          </cell>
          <cell r="H599" t="str">
            <v>Frame contract for 2002</v>
          </cell>
          <cell r="K599" t="str">
            <v>baretube</v>
          </cell>
        </row>
        <row r="600">
          <cell r="A600" t="str">
            <v>4MTSA-213 T11384.5</v>
          </cell>
          <cell r="B600" t="str">
            <v>BENTELER</v>
          </cell>
          <cell r="C600" t="str">
            <v>4MTSA-213 T11384.5BENTELER</v>
          </cell>
          <cell r="D600" t="str">
            <v>EUR</v>
          </cell>
          <cell r="E600">
            <v>936</v>
          </cell>
          <cell r="F600" t="str">
            <v>EUR/t</v>
          </cell>
          <cell r="G600" t="str">
            <v>Yes</v>
          </cell>
          <cell r="H600" t="str">
            <v>Frame contract for 2002</v>
          </cell>
          <cell r="K600" t="str">
            <v>baretube</v>
          </cell>
        </row>
        <row r="601">
          <cell r="A601" t="str">
            <v>4MTSA-213 T11384</v>
          </cell>
          <cell r="B601" t="str">
            <v>BENTELER</v>
          </cell>
          <cell r="C601" t="str">
            <v>4MTSA-213 T11384BENTELER</v>
          </cell>
          <cell r="D601" t="str">
            <v>EUR</v>
          </cell>
          <cell r="E601">
            <v>936</v>
          </cell>
          <cell r="F601" t="str">
            <v>EUR/t</v>
          </cell>
          <cell r="G601" t="str">
            <v>Yes</v>
          </cell>
          <cell r="H601" t="str">
            <v>Frame contract for 2002</v>
          </cell>
          <cell r="K601" t="str">
            <v>baretube</v>
          </cell>
        </row>
        <row r="602">
          <cell r="A602" t="str">
            <v>4MTSA-213 T1144.52.6</v>
          </cell>
          <cell r="B602" t="str">
            <v>BENTELER</v>
          </cell>
          <cell r="C602" t="str">
            <v>4MTSA-213 T1144.52.6BENTELER</v>
          </cell>
          <cell r="D602" t="str">
            <v>EUR</v>
          </cell>
          <cell r="E602">
            <v>1021</v>
          </cell>
          <cell r="F602" t="str">
            <v>EUR/t</v>
          </cell>
          <cell r="G602" t="str">
            <v>Yes</v>
          </cell>
          <cell r="H602" t="str">
            <v>Frame contract for 2002</v>
          </cell>
          <cell r="K602" t="str">
            <v>baretube</v>
          </cell>
        </row>
        <row r="603">
          <cell r="A603" t="str">
            <v>4MTSA-213 T1144.52.9</v>
          </cell>
          <cell r="B603" t="str">
            <v>BENTELER</v>
          </cell>
          <cell r="C603" t="str">
            <v>4MTSA-213 T1144.52.9BENTELER</v>
          </cell>
          <cell r="D603" t="str">
            <v>EUR</v>
          </cell>
          <cell r="E603">
            <v>1002</v>
          </cell>
          <cell r="F603" t="str">
            <v>EUR/t</v>
          </cell>
          <cell r="G603" t="str">
            <v>Yes</v>
          </cell>
          <cell r="H603" t="str">
            <v>Frame contract for 2002</v>
          </cell>
          <cell r="K603" t="str">
            <v>baretube</v>
          </cell>
        </row>
        <row r="604">
          <cell r="A604" t="str">
            <v>4MTSA-213 T1144.53.2</v>
          </cell>
          <cell r="B604" t="str">
            <v>BENTELER</v>
          </cell>
          <cell r="C604" t="str">
            <v>4MTSA-213 T1144.53.2BENTELER</v>
          </cell>
          <cell r="D604" t="str">
            <v>EUR</v>
          </cell>
          <cell r="E604">
            <v>984</v>
          </cell>
          <cell r="F604" t="str">
            <v>EUR/t</v>
          </cell>
          <cell r="G604" t="str">
            <v>Yes</v>
          </cell>
          <cell r="H604" t="str">
            <v>Frame contract for 2002</v>
          </cell>
          <cell r="K604" t="str">
            <v>baretube</v>
          </cell>
        </row>
        <row r="605">
          <cell r="A605" t="str">
            <v>4MTSA-213 T1144.53.4</v>
          </cell>
          <cell r="B605" t="str">
            <v>BENTELER</v>
          </cell>
          <cell r="C605" t="str">
            <v>4MTSA-213 T1144.53.4BENTELER</v>
          </cell>
          <cell r="D605" t="str">
            <v>EUR</v>
          </cell>
          <cell r="E605">
            <v>984</v>
          </cell>
          <cell r="F605" t="str">
            <v>EUR/t</v>
          </cell>
          <cell r="G605" t="str">
            <v>Yes</v>
          </cell>
          <cell r="H605" t="str">
            <v>Frame contract for 2002</v>
          </cell>
          <cell r="K605" t="str">
            <v>baretube</v>
          </cell>
        </row>
        <row r="606">
          <cell r="A606" t="str">
            <v>4MTSA-213 T1144.53.6</v>
          </cell>
          <cell r="B606" t="str">
            <v>BENTELER</v>
          </cell>
          <cell r="C606" t="str">
            <v>4MTSA-213 T1144.53.6BENTELER</v>
          </cell>
          <cell r="D606" t="str">
            <v>EUR</v>
          </cell>
          <cell r="E606">
            <v>936</v>
          </cell>
          <cell r="F606" t="str">
            <v>EUR/t</v>
          </cell>
          <cell r="G606" t="str">
            <v>Yes</v>
          </cell>
          <cell r="H606" t="str">
            <v>Frame contract for 2002</v>
          </cell>
          <cell r="K606" t="str">
            <v>baretube</v>
          </cell>
        </row>
        <row r="607">
          <cell r="A607" t="str">
            <v>4MTSA-213 T1144.53.9</v>
          </cell>
          <cell r="B607" t="str">
            <v>BENTELER</v>
          </cell>
          <cell r="C607" t="str">
            <v>4MTSA-213 T1144.53.9BENTELER</v>
          </cell>
          <cell r="D607" t="str">
            <v>EUR</v>
          </cell>
          <cell r="E607">
            <v>936</v>
          </cell>
          <cell r="F607" t="str">
            <v>EUR/t</v>
          </cell>
          <cell r="G607" t="str">
            <v>Yes</v>
          </cell>
          <cell r="H607" t="str">
            <v>Frame contract for 2002</v>
          </cell>
          <cell r="K607" t="str">
            <v>baretube</v>
          </cell>
        </row>
        <row r="608">
          <cell r="A608" t="str">
            <v>4MTSA-213 T1144.54.5</v>
          </cell>
          <cell r="B608" t="str">
            <v>BENTELER</v>
          </cell>
          <cell r="C608" t="str">
            <v>4MTSA-213 T1144.54.5BENTELER</v>
          </cell>
          <cell r="D608" t="str">
            <v>EUR</v>
          </cell>
          <cell r="E608">
            <v>936</v>
          </cell>
          <cell r="F608" t="str">
            <v>EUR/t</v>
          </cell>
          <cell r="G608" t="str">
            <v>Yes</v>
          </cell>
          <cell r="H608" t="str">
            <v>Frame contract for 2002</v>
          </cell>
          <cell r="K608" t="str">
            <v>baretube</v>
          </cell>
        </row>
        <row r="609">
          <cell r="A609" t="str">
            <v>4MTSA-213 T1144.54</v>
          </cell>
          <cell r="B609" t="str">
            <v>BENTELER</v>
          </cell>
          <cell r="C609" t="str">
            <v>4MTSA-213 T1144.54BENTELER</v>
          </cell>
          <cell r="D609" t="str">
            <v>EUR</v>
          </cell>
          <cell r="E609">
            <v>936</v>
          </cell>
          <cell r="F609" t="str">
            <v>EUR/t</v>
          </cell>
          <cell r="G609" t="str">
            <v>Yes</v>
          </cell>
          <cell r="H609" t="str">
            <v>Frame contract for 2002</v>
          </cell>
          <cell r="K609" t="str">
            <v>baretube</v>
          </cell>
        </row>
        <row r="610">
          <cell r="A610" t="str">
            <v>4MTSA-213 T1150.82.6</v>
          </cell>
          <cell r="B610" t="str">
            <v>BENTELER</v>
          </cell>
          <cell r="C610" t="str">
            <v>4MTSA-213 T1150.82.6BENTELER</v>
          </cell>
          <cell r="D610" t="str">
            <v>EUR</v>
          </cell>
          <cell r="E610">
            <v>978</v>
          </cell>
          <cell r="F610" t="str">
            <v>EUR/t</v>
          </cell>
          <cell r="G610" t="str">
            <v>Yes</v>
          </cell>
          <cell r="H610" t="str">
            <v>Frame contract for 2002</v>
          </cell>
          <cell r="K610" t="str">
            <v>baretube</v>
          </cell>
        </row>
        <row r="611">
          <cell r="A611" t="str">
            <v>4MTSA-213 T1150.82.9</v>
          </cell>
          <cell r="B611" t="str">
            <v>BENTELER</v>
          </cell>
          <cell r="C611" t="str">
            <v>4MTSA-213 T1150.82.9BENTELER</v>
          </cell>
          <cell r="D611" t="str">
            <v>EUR</v>
          </cell>
          <cell r="E611">
            <v>961</v>
          </cell>
          <cell r="F611" t="str">
            <v>EUR/t</v>
          </cell>
          <cell r="G611" t="str">
            <v>Yes</v>
          </cell>
          <cell r="H611" t="str">
            <v>Frame contract for 2002</v>
          </cell>
          <cell r="K611" t="str">
            <v>baretube</v>
          </cell>
        </row>
        <row r="612">
          <cell r="A612" t="str">
            <v>4MTSA-213 T1150.83.2</v>
          </cell>
          <cell r="B612" t="str">
            <v>BENTELER</v>
          </cell>
          <cell r="C612" t="str">
            <v>4MTSA-213 T1150.83.2BENTELER</v>
          </cell>
          <cell r="D612" t="str">
            <v>EUR</v>
          </cell>
          <cell r="E612">
            <v>942</v>
          </cell>
          <cell r="F612" t="str">
            <v>EUR/t</v>
          </cell>
          <cell r="G612" t="str">
            <v>Yes</v>
          </cell>
          <cell r="H612" t="str">
            <v>Frame contract for 2002</v>
          </cell>
          <cell r="K612" t="str">
            <v>baretube</v>
          </cell>
        </row>
        <row r="613">
          <cell r="A613" t="str">
            <v>4MTSA-213 T1150.83.4</v>
          </cell>
          <cell r="B613" t="str">
            <v>BENTELER</v>
          </cell>
          <cell r="C613" t="str">
            <v>4MTSA-213 T1150.83.4BENTELER</v>
          </cell>
          <cell r="D613" t="str">
            <v>EUR</v>
          </cell>
          <cell r="E613">
            <v>942</v>
          </cell>
          <cell r="F613" t="str">
            <v>EUR/t</v>
          </cell>
          <cell r="G613" t="str">
            <v>Yes</v>
          </cell>
          <cell r="H613" t="str">
            <v>Frame contract for 2002</v>
          </cell>
          <cell r="K613" t="str">
            <v>baretube</v>
          </cell>
        </row>
        <row r="614">
          <cell r="A614" t="str">
            <v>4MTSA-213 T1150.83.6</v>
          </cell>
          <cell r="B614" t="str">
            <v>BENTELER</v>
          </cell>
          <cell r="C614" t="str">
            <v>4MTSA-213 T1150.83.6BENTELER</v>
          </cell>
          <cell r="D614" t="str">
            <v>EUR</v>
          </cell>
          <cell r="E614">
            <v>897</v>
          </cell>
          <cell r="F614" t="str">
            <v>EUR/t</v>
          </cell>
          <cell r="G614" t="str">
            <v>Yes</v>
          </cell>
          <cell r="H614" t="str">
            <v>Frame contract for 2002</v>
          </cell>
          <cell r="K614" t="str">
            <v>baretube</v>
          </cell>
        </row>
        <row r="615">
          <cell r="A615" t="str">
            <v>4MTSA-213 T1150.83.9</v>
          </cell>
          <cell r="B615" t="str">
            <v>BENTELER</v>
          </cell>
          <cell r="C615" t="str">
            <v>4MTSA-213 T1150.83.9BENTELER</v>
          </cell>
          <cell r="D615" t="str">
            <v>EUR</v>
          </cell>
          <cell r="E615">
            <v>897</v>
          </cell>
          <cell r="F615" t="str">
            <v>EUR/t</v>
          </cell>
          <cell r="G615" t="str">
            <v>Yes</v>
          </cell>
          <cell r="H615" t="str">
            <v>Frame contract for 2002</v>
          </cell>
          <cell r="K615" t="str">
            <v>baretube</v>
          </cell>
        </row>
        <row r="616">
          <cell r="A616" t="str">
            <v>4MTSA-213 T1150.84.5</v>
          </cell>
          <cell r="B616" t="str">
            <v>BENTELER</v>
          </cell>
          <cell r="C616" t="str">
            <v>4MTSA-213 T1150.84.5BENTELER</v>
          </cell>
          <cell r="D616" t="str">
            <v>EUR</v>
          </cell>
          <cell r="E616">
            <v>897</v>
          </cell>
          <cell r="F616" t="str">
            <v>EUR/t</v>
          </cell>
          <cell r="G616" t="str">
            <v>Yes</v>
          </cell>
          <cell r="H616" t="str">
            <v>Frame contract for 2002</v>
          </cell>
          <cell r="K616" t="str">
            <v>baretube</v>
          </cell>
        </row>
        <row r="617">
          <cell r="A617" t="str">
            <v>4MTSA-213 T1150.84</v>
          </cell>
          <cell r="B617" t="str">
            <v>BENTELER</v>
          </cell>
          <cell r="C617" t="str">
            <v>4MTSA-213 T1150.84BENTELER</v>
          </cell>
          <cell r="D617" t="str">
            <v>EUR</v>
          </cell>
          <cell r="E617">
            <v>897</v>
          </cell>
          <cell r="F617" t="str">
            <v>EUR/t</v>
          </cell>
          <cell r="G617" t="str">
            <v>Yes</v>
          </cell>
          <cell r="H617" t="str">
            <v>Frame contract for 2002</v>
          </cell>
          <cell r="K617" t="str">
            <v>baretube</v>
          </cell>
        </row>
        <row r="618">
          <cell r="A618" t="str">
            <v>4MTSA-213 T11572.6</v>
          </cell>
          <cell r="B618" t="str">
            <v>BENTELER</v>
          </cell>
          <cell r="C618" t="str">
            <v>4MTSA-213 T11572.6BENTELER</v>
          </cell>
          <cell r="D618" t="str">
            <v>EUR</v>
          </cell>
          <cell r="E618">
            <v>978</v>
          </cell>
          <cell r="F618" t="str">
            <v>EUR/t</v>
          </cell>
          <cell r="G618" t="str">
            <v>Yes</v>
          </cell>
          <cell r="H618" t="str">
            <v>Frame contract for 2002</v>
          </cell>
          <cell r="K618" t="str">
            <v>baretube</v>
          </cell>
        </row>
        <row r="619">
          <cell r="A619" t="str">
            <v>4MTSA-213 T11572.9</v>
          </cell>
          <cell r="B619" t="str">
            <v>BENTELER</v>
          </cell>
          <cell r="C619" t="str">
            <v>4MTSA-213 T11572.9BENTELER</v>
          </cell>
          <cell r="D619" t="str">
            <v>EUR</v>
          </cell>
          <cell r="E619">
            <v>961</v>
          </cell>
          <cell r="F619" t="str">
            <v>EUR/t</v>
          </cell>
          <cell r="G619" t="str">
            <v>Yes</v>
          </cell>
          <cell r="H619" t="str">
            <v>Frame contract for 2002</v>
          </cell>
          <cell r="K619" t="str">
            <v>baretube</v>
          </cell>
        </row>
        <row r="620">
          <cell r="A620" t="str">
            <v>4MTSA-213 T11573.2</v>
          </cell>
          <cell r="B620" t="str">
            <v>BENTELER</v>
          </cell>
          <cell r="C620" t="str">
            <v>4MTSA-213 T11573.2BENTELER</v>
          </cell>
          <cell r="D620" t="str">
            <v>EUR</v>
          </cell>
          <cell r="E620">
            <v>942</v>
          </cell>
          <cell r="F620" t="str">
            <v>EUR/t</v>
          </cell>
          <cell r="G620" t="str">
            <v>Yes</v>
          </cell>
          <cell r="H620" t="str">
            <v>Frame contract for 2002</v>
          </cell>
          <cell r="K620" t="str">
            <v>baretube</v>
          </cell>
        </row>
        <row r="621">
          <cell r="A621" t="str">
            <v>4MTSA-213 T11573.4</v>
          </cell>
          <cell r="B621" t="str">
            <v>BENTELER</v>
          </cell>
          <cell r="C621" t="str">
            <v>4MTSA-213 T11573.4BENTELER</v>
          </cell>
          <cell r="D621" t="str">
            <v>EUR</v>
          </cell>
          <cell r="E621">
            <v>942</v>
          </cell>
          <cell r="F621" t="str">
            <v>EUR/t</v>
          </cell>
          <cell r="G621" t="str">
            <v>Yes</v>
          </cell>
          <cell r="H621" t="str">
            <v>Frame contract for 2002</v>
          </cell>
          <cell r="K621" t="str">
            <v>baretube</v>
          </cell>
        </row>
        <row r="622">
          <cell r="A622" t="str">
            <v>4MTSA-213 T11573.6</v>
          </cell>
          <cell r="B622" t="str">
            <v>BENTELER</v>
          </cell>
          <cell r="C622" t="str">
            <v>4MTSA-213 T11573.6BENTELER</v>
          </cell>
          <cell r="D622" t="str">
            <v>EUR</v>
          </cell>
          <cell r="E622">
            <v>897</v>
          </cell>
          <cell r="F622" t="str">
            <v>EUR/t</v>
          </cell>
          <cell r="G622" t="str">
            <v>Yes</v>
          </cell>
          <cell r="H622" t="str">
            <v>Frame contract for 2002</v>
          </cell>
          <cell r="K622" t="str">
            <v>baretube</v>
          </cell>
        </row>
        <row r="623">
          <cell r="A623" t="str">
            <v>4MTSA-213 T11573.9</v>
          </cell>
          <cell r="B623" t="str">
            <v>BENTELER</v>
          </cell>
          <cell r="C623" t="str">
            <v>4MTSA-213 T11573.9BENTELER</v>
          </cell>
          <cell r="D623" t="str">
            <v>EUR</v>
          </cell>
          <cell r="E623">
            <v>897</v>
          </cell>
          <cell r="F623" t="str">
            <v>EUR/t</v>
          </cell>
          <cell r="G623" t="str">
            <v>Yes</v>
          </cell>
          <cell r="H623" t="str">
            <v>Frame contract for 2002</v>
          </cell>
          <cell r="K623" t="str">
            <v>baretube</v>
          </cell>
        </row>
        <row r="624">
          <cell r="A624" t="str">
            <v>4MTSA-213 T11574.5</v>
          </cell>
          <cell r="B624" t="str">
            <v>BENTELER</v>
          </cell>
          <cell r="C624" t="str">
            <v>4MTSA-213 T11574.5BENTELER</v>
          </cell>
          <cell r="D624" t="str">
            <v>EUR</v>
          </cell>
          <cell r="E624">
            <v>897</v>
          </cell>
          <cell r="F624" t="str">
            <v>EUR/t</v>
          </cell>
          <cell r="G624" t="str">
            <v>Yes</v>
          </cell>
          <cell r="H624" t="str">
            <v>Frame contract for 2002</v>
          </cell>
          <cell r="K624" t="str">
            <v>baretube</v>
          </cell>
        </row>
        <row r="625">
          <cell r="A625" t="str">
            <v>4MTSA-213 T11574</v>
          </cell>
          <cell r="B625" t="str">
            <v>BENTELER</v>
          </cell>
          <cell r="C625" t="str">
            <v>4MTSA-213 T11574BENTELER</v>
          </cell>
          <cell r="D625" t="str">
            <v>EUR</v>
          </cell>
          <cell r="E625">
            <v>897</v>
          </cell>
          <cell r="F625" t="str">
            <v>EUR/t</v>
          </cell>
          <cell r="G625" t="str">
            <v>Yes</v>
          </cell>
          <cell r="H625" t="str">
            <v>Frame contract for 2002</v>
          </cell>
          <cell r="K625" t="str">
            <v>baretube</v>
          </cell>
        </row>
        <row r="626">
          <cell r="A626" t="str">
            <v>4MTSA-213 T11</v>
          </cell>
          <cell r="B626" t="str">
            <v>BENTELER</v>
          </cell>
          <cell r="C626" t="str">
            <v>4MTSA-213 T11BENTELER</v>
          </cell>
          <cell r="D626" t="str">
            <v>EUR</v>
          </cell>
          <cell r="E626">
            <v>0</v>
          </cell>
          <cell r="F626" t="str">
            <v>EUR/t</v>
          </cell>
          <cell r="G626" t="str">
            <v>Yes</v>
          </cell>
          <cell r="H626" t="str">
            <v>Frame contract for 2002</v>
          </cell>
          <cell r="K626" t="str">
            <v>baretube</v>
          </cell>
        </row>
        <row r="627">
          <cell r="A627" t="str">
            <v>4MTSA-213 T22252.6</v>
          </cell>
          <cell r="B627" t="str">
            <v>BENTELER</v>
          </cell>
          <cell r="C627" t="str">
            <v>4MTSA-213 T22252.6BENTELER</v>
          </cell>
          <cell r="D627" t="str">
            <v>EUR</v>
          </cell>
          <cell r="E627">
            <v>1322</v>
          </cell>
          <cell r="F627" t="str">
            <v>EUR/t</v>
          </cell>
          <cell r="G627" t="str">
            <v>Yes</v>
          </cell>
          <cell r="H627" t="str">
            <v>Frame contract for 2002</v>
          </cell>
          <cell r="K627" t="str">
            <v>baretube</v>
          </cell>
        </row>
        <row r="628">
          <cell r="A628" t="str">
            <v>4MTSA-213 T22252.9</v>
          </cell>
          <cell r="B628" t="str">
            <v>BENTELER</v>
          </cell>
          <cell r="C628" t="str">
            <v>4MTSA-213 T22252.9BENTELER</v>
          </cell>
          <cell r="D628" t="str">
            <v>EUR</v>
          </cell>
          <cell r="E628">
            <v>1297</v>
          </cell>
          <cell r="F628" t="str">
            <v>EUR/t</v>
          </cell>
          <cell r="G628" t="str">
            <v>Yes</v>
          </cell>
          <cell r="H628" t="str">
            <v>Frame contract for 2002</v>
          </cell>
          <cell r="K628" t="str">
            <v>baretube</v>
          </cell>
        </row>
        <row r="629">
          <cell r="A629" t="str">
            <v>4MTSA-213 T22253.2</v>
          </cell>
          <cell r="B629" t="str">
            <v>BENTELER</v>
          </cell>
          <cell r="C629" t="str">
            <v>4MTSA-213 T22253.2BENTELER</v>
          </cell>
          <cell r="D629" t="str">
            <v>EUR</v>
          </cell>
          <cell r="E629">
            <v>1235</v>
          </cell>
          <cell r="F629" t="str">
            <v>EUR/t</v>
          </cell>
          <cell r="G629" t="str">
            <v>Yes</v>
          </cell>
          <cell r="H629" t="str">
            <v>Frame contract for 2002</v>
          </cell>
          <cell r="K629" t="str">
            <v>baretube</v>
          </cell>
        </row>
        <row r="630">
          <cell r="A630" t="str">
            <v>4MTSA-213 T22253.4</v>
          </cell>
          <cell r="B630" t="str">
            <v>BENTELER</v>
          </cell>
          <cell r="C630" t="str">
            <v>4MTSA-213 T22253.4BENTELER</v>
          </cell>
          <cell r="D630" t="str">
            <v>EUR</v>
          </cell>
          <cell r="E630">
            <v>1235</v>
          </cell>
          <cell r="F630" t="str">
            <v>EUR/t</v>
          </cell>
          <cell r="G630" t="str">
            <v>Yes</v>
          </cell>
          <cell r="H630" t="str">
            <v>Frame contract for 2002</v>
          </cell>
          <cell r="K630" t="str">
            <v>baretube</v>
          </cell>
        </row>
        <row r="631">
          <cell r="A631" t="str">
            <v>4MTSA-213 T22253.6</v>
          </cell>
          <cell r="B631" t="str">
            <v>BENTELER</v>
          </cell>
          <cell r="C631" t="str">
            <v>4MTSA-213 T22253.6BENTELER</v>
          </cell>
          <cell r="D631" t="str">
            <v>EUR</v>
          </cell>
          <cell r="E631">
            <v>1235</v>
          </cell>
          <cell r="F631" t="str">
            <v>EUR/t</v>
          </cell>
          <cell r="G631" t="str">
            <v>Yes</v>
          </cell>
          <cell r="H631" t="str">
            <v>Frame contract for 2002</v>
          </cell>
          <cell r="K631" t="str">
            <v>baretube</v>
          </cell>
        </row>
        <row r="632">
          <cell r="A632" t="str">
            <v>4MTSA-213 T22253.9</v>
          </cell>
          <cell r="B632" t="str">
            <v>BENTELER</v>
          </cell>
          <cell r="C632" t="str">
            <v>4MTSA-213 T22253.9BENTELER</v>
          </cell>
          <cell r="D632" t="str">
            <v>EUR</v>
          </cell>
          <cell r="E632">
            <v>1235</v>
          </cell>
          <cell r="F632" t="str">
            <v>EUR/t</v>
          </cell>
          <cell r="G632" t="str">
            <v>Yes</v>
          </cell>
          <cell r="H632" t="str">
            <v>Frame contract for 2002</v>
          </cell>
          <cell r="K632" t="str">
            <v>baretube</v>
          </cell>
        </row>
        <row r="633">
          <cell r="A633" t="str">
            <v>4MTSA-213 T22254.5</v>
          </cell>
          <cell r="B633" t="str">
            <v>BENTELER</v>
          </cell>
          <cell r="C633" t="str">
            <v>4MTSA-213 T22254.5BENTELER</v>
          </cell>
          <cell r="D633" t="str">
            <v>EUR</v>
          </cell>
          <cell r="E633">
            <v>1235</v>
          </cell>
          <cell r="F633" t="str">
            <v>EUR/t</v>
          </cell>
          <cell r="G633" t="str">
            <v>Yes</v>
          </cell>
          <cell r="H633" t="str">
            <v>Frame contract for 2002</v>
          </cell>
          <cell r="K633" t="str">
            <v>baretube</v>
          </cell>
        </row>
        <row r="634">
          <cell r="A634" t="str">
            <v>4MTSA-213 T22254</v>
          </cell>
          <cell r="B634" t="str">
            <v>BENTELER</v>
          </cell>
          <cell r="C634" t="str">
            <v>4MTSA-213 T22254BENTELER</v>
          </cell>
          <cell r="D634" t="str">
            <v>EUR</v>
          </cell>
          <cell r="E634">
            <v>1235</v>
          </cell>
          <cell r="F634" t="str">
            <v>EUR/t</v>
          </cell>
          <cell r="G634" t="str">
            <v>Yes</v>
          </cell>
          <cell r="H634" t="str">
            <v>Frame contract for 2002</v>
          </cell>
          <cell r="K634" t="str">
            <v>baretube</v>
          </cell>
        </row>
        <row r="635">
          <cell r="A635" t="str">
            <v>4MTSA-213 T2226.92.6</v>
          </cell>
          <cell r="B635" t="str">
            <v>BENTELER</v>
          </cell>
          <cell r="C635" t="str">
            <v>4MTSA-213 T2226.92.6BENTELER</v>
          </cell>
          <cell r="D635" t="str">
            <v>EUR</v>
          </cell>
          <cell r="E635">
            <v>1322</v>
          </cell>
          <cell r="F635" t="str">
            <v>EUR/t</v>
          </cell>
          <cell r="G635" t="str">
            <v>Yes</v>
          </cell>
          <cell r="H635" t="str">
            <v>Frame contract for 2002</v>
          </cell>
          <cell r="K635" t="str">
            <v>baretube</v>
          </cell>
        </row>
        <row r="636">
          <cell r="A636" t="str">
            <v>4MTSA-213 T2231.82.6</v>
          </cell>
          <cell r="B636" t="str">
            <v>BENTELER</v>
          </cell>
          <cell r="C636" t="str">
            <v>4MTSA-213 T2231.82.6BENTELER</v>
          </cell>
          <cell r="D636" t="str">
            <v>EUR</v>
          </cell>
          <cell r="E636">
            <v>1230</v>
          </cell>
          <cell r="F636" t="str">
            <v>EUR/t</v>
          </cell>
          <cell r="G636" t="str">
            <v>Yes</v>
          </cell>
          <cell r="H636" t="str">
            <v>Frame contract for 2002</v>
          </cell>
          <cell r="K636" t="str">
            <v>baretube</v>
          </cell>
        </row>
        <row r="637">
          <cell r="A637" t="str">
            <v>4MTSA-213 T2231.82.9</v>
          </cell>
          <cell r="B637" t="str">
            <v>BENTELER</v>
          </cell>
          <cell r="C637" t="str">
            <v>4MTSA-213 T2231.82.9BENTELER</v>
          </cell>
          <cell r="D637" t="str">
            <v>EUR</v>
          </cell>
          <cell r="E637">
            <v>1208</v>
          </cell>
          <cell r="F637" t="str">
            <v>EUR/t</v>
          </cell>
          <cell r="G637" t="str">
            <v>Yes</v>
          </cell>
          <cell r="H637" t="str">
            <v>Frame contract for 2002</v>
          </cell>
          <cell r="K637" t="str">
            <v>baretube</v>
          </cell>
        </row>
        <row r="638">
          <cell r="A638" t="str">
            <v>4MTSA-213 T2231.83.2</v>
          </cell>
          <cell r="B638" t="str">
            <v>BENTELER</v>
          </cell>
          <cell r="C638" t="str">
            <v>4MTSA-213 T2231.83.2BENTELER</v>
          </cell>
          <cell r="D638" t="str">
            <v>EUR</v>
          </cell>
          <cell r="E638">
            <v>1186</v>
          </cell>
          <cell r="F638" t="str">
            <v>EUR/t</v>
          </cell>
          <cell r="G638" t="str">
            <v>Yes</v>
          </cell>
          <cell r="H638" t="str">
            <v>Frame contract for 2002</v>
          </cell>
          <cell r="K638" t="str">
            <v>baretube</v>
          </cell>
        </row>
        <row r="639">
          <cell r="A639" t="str">
            <v>4MTSA-213 T2231.83.4</v>
          </cell>
          <cell r="B639" t="str">
            <v>BENTELER</v>
          </cell>
          <cell r="C639" t="str">
            <v>4MTSA-213 T2231.83.4BENTELER</v>
          </cell>
          <cell r="D639" t="str">
            <v>EUR</v>
          </cell>
          <cell r="E639">
            <v>1185</v>
          </cell>
          <cell r="F639" t="str">
            <v>EUR/t</v>
          </cell>
          <cell r="G639" t="str">
            <v>Yes</v>
          </cell>
          <cell r="H639" t="str">
            <v>Frame contract for 2002</v>
          </cell>
          <cell r="K639" t="str">
            <v>baretube</v>
          </cell>
        </row>
        <row r="640">
          <cell r="A640" t="str">
            <v>4MTSA-213 T2231.83.5</v>
          </cell>
          <cell r="B640" t="str">
            <v>BENTELER</v>
          </cell>
          <cell r="C640" t="str">
            <v>4MTSA-213 T2231.83.5BENTELER</v>
          </cell>
          <cell r="D640" t="str">
            <v>EUR</v>
          </cell>
          <cell r="E640">
            <v>1156</v>
          </cell>
          <cell r="F640" t="str">
            <v>EUR/t</v>
          </cell>
          <cell r="G640" t="str">
            <v>Yes</v>
          </cell>
          <cell r="H640" t="str">
            <v>Frame contract for 2002</v>
          </cell>
          <cell r="K640" t="str">
            <v>baretube</v>
          </cell>
        </row>
        <row r="641">
          <cell r="A641" t="str">
            <v>4MTSA-213 T2231.83.6</v>
          </cell>
          <cell r="B641" t="str">
            <v>BENTELER</v>
          </cell>
          <cell r="C641" t="str">
            <v>4MTSA-213 T2231.83.6BENTELER</v>
          </cell>
          <cell r="D641" t="str">
            <v>EUR</v>
          </cell>
          <cell r="E641">
            <v>1127</v>
          </cell>
          <cell r="F641" t="str">
            <v>EUR/t</v>
          </cell>
          <cell r="G641" t="str">
            <v>Yes</v>
          </cell>
          <cell r="H641" t="str">
            <v>Frame contract for 2002</v>
          </cell>
          <cell r="K641" t="str">
            <v>baretube</v>
          </cell>
        </row>
        <row r="642">
          <cell r="A642" t="str">
            <v>4MTSA-213 T2231.83.9</v>
          </cell>
          <cell r="B642" t="str">
            <v>BENTELER</v>
          </cell>
          <cell r="C642" t="str">
            <v>4MTSA-213 T2231.83.9BENTELER</v>
          </cell>
          <cell r="D642" t="str">
            <v>EUR</v>
          </cell>
          <cell r="E642">
            <v>1127</v>
          </cell>
          <cell r="F642" t="str">
            <v>EUR/t</v>
          </cell>
          <cell r="G642" t="str">
            <v>Yes</v>
          </cell>
          <cell r="H642" t="str">
            <v>Frame contract for 2002</v>
          </cell>
          <cell r="K642" t="str">
            <v>baretube</v>
          </cell>
        </row>
        <row r="643">
          <cell r="A643" t="str">
            <v>4MTSA-213 T2231.84.5</v>
          </cell>
          <cell r="B643" t="str">
            <v>BENTELER</v>
          </cell>
          <cell r="C643" t="str">
            <v>4MTSA-213 T2231.84.5BENTELER</v>
          </cell>
          <cell r="D643" t="str">
            <v>EUR</v>
          </cell>
          <cell r="E643">
            <v>1127</v>
          </cell>
          <cell r="F643" t="str">
            <v>EUR/t</v>
          </cell>
          <cell r="G643" t="str">
            <v>Yes</v>
          </cell>
          <cell r="H643" t="str">
            <v>Frame contract for 2002</v>
          </cell>
          <cell r="K643" t="str">
            <v>baretube</v>
          </cell>
        </row>
        <row r="644">
          <cell r="A644" t="str">
            <v>4MTSA-213 T2231.84</v>
          </cell>
          <cell r="B644" t="str">
            <v>BENTELER</v>
          </cell>
          <cell r="C644" t="str">
            <v>4MTSA-213 T2231.84BENTELER</v>
          </cell>
          <cell r="D644" t="str">
            <v>EUR</v>
          </cell>
          <cell r="E644">
            <v>1127</v>
          </cell>
          <cell r="F644" t="str">
            <v>EUR/t</v>
          </cell>
          <cell r="G644" t="str">
            <v>Yes</v>
          </cell>
          <cell r="H644" t="str">
            <v>Frame contract for 2002</v>
          </cell>
          <cell r="K644" t="str">
            <v>baretube</v>
          </cell>
        </row>
        <row r="645">
          <cell r="A645" t="str">
            <v>4MTSA-213 T22382.6</v>
          </cell>
          <cell r="B645" t="str">
            <v>BENTELER</v>
          </cell>
          <cell r="C645" t="str">
            <v>4MTSA-213 T22382.6BENTELER</v>
          </cell>
          <cell r="D645" t="str">
            <v>EUR</v>
          </cell>
          <cell r="E645">
            <v>1182</v>
          </cell>
          <cell r="F645" t="str">
            <v>EUR/t</v>
          </cell>
          <cell r="G645" t="str">
            <v>Yes</v>
          </cell>
          <cell r="H645" t="str">
            <v>Frame contract for 2002</v>
          </cell>
          <cell r="K645" t="str">
            <v>baretube</v>
          </cell>
        </row>
        <row r="646">
          <cell r="A646" t="str">
            <v>4MTSA-213 T22382.9</v>
          </cell>
          <cell r="B646" t="str">
            <v>BENTELER</v>
          </cell>
          <cell r="C646" t="str">
            <v>4MTSA-213 T22382.9BENTELER</v>
          </cell>
          <cell r="D646" t="str">
            <v>EUR</v>
          </cell>
          <cell r="E646">
            <v>1160</v>
          </cell>
          <cell r="F646" t="str">
            <v>EUR/t</v>
          </cell>
          <cell r="G646" t="str">
            <v>Yes</v>
          </cell>
          <cell r="H646" t="str">
            <v>Frame contract for 2002</v>
          </cell>
          <cell r="K646" t="str">
            <v>baretube</v>
          </cell>
        </row>
        <row r="647">
          <cell r="A647" t="str">
            <v>4MTSA-213 T22383.2</v>
          </cell>
          <cell r="B647" t="str">
            <v>BENTELER</v>
          </cell>
          <cell r="C647" t="str">
            <v>4MTSA-213 T22383.2BENTELER</v>
          </cell>
          <cell r="D647" t="str">
            <v>EUR</v>
          </cell>
          <cell r="E647">
            <v>1138</v>
          </cell>
          <cell r="F647" t="str">
            <v>EUR/t</v>
          </cell>
          <cell r="G647" t="str">
            <v>Yes</v>
          </cell>
          <cell r="H647" t="str">
            <v>Frame contract for 2002</v>
          </cell>
          <cell r="K647" t="str">
            <v>baretube</v>
          </cell>
        </row>
        <row r="648">
          <cell r="A648" t="str">
            <v>4MTSA-213 T22383.4</v>
          </cell>
          <cell r="B648" t="str">
            <v>BENTELER</v>
          </cell>
          <cell r="C648" t="str">
            <v>4MTSA-213 T22383.4BENTELER</v>
          </cell>
          <cell r="D648" t="str">
            <v>EUR</v>
          </cell>
          <cell r="E648">
            <v>1138</v>
          </cell>
          <cell r="F648" t="str">
            <v>EUR/t</v>
          </cell>
          <cell r="G648" t="str">
            <v>Yes</v>
          </cell>
          <cell r="H648" t="str">
            <v>Frame contract for 2002</v>
          </cell>
          <cell r="K648" t="str">
            <v>baretube</v>
          </cell>
        </row>
        <row r="649">
          <cell r="A649" t="str">
            <v>4MTSA-213 T22383.6</v>
          </cell>
          <cell r="B649" t="str">
            <v>BENTELER</v>
          </cell>
          <cell r="C649" t="str">
            <v>4MTSA-213 T22383.6BENTELER</v>
          </cell>
          <cell r="D649" t="str">
            <v>EUR</v>
          </cell>
          <cell r="E649">
            <v>1084</v>
          </cell>
          <cell r="F649" t="str">
            <v>EUR/t</v>
          </cell>
          <cell r="G649" t="str">
            <v>Yes</v>
          </cell>
          <cell r="H649" t="str">
            <v>Frame contract for 2002</v>
          </cell>
          <cell r="K649" t="str">
            <v>baretube</v>
          </cell>
        </row>
        <row r="650">
          <cell r="A650" t="str">
            <v>4MTSA-213 T22383.9</v>
          </cell>
          <cell r="B650" t="str">
            <v>BENTELER</v>
          </cell>
          <cell r="C650" t="str">
            <v>4MTSA-213 T22383.9BENTELER</v>
          </cell>
          <cell r="D650" t="str">
            <v>EUR</v>
          </cell>
          <cell r="E650">
            <v>1084</v>
          </cell>
          <cell r="F650" t="str">
            <v>EUR/t</v>
          </cell>
          <cell r="G650" t="str">
            <v>Yes</v>
          </cell>
          <cell r="H650" t="str">
            <v>Frame contract for 2002</v>
          </cell>
          <cell r="K650" t="str">
            <v>baretube</v>
          </cell>
        </row>
        <row r="651">
          <cell r="A651" t="str">
            <v>4MTSA-213 T22384.5</v>
          </cell>
          <cell r="B651" t="str">
            <v>BENTELER</v>
          </cell>
          <cell r="C651" t="str">
            <v>4MTSA-213 T22384.5BENTELER</v>
          </cell>
          <cell r="D651" t="str">
            <v>EUR</v>
          </cell>
          <cell r="E651">
            <v>1084</v>
          </cell>
          <cell r="F651" t="str">
            <v>EUR/t</v>
          </cell>
          <cell r="G651" t="str">
            <v>Yes</v>
          </cell>
          <cell r="H651" t="str">
            <v>Frame contract for 2002</v>
          </cell>
          <cell r="K651" t="str">
            <v>baretube</v>
          </cell>
        </row>
        <row r="652">
          <cell r="A652" t="str">
            <v>4MTSA-213 T22384</v>
          </cell>
          <cell r="B652" t="str">
            <v>BENTELER</v>
          </cell>
          <cell r="C652" t="str">
            <v>4MTSA-213 T22384BENTELER</v>
          </cell>
          <cell r="D652" t="str">
            <v>EUR</v>
          </cell>
          <cell r="E652">
            <v>1084</v>
          </cell>
          <cell r="F652" t="str">
            <v>EUR/t</v>
          </cell>
          <cell r="G652" t="str">
            <v>Yes</v>
          </cell>
          <cell r="H652" t="str">
            <v>Frame contract for 2002</v>
          </cell>
          <cell r="K652" t="str">
            <v>baretube</v>
          </cell>
        </row>
        <row r="653">
          <cell r="A653" t="str">
            <v>4MTSA-213 T2244.52.6</v>
          </cell>
          <cell r="B653" t="str">
            <v>BENTELER</v>
          </cell>
          <cell r="C653" t="str">
            <v>4MTSA-213 T2244.52.6BENTELER</v>
          </cell>
          <cell r="D653" t="str">
            <v>EUR</v>
          </cell>
          <cell r="E653">
            <v>1182</v>
          </cell>
          <cell r="F653" t="str">
            <v>EUR/t</v>
          </cell>
          <cell r="G653" t="str">
            <v>Yes</v>
          </cell>
          <cell r="H653" t="str">
            <v>Frame contract for 2002</v>
          </cell>
          <cell r="K653" t="str">
            <v>baretube</v>
          </cell>
        </row>
        <row r="654">
          <cell r="A654" t="str">
            <v>4MTSA-213 T2244.52.9</v>
          </cell>
          <cell r="B654" t="str">
            <v>BENTELER</v>
          </cell>
          <cell r="C654" t="str">
            <v>4MTSA-213 T2244.52.9BENTELER</v>
          </cell>
          <cell r="D654" t="str">
            <v>EUR</v>
          </cell>
          <cell r="E654">
            <v>1160</v>
          </cell>
          <cell r="F654" t="str">
            <v>EUR/t</v>
          </cell>
          <cell r="G654" t="str">
            <v>Yes</v>
          </cell>
          <cell r="H654" t="str">
            <v>Frame contract for 2002</v>
          </cell>
          <cell r="K654" t="str">
            <v>baretube</v>
          </cell>
        </row>
        <row r="655">
          <cell r="A655" t="str">
            <v>4MTSA-213 T2244.53.1</v>
          </cell>
          <cell r="B655" t="str">
            <v>BENTELER</v>
          </cell>
          <cell r="C655" t="str">
            <v>4MTSA-213 T2244.53.1BENTELER</v>
          </cell>
          <cell r="D655" t="str">
            <v>EUR</v>
          </cell>
          <cell r="E655">
            <v>1150</v>
          </cell>
          <cell r="F655" t="str">
            <v>EUR/t</v>
          </cell>
          <cell r="G655" t="str">
            <v>Yes</v>
          </cell>
          <cell r="H655" t="str">
            <v>Frame contract for 2002</v>
          </cell>
          <cell r="K655" t="str">
            <v>baretube</v>
          </cell>
        </row>
        <row r="656">
          <cell r="A656" t="str">
            <v>4MTSA-213 T2244.53.2</v>
          </cell>
          <cell r="B656" t="str">
            <v>BENTELER</v>
          </cell>
          <cell r="C656" t="str">
            <v>4MTSA-213 T2244.53.2BENTELER</v>
          </cell>
          <cell r="D656" t="str">
            <v>EUR</v>
          </cell>
          <cell r="E656">
            <v>1138</v>
          </cell>
          <cell r="F656" t="str">
            <v>EUR/t</v>
          </cell>
          <cell r="G656" t="str">
            <v>Yes</v>
          </cell>
          <cell r="H656" t="str">
            <v>Frame contract for 2002</v>
          </cell>
          <cell r="K656" t="str">
            <v>baretube</v>
          </cell>
        </row>
        <row r="657">
          <cell r="A657" t="str">
            <v>4MTSA-213 T2244.53.4</v>
          </cell>
          <cell r="B657" t="str">
            <v>BENTELER</v>
          </cell>
          <cell r="C657" t="str">
            <v>4MTSA-213 T2244.53.4BENTELER</v>
          </cell>
          <cell r="D657" t="str">
            <v>EUR</v>
          </cell>
          <cell r="E657">
            <v>1138</v>
          </cell>
          <cell r="F657" t="str">
            <v>EUR/t</v>
          </cell>
          <cell r="G657" t="str">
            <v>Yes</v>
          </cell>
          <cell r="H657" t="str">
            <v>Frame contract for 2002</v>
          </cell>
          <cell r="K657" t="str">
            <v>baretube</v>
          </cell>
        </row>
        <row r="658">
          <cell r="A658" t="str">
            <v>4MTSA-213 T2244.53.6</v>
          </cell>
          <cell r="B658" t="str">
            <v>BENTELER</v>
          </cell>
          <cell r="C658" t="str">
            <v>4MTSA-213 T2244.53.6BENTELER</v>
          </cell>
          <cell r="D658" t="str">
            <v>EUR</v>
          </cell>
          <cell r="E658">
            <v>1084</v>
          </cell>
          <cell r="F658" t="str">
            <v>EUR/t</v>
          </cell>
          <cell r="G658" t="str">
            <v>Yes</v>
          </cell>
          <cell r="H658" t="str">
            <v>Frame contract for 2002</v>
          </cell>
          <cell r="K658" t="str">
            <v>baretube</v>
          </cell>
        </row>
        <row r="659">
          <cell r="A659" t="str">
            <v>4MTSA-213 T2244.53.9</v>
          </cell>
          <cell r="B659" t="str">
            <v>BENTELER</v>
          </cell>
          <cell r="C659" t="str">
            <v>4MTSA-213 T2244.53.9BENTELER</v>
          </cell>
          <cell r="D659" t="str">
            <v>EUR</v>
          </cell>
          <cell r="E659">
            <v>1084</v>
          </cell>
          <cell r="F659" t="str">
            <v>EUR/t</v>
          </cell>
          <cell r="G659" t="str">
            <v>Yes</v>
          </cell>
          <cell r="H659" t="str">
            <v>Frame contract for 2002</v>
          </cell>
          <cell r="K659" t="str">
            <v>baretube</v>
          </cell>
        </row>
        <row r="660">
          <cell r="A660" t="str">
            <v>4MTSA-213 T2244.54.5</v>
          </cell>
          <cell r="B660" t="str">
            <v>BENTELER</v>
          </cell>
          <cell r="C660" t="str">
            <v>4MTSA-213 T2244.54.5BENTELER</v>
          </cell>
          <cell r="D660" t="str">
            <v>EUR</v>
          </cell>
          <cell r="E660">
            <v>1084</v>
          </cell>
          <cell r="F660" t="str">
            <v>EUR/t</v>
          </cell>
          <cell r="G660" t="str">
            <v>Yes</v>
          </cell>
          <cell r="H660" t="str">
            <v>Frame contract for 2002</v>
          </cell>
          <cell r="K660" t="str">
            <v>baretube</v>
          </cell>
        </row>
        <row r="661">
          <cell r="A661" t="str">
            <v>4MTSA-213 T2244.54</v>
          </cell>
          <cell r="B661" t="str">
            <v>BENTELER</v>
          </cell>
          <cell r="C661" t="str">
            <v>4MTSA-213 T2244.54BENTELER</v>
          </cell>
          <cell r="D661" t="str">
            <v>EUR</v>
          </cell>
          <cell r="E661">
            <v>1084</v>
          </cell>
          <cell r="F661" t="str">
            <v>EUR/t</v>
          </cell>
          <cell r="G661" t="str">
            <v>Yes</v>
          </cell>
          <cell r="H661" t="str">
            <v>Frame contract for 2002</v>
          </cell>
          <cell r="K661" t="str">
            <v>baretube</v>
          </cell>
        </row>
        <row r="662">
          <cell r="A662" t="str">
            <v>4MTSA-213 T2250.82.6</v>
          </cell>
          <cell r="B662" t="str">
            <v>BENTELER</v>
          </cell>
          <cell r="C662" t="str">
            <v>4MTSA-213 T2250.82.6BENTELER</v>
          </cell>
          <cell r="D662" t="str">
            <v>EUR</v>
          </cell>
          <cell r="E662">
            <v>1148</v>
          </cell>
          <cell r="F662" t="str">
            <v>EUR/t</v>
          </cell>
          <cell r="G662" t="str">
            <v>Yes</v>
          </cell>
          <cell r="H662" t="str">
            <v>Frame contract for 2002</v>
          </cell>
          <cell r="K662" t="str">
            <v>baretube</v>
          </cell>
        </row>
        <row r="663">
          <cell r="A663" t="str">
            <v>4MTSA-213 T2250.82.9</v>
          </cell>
          <cell r="B663" t="str">
            <v>BENTELER</v>
          </cell>
          <cell r="C663" t="str">
            <v>4MTSA-213 T2250.82.9BENTELER</v>
          </cell>
          <cell r="D663" t="str">
            <v>EUR</v>
          </cell>
          <cell r="E663">
            <v>1126</v>
          </cell>
          <cell r="F663" t="str">
            <v>EUR/t</v>
          </cell>
          <cell r="G663" t="str">
            <v>Yes</v>
          </cell>
          <cell r="H663" t="str">
            <v>Frame contract for 2002</v>
          </cell>
          <cell r="K663" t="str">
            <v>baretube</v>
          </cell>
        </row>
        <row r="664">
          <cell r="A664" t="str">
            <v>4MTSA-213 T2250.83.2</v>
          </cell>
          <cell r="B664" t="str">
            <v>BENTELER</v>
          </cell>
          <cell r="C664" t="str">
            <v>4MTSA-213 T2250.83.2BENTELER</v>
          </cell>
          <cell r="D664" t="str">
            <v>EUR</v>
          </cell>
          <cell r="E664">
            <v>1105</v>
          </cell>
          <cell r="F664" t="str">
            <v>EUR/t</v>
          </cell>
          <cell r="G664" t="str">
            <v>Yes</v>
          </cell>
          <cell r="H664" t="str">
            <v>Frame contract for 2002</v>
          </cell>
          <cell r="K664" t="str">
            <v>baretube</v>
          </cell>
        </row>
        <row r="665">
          <cell r="A665" t="str">
            <v>4MTSA-213 T2250.83.4</v>
          </cell>
          <cell r="B665" t="str">
            <v>BENTELER</v>
          </cell>
          <cell r="C665" t="str">
            <v>4MTSA-213 T2250.83.4BENTELER</v>
          </cell>
          <cell r="D665" t="str">
            <v>EUR</v>
          </cell>
          <cell r="E665">
            <v>1105</v>
          </cell>
          <cell r="F665" t="str">
            <v>EUR/t</v>
          </cell>
          <cell r="G665" t="str">
            <v>Yes</v>
          </cell>
          <cell r="H665" t="str">
            <v>Frame contract for 2002</v>
          </cell>
          <cell r="K665" t="str">
            <v>baretube</v>
          </cell>
        </row>
        <row r="666">
          <cell r="A666" t="str">
            <v>4MTSA-213 T2250.83.6</v>
          </cell>
          <cell r="B666" t="str">
            <v>BENTELER</v>
          </cell>
          <cell r="C666" t="str">
            <v>4MTSA-213 T2250.83.6BENTELER</v>
          </cell>
          <cell r="D666" t="str">
            <v>EUR</v>
          </cell>
          <cell r="E666">
            <v>1052</v>
          </cell>
          <cell r="F666" t="str">
            <v>EUR/t</v>
          </cell>
          <cell r="G666" t="str">
            <v>Yes</v>
          </cell>
          <cell r="H666" t="str">
            <v>Frame contract for 2002</v>
          </cell>
          <cell r="K666" t="str">
            <v>baretube</v>
          </cell>
        </row>
        <row r="667">
          <cell r="A667" t="str">
            <v>4MTSA-213 T2250.83.9</v>
          </cell>
          <cell r="B667" t="str">
            <v>BENTELER</v>
          </cell>
          <cell r="C667" t="str">
            <v>4MTSA-213 T2250.83.9BENTELER</v>
          </cell>
          <cell r="D667" t="str">
            <v>EUR</v>
          </cell>
          <cell r="E667">
            <v>1052</v>
          </cell>
          <cell r="F667" t="str">
            <v>EUR/t</v>
          </cell>
          <cell r="G667" t="str">
            <v>Yes</v>
          </cell>
          <cell r="H667" t="str">
            <v>Frame contract for 2002</v>
          </cell>
          <cell r="K667" t="str">
            <v>baretube</v>
          </cell>
        </row>
        <row r="668">
          <cell r="A668" t="str">
            <v>4MTSA-213 T2250.84.5</v>
          </cell>
          <cell r="B668" t="str">
            <v>BENTELER</v>
          </cell>
          <cell r="C668" t="str">
            <v>4MTSA-213 T2250.84.5BENTELER</v>
          </cell>
          <cell r="D668" t="str">
            <v>EUR</v>
          </cell>
          <cell r="E668">
            <v>1052</v>
          </cell>
          <cell r="F668" t="str">
            <v>EUR/t</v>
          </cell>
          <cell r="G668" t="str">
            <v>Yes</v>
          </cell>
          <cell r="H668" t="str">
            <v>Frame contract for 2002</v>
          </cell>
          <cell r="K668" t="str">
            <v>baretube</v>
          </cell>
        </row>
        <row r="669">
          <cell r="A669" t="str">
            <v>4MTSA-213 T2250.84</v>
          </cell>
          <cell r="B669" t="str">
            <v>BENTELER</v>
          </cell>
          <cell r="C669" t="str">
            <v>4MTSA-213 T2250.84BENTELER</v>
          </cell>
          <cell r="D669" t="str">
            <v>EUR</v>
          </cell>
          <cell r="E669">
            <v>1052</v>
          </cell>
          <cell r="F669" t="str">
            <v>EUR/t</v>
          </cell>
          <cell r="G669" t="str">
            <v>Yes</v>
          </cell>
          <cell r="H669" t="str">
            <v>Frame contract for 2002</v>
          </cell>
          <cell r="K669" t="str">
            <v>baretube</v>
          </cell>
        </row>
        <row r="670">
          <cell r="A670" t="str">
            <v>4MTSA-213 T22572.6</v>
          </cell>
          <cell r="B670" t="str">
            <v>BENTELER</v>
          </cell>
          <cell r="C670" t="str">
            <v>4MTSA-213 T22572.6BENTELER</v>
          </cell>
          <cell r="D670" t="str">
            <v>EUR</v>
          </cell>
          <cell r="E670">
            <v>1148</v>
          </cell>
          <cell r="F670" t="str">
            <v>EUR/t</v>
          </cell>
          <cell r="G670" t="str">
            <v>Yes</v>
          </cell>
          <cell r="H670" t="str">
            <v>Frame contract for 2002</v>
          </cell>
          <cell r="K670" t="str">
            <v>baretube</v>
          </cell>
        </row>
        <row r="671">
          <cell r="A671" t="str">
            <v>4MTSA-213 T22572.9</v>
          </cell>
          <cell r="B671" t="str">
            <v>BENTELER</v>
          </cell>
          <cell r="C671" t="str">
            <v>4MTSA-213 T22572.9BENTELER</v>
          </cell>
          <cell r="D671" t="str">
            <v>EUR</v>
          </cell>
          <cell r="E671">
            <v>1126</v>
          </cell>
          <cell r="F671" t="str">
            <v>EUR/t</v>
          </cell>
          <cell r="G671" t="str">
            <v>Yes</v>
          </cell>
          <cell r="H671" t="str">
            <v>Frame contract for 2002</v>
          </cell>
          <cell r="K671" t="str">
            <v>baretube</v>
          </cell>
        </row>
        <row r="672">
          <cell r="A672" t="str">
            <v>4MTSA-213 T22573.2</v>
          </cell>
          <cell r="B672" t="str">
            <v>BENTELER</v>
          </cell>
          <cell r="C672" t="str">
            <v>4MTSA-213 T22573.2BENTELER</v>
          </cell>
          <cell r="D672" t="str">
            <v>EUR</v>
          </cell>
          <cell r="E672">
            <v>1105</v>
          </cell>
          <cell r="F672" t="str">
            <v>EUR/t</v>
          </cell>
          <cell r="G672" t="str">
            <v>Yes</v>
          </cell>
          <cell r="H672" t="str">
            <v>Frame contract for 2002</v>
          </cell>
          <cell r="K672" t="str">
            <v>baretube</v>
          </cell>
        </row>
        <row r="673">
          <cell r="A673" t="str">
            <v>4MTSA-213 T22573.4</v>
          </cell>
          <cell r="B673" t="str">
            <v>BENTELER</v>
          </cell>
          <cell r="C673" t="str">
            <v>4MTSA-213 T22573.4BENTELER</v>
          </cell>
          <cell r="D673" t="str">
            <v>EUR</v>
          </cell>
          <cell r="E673">
            <v>1105</v>
          </cell>
          <cell r="F673" t="str">
            <v>EUR/t</v>
          </cell>
          <cell r="G673" t="str">
            <v>Yes</v>
          </cell>
          <cell r="H673" t="str">
            <v>Frame contract for 2002</v>
          </cell>
          <cell r="K673" t="str">
            <v>baretube</v>
          </cell>
        </row>
        <row r="674">
          <cell r="A674" t="str">
            <v>4MTSA-213 T22573.6</v>
          </cell>
          <cell r="B674" t="str">
            <v>BENTELER</v>
          </cell>
          <cell r="C674" t="str">
            <v>4MTSA-213 T22573.6BENTELER</v>
          </cell>
          <cell r="D674" t="str">
            <v>EUR</v>
          </cell>
          <cell r="E674">
            <v>1052</v>
          </cell>
          <cell r="F674" t="str">
            <v>EUR/t</v>
          </cell>
          <cell r="G674" t="str">
            <v>Yes</v>
          </cell>
          <cell r="H674" t="str">
            <v>Frame contract for 2002</v>
          </cell>
          <cell r="K674" t="str">
            <v>baretube</v>
          </cell>
        </row>
        <row r="675">
          <cell r="A675" t="str">
            <v>4MTSA-213 T22573.9</v>
          </cell>
          <cell r="B675" t="str">
            <v>BENTELER</v>
          </cell>
          <cell r="C675" t="str">
            <v>4MTSA-213 T22573.9BENTELER</v>
          </cell>
          <cell r="D675" t="str">
            <v>EUR</v>
          </cell>
          <cell r="E675">
            <v>1052</v>
          </cell>
          <cell r="F675" t="str">
            <v>EUR/t</v>
          </cell>
          <cell r="G675" t="str">
            <v>Yes</v>
          </cell>
          <cell r="H675" t="str">
            <v>Frame contract for 2002</v>
          </cell>
          <cell r="K675" t="str">
            <v>baretube</v>
          </cell>
        </row>
        <row r="676">
          <cell r="A676" t="str">
            <v>4MTSA-213 T22574.5</v>
          </cell>
          <cell r="B676" t="str">
            <v>BENTELER</v>
          </cell>
          <cell r="C676" t="str">
            <v>4MTSA-213 T22574.5BENTELER</v>
          </cell>
          <cell r="D676" t="str">
            <v>EUR</v>
          </cell>
          <cell r="E676">
            <v>1052</v>
          </cell>
          <cell r="F676" t="str">
            <v>EUR/t</v>
          </cell>
          <cell r="G676" t="str">
            <v>Yes</v>
          </cell>
          <cell r="H676" t="str">
            <v>Frame contract for 2002</v>
          </cell>
          <cell r="K676" t="str">
            <v>baretube</v>
          </cell>
        </row>
        <row r="677">
          <cell r="A677" t="str">
            <v>4MTSA-213 T22574</v>
          </cell>
          <cell r="B677" t="str">
            <v>BENTELER</v>
          </cell>
          <cell r="C677" t="str">
            <v>4MTSA-213 T22574BENTELER</v>
          </cell>
          <cell r="D677" t="str">
            <v>EUR</v>
          </cell>
          <cell r="E677">
            <v>1052</v>
          </cell>
          <cell r="F677" t="str">
            <v>EUR/t</v>
          </cell>
          <cell r="G677" t="str">
            <v>Yes</v>
          </cell>
          <cell r="H677" t="str">
            <v>Frame contract for 2002</v>
          </cell>
          <cell r="K677" t="str">
            <v>baretube</v>
          </cell>
        </row>
        <row r="678">
          <cell r="A678" t="str">
            <v>4MTSA-213 T22</v>
          </cell>
          <cell r="B678" t="str">
            <v>BENTELER</v>
          </cell>
          <cell r="C678" t="str">
            <v>4MTSA-213 T22BENTELER</v>
          </cell>
          <cell r="D678" t="str">
            <v>EUR</v>
          </cell>
          <cell r="E678">
            <v>0</v>
          </cell>
          <cell r="F678" t="str">
            <v>EUR/t</v>
          </cell>
          <cell r="G678" t="str">
            <v>Yes</v>
          </cell>
          <cell r="H678" t="str">
            <v>Frame contract for 2002</v>
          </cell>
          <cell r="K678" t="str">
            <v>baretube</v>
          </cell>
        </row>
        <row r="679">
          <cell r="A679" t="str">
            <v>4MTSA-213 T91252.6</v>
          </cell>
          <cell r="B679" t="str">
            <v>BENTELER</v>
          </cell>
          <cell r="C679" t="str">
            <v>4MTSA-213 T91252.6BENTELER</v>
          </cell>
          <cell r="D679" t="str">
            <v>EUR</v>
          </cell>
          <cell r="E679" t="str">
            <v>NA</v>
          </cell>
          <cell r="F679" t="str">
            <v>EUR/t</v>
          </cell>
          <cell r="G679" t="str">
            <v>Yes</v>
          </cell>
          <cell r="H679" t="str">
            <v>Frame contract for 2002</v>
          </cell>
          <cell r="K679" t="str">
            <v>baretube</v>
          </cell>
        </row>
        <row r="680">
          <cell r="A680" t="str">
            <v>4MTSA-213 T91252.9</v>
          </cell>
          <cell r="B680" t="str">
            <v>BENTELER</v>
          </cell>
          <cell r="C680" t="str">
            <v>4MTSA-213 T91252.9BENTELER</v>
          </cell>
          <cell r="D680" t="str">
            <v>EUR</v>
          </cell>
          <cell r="E680" t="str">
            <v>NA</v>
          </cell>
          <cell r="F680" t="str">
            <v>EUR/t</v>
          </cell>
          <cell r="G680" t="str">
            <v>Yes</v>
          </cell>
          <cell r="H680" t="str">
            <v>Frame contract for 2002</v>
          </cell>
          <cell r="K680" t="str">
            <v>baretube</v>
          </cell>
        </row>
        <row r="681">
          <cell r="A681" t="str">
            <v>4MTSA-213 T91253.2</v>
          </cell>
          <cell r="B681" t="str">
            <v>BENTELER</v>
          </cell>
          <cell r="C681" t="str">
            <v>4MTSA-213 T91253.2BENTELER</v>
          </cell>
          <cell r="D681" t="str">
            <v>EUR</v>
          </cell>
          <cell r="E681" t="str">
            <v>NA</v>
          </cell>
          <cell r="F681" t="str">
            <v>EUR/t</v>
          </cell>
          <cell r="G681" t="str">
            <v>Yes</v>
          </cell>
          <cell r="H681" t="str">
            <v>Frame contract for 2002</v>
          </cell>
          <cell r="K681" t="str">
            <v>baretube</v>
          </cell>
        </row>
        <row r="682">
          <cell r="A682" t="str">
            <v>4MTSA-213 T91253.4</v>
          </cell>
          <cell r="B682" t="str">
            <v>BENTELER</v>
          </cell>
          <cell r="C682" t="str">
            <v>4MTSA-213 T91253.4BENTELER</v>
          </cell>
          <cell r="D682" t="str">
            <v>EUR</v>
          </cell>
          <cell r="E682" t="str">
            <v>NA</v>
          </cell>
          <cell r="F682" t="str">
            <v>EUR/t</v>
          </cell>
          <cell r="G682" t="str">
            <v>Yes</v>
          </cell>
          <cell r="H682" t="str">
            <v>Frame contract for 2002</v>
          </cell>
          <cell r="K682" t="str">
            <v>baretube</v>
          </cell>
        </row>
        <row r="683">
          <cell r="A683" t="str">
            <v>4MTSA-213 T91253.6</v>
          </cell>
          <cell r="B683" t="str">
            <v>BENTELER</v>
          </cell>
          <cell r="C683" t="str">
            <v>4MTSA-213 T91253.6BENTELER</v>
          </cell>
          <cell r="D683" t="str">
            <v>EUR</v>
          </cell>
          <cell r="E683" t="str">
            <v>NA</v>
          </cell>
          <cell r="F683" t="str">
            <v>EUR/t</v>
          </cell>
          <cell r="G683" t="str">
            <v>Yes</v>
          </cell>
          <cell r="H683" t="str">
            <v>Frame contract for 2002</v>
          </cell>
          <cell r="K683" t="str">
            <v>baretube</v>
          </cell>
        </row>
        <row r="684">
          <cell r="A684" t="str">
            <v>4MTSA-213 T91253.9</v>
          </cell>
          <cell r="B684" t="str">
            <v>BENTELER</v>
          </cell>
          <cell r="C684" t="str">
            <v>4MTSA-213 T91253.9BENTELER</v>
          </cell>
          <cell r="D684" t="str">
            <v>EUR</v>
          </cell>
          <cell r="E684" t="str">
            <v>NA</v>
          </cell>
          <cell r="F684" t="str">
            <v>EUR/t</v>
          </cell>
          <cell r="G684" t="str">
            <v>Yes</v>
          </cell>
          <cell r="H684" t="str">
            <v>Frame contract for 2002</v>
          </cell>
          <cell r="K684" t="str">
            <v>baretube</v>
          </cell>
        </row>
        <row r="685">
          <cell r="A685" t="str">
            <v>4MTSA-213 T91254.5</v>
          </cell>
          <cell r="B685" t="str">
            <v>BENTELER</v>
          </cell>
          <cell r="C685" t="str">
            <v>4MTSA-213 T91254.5BENTELER</v>
          </cell>
          <cell r="D685" t="str">
            <v>EUR</v>
          </cell>
          <cell r="E685" t="str">
            <v>NA</v>
          </cell>
          <cell r="F685" t="str">
            <v>EUR/t</v>
          </cell>
          <cell r="G685" t="str">
            <v>Yes</v>
          </cell>
          <cell r="H685" t="str">
            <v>Frame contract for 2002</v>
          </cell>
          <cell r="K685" t="str">
            <v>baretube</v>
          </cell>
        </row>
        <row r="686">
          <cell r="A686" t="str">
            <v>4MTSA-213 T91254</v>
          </cell>
          <cell r="B686" t="str">
            <v>BENTELER</v>
          </cell>
          <cell r="C686" t="str">
            <v>4MTSA-213 T91254BENTELER</v>
          </cell>
          <cell r="D686" t="str">
            <v>EUR</v>
          </cell>
          <cell r="E686" t="str">
            <v>NA</v>
          </cell>
          <cell r="F686" t="str">
            <v>EUR/t</v>
          </cell>
          <cell r="G686" t="str">
            <v>Yes</v>
          </cell>
          <cell r="H686" t="str">
            <v>Frame contract for 2002</v>
          </cell>
          <cell r="K686" t="str">
            <v>baretube</v>
          </cell>
        </row>
        <row r="687">
          <cell r="A687" t="str">
            <v>4MTSA-213 T9126.92.6</v>
          </cell>
          <cell r="B687" t="str">
            <v>BENTELER</v>
          </cell>
          <cell r="C687" t="str">
            <v>4MTSA-213 T9126.92.6BENTELER</v>
          </cell>
          <cell r="D687" t="str">
            <v>EUR</v>
          </cell>
          <cell r="E687" t="str">
            <v>NA</v>
          </cell>
          <cell r="F687" t="str">
            <v>EUR/t</v>
          </cell>
          <cell r="G687" t="str">
            <v>Yes</v>
          </cell>
          <cell r="H687" t="str">
            <v>Frame contract for 2002</v>
          </cell>
          <cell r="K687" t="str">
            <v>baretube</v>
          </cell>
        </row>
        <row r="688">
          <cell r="A688" t="str">
            <v>4MTSA-213 T9131.82.6</v>
          </cell>
          <cell r="B688" t="str">
            <v>BENTELER</v>
          </cell>
          <cell r="C688" t="str">
            <v>4MTSA-213 T9131.82.6BENTELER</v>
          </cell>
          <cell r="D688" t="str">
            <v>EUR</v>
          </cell>
          <cell r="E688" t="str">
            <v>NA</v>
          </cell>
          <cell r="F688" t="str">
            <v>EUR/t</v>
          </cell>
          <cell r="G688" t="str">
            <v>Yes</v>
          </cell>
          <cell r="H688" t="str">
            <v>Frame contract for 2002</v>
          </cell>
          <cell r="K688" t="str">
            <v>baretube</v>
          </cell>
        </row>
        <row r="689">
          <cell r="A689" t="str">
            <v>4MTSA-213 T9131.82.7</v>
          </cell>
          <cell r="B689" t="str">
            <v>BENTELER</v>
          </cell>
          <cell r="C689" t="str">
            <v>4MTSA-213 T9131.82.7BENTELER</v>
          </cell>
          <cell r="D689" t="str">
            <v>EUR</v>
          </cell>
          <cell r="E689">
            <v>3226</v>
          </cell>
          <cell r="F689" t="str">
            <v>EUR/t</v>
          </cell>
          <cell r="G689" t="str">
            <v>Yes</v>
          </cell>
          <cell r="H689" t="str">
            <v>Frame contract for 2002</v>
          </cell>
          <cell r="K689" t="str">
            <v>baretube</v>
          </cell>
        </row>
        <row r="690">
          <cell r="A690" t="str">
            <v>4MTSA-213 T9131.82.9</v>
          </cell>
          <cell r="B690" t="str">
            <v>BENTELER</v>
          </cell>
          <cell r="C690" t="str">
            <v>4MTSA-213 T9131.82.9BENTELER</v>
          </cell>
          <cell r="D690" t="str">
            <v>EUR</v>
          </cell>
          <cell r="E690">
            <v>3162</v>
          </cell>
          <cell r="F690" t="str">
            <v>EUR/t</v>
          </cell>
          <cell r="G690" t="str">
            <v>Yes</v>
          </cell>
          <cell r="H690" t="str">
            <v>Frame contract for 2002</v>
          </cell>
          <cell r="K690" t="str">
            <v>baretube</v>
          </cell>
        </row>
        <row r="691">
          <cell r="A691" t="str">
            <v>4MTSA-213 T9131.83.1</v>
          </cell>
          <cell r="B691" t="str">
            <v>BENTELER</v>
          </cell>
          <cell r="C691" t="str">
            <v>4MTSA-213 T9131.83.1BENTELER</v>
          </cell>
          <cell r="D691" t="str">
            <v>EUR</v>
          </cell>
          <cell r="E691">
            <v>3161</v>
          </cell>
          <cell r="F691" t="str">
            <v>EUR/t</v>
          </cell>
          <cell r="G691" t="str">
            <v>Yes</v>
          </cell>
          <cell r="H691" t="str">
            <v>Frame contract for 2002</v>
          </cell>
          <cell r="K691" t="str">
            <v>baretube</v>
          </cell>
        </row>
        <row r="692">
          <cell r="A692" t="str">
            <v>4MTSA-213 T9131.83.2</v>
          </cell>
          <cell r="B692" t="str">
            <v>BENTELER</v>
          </cell>
          <cell r="C692" t="str">
            <v>4MTSA-213 T9131.83.2BENTELER</v>
          </cell>
          <cell r="D692" t="str">
            <v>EUR</v>
          </cell>
          <cell r="E692">
            <v>3104</v>
          </cell>
          <cell r="F692" t="str">
            <v>EUR/t</v>
          </cell>
          <cell r="G692" t="str">
            <v>Yes</v>
          </cell>
          <cell r="H692" t="str">
            <v>Frame contract for 2002</v>
          </cell>
          <cell r="K692" t="str">
            <v>baretube</v>
          </cell>
        </row>
        <row r="693">
          <cell r="A693" t="str">
            <v>4MTSA-213 T9131.83.4</v>
          </cell>
          <cell r="B693" t="str">
            <v>BENTELER</v>
          </cell>
          <cell r="C693" t="str">
            <v>4MTSA-213 T9131.83.4BENTELER</v>
          </cell>
          <cell r="D693" t="str">
            <v>EUR</v>
          </cell>
          <cell r="E693">
            <v>3104</v>
          </cell>
          <cell r="F693" t="str">
            <v>EUR/t</v>
          </cell>
          <cell r="G693" t="str">
            <v>Yes</v>
          </cell>
          <cell r="H693" t="str">
            <v>Frame contract for 2002</v>
          </cell>
          <cell r="K693" t="str">
            <v>baretube</v>
          </cell>
        </row>
        <row r="694">
          <cell r="A694" t="str">
            <v>4MTSA-213 T9131.83.6</v>
          </cell>
          <cell r="B694" t="str">
            <v>BENTELER</v>
          </cell>
          <cell r="C694" t="str">
            <v>4MTSA-213 T9131.83.6BENTELER</v>
          </cell>
          <cell r="D694" t="str">
            <v>EUR</v>
          </cell>
          <cell r="E694">
            <v>2953</v>
          </cell>
          <cell r="F694" t="str">
            <v>EUR/t</v>
          </cell>
          <cell r="G694" t="str">
            <v>Yes</v>
          </cell>
          <cell r="H694" t="str">
            <v>Frame contract for 2002</v>
          </cell>
          <cell r="K694" t="str">
            <v>baretube</v>
          </cell>
        </row>
        <row r="695">
          <cell r="A695" t="str">
            <v>4MTSA-213 T9131.83.9</v>
          </cell>
          <cell r="B695" t="str">
            <v>BENTELER</v>
          </cell>
          <cell r="C695" t="str">
            <v>4MTSA-213 T9131.83.9BENTELER</v>
          </cell>
          <cell r="D695" t="str">
            <v>EUR</v>
          </cell>
          <cell r="E695">
            <v>2953</v>
          </cell>
          <cell r="F695" t="str">
            <v>EUR/t</v>
          </cell>
          <cell r="G695" t="str">
            <v>Yes</v>
          </cell>
          <cell r="H695" t="str">
            <v>Frame contract for 2002</v>
          </cell>
          <cell r="K695" t="str">
            <v>baretube</v>
          </cell>
        </row>
        <row r="696">
          <cell r="A696" t="str">
            <v>4MTSA-213 T9131.84.5</v>
          </cell>
          <cell r="B696" t="str">
            <v>BENTELER</v>
          </cell>
          <cell r="C696" t="str">
            <v>4MTSA-213 T9131.84.5BENTELER</v>
          </cell>
          <cell r="D696" t="str">
            <v>EUR</v>
          </cell>
          <cell r="E696">
            <v>2953</v>
          </cell>
          <cell r="F696" t="str">
            <v>EUR/t</v>
          </cell>
          <cell r="G696" t="str">
            <v>Yes</v>
          </cell>
          <cell r="H696" t="str">
            <v>Frame contract for 2002</v>
          </cell>
          <cell r="K696" t="str">
            <v>baretube</v>
          </cell>
        </row>
        <row r="697">
          <cell r="A697" t="str">
            <v>4MTSA-213 T9131.84</v>
          </cell>
          <cell r="B697" t="str">
            <v>BENTELER</v>
          </cell>
          <cell r="C697" t="str">
            <v>4MTSA-213 T9131.84BENTELER</v>
          </cell>
          <cell r="D697" t="str">
            <v>EUR</v>
          </cell>
          <cell r="E697">
            <v>2953</v>
          </cell>
          <cell r="F697" t="str">
            <v>EUR/t</v>
          </cell>
          <cell r="G697" t="str">
            <v>Yes</v>
          </cell>
          <cell r="H697" t="str">
            <v>Frame contract for 2002</v>
          </cell>
          <cell r="K697" t="str">
            <v>baretube</v>
          </cell>
        </row>
        <row r="698">
          <cell r="A698" t="str">
            <v>4MTSA-213 T91382.6</v>
          </cell>
          <cell r="B698" t="str">
            <v>BENTELER</v>
          </cell>
          <cell r="C698" t="str">
            <v>4MTSA-213 T91382.6BENTELER</v>
          </cell>
          <cell r="D698" t="str">
            <v>EUR</v>
          </cell>
          <cell r="E698">
            <v>3063</v>
          </cell>
          <cell r="F698" t="str">
            <v>EUR/t</v>
          </cell>
          <cell r="G698" t="str">
            <v>Yes</v>
          </cell>
          <cell r="H698" t="str">
            <v>Frame contract for 2002</v>
          </cell>
          <cell r="K698" t="str">
            <v>baretube</v>
          </cell>
        </row>
        <row r="699">
          <cell r="A699" t="str">
            <v>4MTSA-213 T91382.9</v>
          </cell>
          <cell r="B699" t="str">
            <v>BENTELER</v>
          </cell>
          <cell r="C699" t="str">
            <v>4MTSA-213 T91382.9BENTELER</v>
          </cell>
          <cell r="D699" t="str">
            <v>EUR</v>
          </cell>
          <cell r="E699">
            <v>3007</v>
          </cell>
          <cell r="F699" t="str">
            <v>EUR/t</v>
          </cell>
          <cell r="G699" t="str">
            <v>Yes</v>
          </cell>
          <cell r="H699" t="str">
            <v>Frame contract for 2002</v>
          </cell>
          <cell r="K699" t="str">
            <v>baretube</v>
          </cell>
        </row>
        <row r="700">
          <cell r="A700" t="str">
            <v>4MTSA-213 T91383.2</v>
          </cell>
          <cell r="B700" t="str">
            <v>BENTELER</v>
          </cell>
          <cell r="C700" t="str">
            <v>4MTSA-213 T91383.2BENTELER</v>
          </cell>
          <cell r="D700" t="str">
            <v>EUR</v>
          </cell>
          <cell r="E700">
            <v>2951</v>
          </cell>
          <cell r="F700" t="str">
            <v>EUR/t</v>
          </cell>
          <cell r="G700" t="str">
            <v>Yes</v>
          </cell>
          <cell r="H700" t="str">
            <v>Frame contract for 2002</v>
          </cell>
          <cell r="K700" t="str">
            <v>baretube</v>
          </cell>
        </row>
        <row r="701">
          <cell r="A701" t="str">
            <v>4MTSA-213 T91383.3</v>
          </cell>
          <cell r="B701" t="str">
            <v>BENTELER</v>
          </cell>
          <cell r="C701" t="str">
            <v>4MTSA-213 T91383.3BENTELER</v>
          </cell>
          <cell r="D701" t="str">
            <v>EUR</v>
          </cell>
          <cell r="E701">
            <v>2951</v>
          </cell>
          <cell r="F701" t="str">
            <v>EUR/t</v>
          </cell>
          <cell r="G701" t="str">
            <v>Yes</v>
          </cell>
          <cell r="H701" t="str">
            <v>Frame contract for 2002</v>
          </cell>
          <cell r="K701" t="str">
            <v>baretube</v>
          </cell>
        </row>
        <row r="702">
          <cell r="A702" t="str">
            <v>4MTSA-213 T91383.4</v>
          </cell>
          <cell r="B702" t="str">
            <v>BENTELER</v>
          </cell>
          <cell r="C702" t="str">
            <v>4MTSA-213 T91383.4BENTELER</v>
          </cell>
          <cell r="D702" t="str">
            <v>EUR</v>
          </cell>
          <cell r="E702">
            <v>2951</v>
          </cell>
          <cell r="F702" t="str">
            <v>EUR/t</v>
          </cell>
          <cell r="G702" t="str">
            <v>Yes</v>
          </cell>
          <cell r="H702" t="str">
            <v>Frame contract for 2002</v>
          </cell>
          <cell r="K702" t="str">
            <v>baretube</v>
          </cell>
        </row>
        <row r="703">
          <cell r="A703" t="str">
            <v>4MTSA-213 T91383.6</v>
          </cell>
          <cell r="B703" t="str">
            <v>BENTELER</v>
          </cell>
          <cell r="C703" t="str">
            <v>4MTSA-213 T91383.6BENTELER</v>
          </cell>
          <cell r="D703" t="str">
            <v>EUR</v>
          </cell>
          <cell r="E703">
            <v>2811</v>
          </cell>
          <cell r="F703" t="str">
            <v>EUR/t</v>
          </cell>
          <cell r="G703" t="str">
            <v>Yes</v>
          </cell>
          <cell r="H703" t="str">
            <v>Frame contract for 2002</v>
          </cell>
          <cell r="K703" t="str">
            <v>baretube</v>
          </cell>
        </row>
        <row r="704">
          <cell r="A704" t="str">
            <v>4MTSA-213 T91383.9</v>
          </cell>
          <cell r="B704" t="str">
            <v>BENTELER</v>
          </cell>
          <cell r="C704" t="str">
            <v>4MTSA-213 T91383.9BENTELER</v>
          </cell>
          <cell r="D704" t="str">
            <v>EUR</v>
          </cell>
          <cell r="E704">
            <v>2811</v>
          </cell>
          <cell r="F704" t="str">
            <v>EUR/t</v>
          </cell>
          <cell r="G704" t="str">
            <v>Yes</v>
          </cell>
          <cell r="H704" t="str">
            <v>Frame contract for 2002</v>
          </cell>
          <cell r="K704" t="str">
            <v>baretube</v>
          </cell>
        </row>
        <row r="705">
          <cell r="A705" t="str">
            <v>4MTSA-213 T91383</v>
          </cell>
          <cell r="B705" t="str">
            <v>BENTELER</v>
          </cell>
          <cell r="C705" t="str">
            <v>4MTSA-213 T91383BENTELER</v>
          </cell>
          <cell r="D705" t="str">
            <v>EUR</v>
          </cell>
          <cell r="E705">
            <v>3007</v>
          </cell>
          <cell r="F705" t="str">
            <v>EUR/t</v>
          </cell>
          <cell r="G705" t="str">
            <v>Yes</v>
          </cell>
          <cell r="H705" t="str">
            <v>Frame contract for 2002</v>
          </cell>
          <cell r="K705" t="str">
            <v>baretube</v>
          </cell>
        </row>
        <row r="706">
          <cell r="A706" t="str">
            <v>4MTSA-213 T91384.1</v>
          </cell>
          <cell r="B706" t="str">
            <v>BENTELER</v>
          </cell>
          <cell r="C706" t="str">
            <v>4MTSA-213 T91384.1BENTELER</v>
          </cell>
          <cell r="D706" t="str">
            <v>EUR</v>
          </cell>
          <cell r="E706">
            <v>2811</v>
          </cell>
          <cell r="F706" t="str">
            <v>EUR/t</v>
          </cell>
          <cell r="G706" t="str">
            <v>Yes</v>
          </cell>
          <cell r="H706" t="str">
            <v>Frame contract for 2002</v>
          </cell>
          <cell r="K706" t="str">
            <v>baretube</v>
          </cell>
        </row>
        <row r="707">
          <cell r="A707" t="str">
            <v>4MTSA-213 T91384.5</v>
          </cell>
          <cell r="B707" t="str">
            <v>BENTELER</v>
          </cell>
          <cell r="C707" t="str">
            <v>4MTSA-213 T91384.5BENTELER</v>
          </cell>
          <cell r="D707" t="str">
            <v>EUR</v>
          </cell>
          <cell r="E707">
            <v>2811</v>
          </cell>
          <cell r="F707" t="str">
            <v>EUR/t</v>
          </cell>
          <cell r="G707" t="str">
            <v>Yes</v>
          </cell>
          <cell r="H707" t="str">
            <v>Frame contract for 2002</v>
          </cell>
          <cell r="K707" t="str">
            <v>baretube</v>
          </cell>
        </row>
        <row r="708">
          <cell r="A708" t="str">
            <v>4MTSA-213 T91384</v>
          </cell>
          <cell r="B708" t="str">
            <v>BENTELER</v>
          </cell>
          <cell r="C708" t="str">
            <v>4MTSA-213 T91384BENTELER</v>
          </cell>
          <cell r="D708" t="str">
            <v>EUR</v>
          </cell>
          <cell r="E708">
            <v>2811</v>
          </cell>
          <cell r="F708" t="str">
            <v>EUR/t</v>
          </cell>
          <cell r="G708" t="str">
            <v>Yes</v>
          </cell>
          <cell r="H708" t="str">
            <v>Frame contract for 2002</v>
          </cell>
          <cell r="K708" t="str">
            <v>baretube</v>
          </cell>
        </row>
        <row r="709">
          <cell r="A709" t="str">
            <v>4MTSA-213 T9144.52.6</v>
          </cell>
          <cell r="B709" t="str">
            <v>BENTELER</v>
          </cell>
          <cell r="C709" t="str">
            <v>4MTSA-213 T9144.52.6BENTELER</v>
          </cell>
          <cell r="D709" t="str">
            <v>EUR</v>
          </cell>
          <cell r="E709">
            <v>3063</v>
          </cell>
          <cell r="F709" t="str">
            <v>EUR/t</v>
          </cell>
          <cell r="G709" t="str">
            <v>Yes</v>
          </cell>
          <cell r="H709" t="str">
            <v>Frame contract for 2002</v>
          </cell>
          <cell r="K709" t="str">
            <v>baretube</v>
          </cell>
        </row>
        <row r="710">
          <cell r="A710" t="str">
            <v>4MTSA-213 T9144.52.9</v>
          </cell>
          <cell r="B710" t="str">
            <v>BENTELER</v>
          </cell>
          <cell r="C710" t="str">
            <v>4MTSA-213 T9144.52.9BENTELER</v>
          </cell>
          <cell r="D710" t="str">
            <v>EUR</v>
          </cell>
          <cell r="E710">
            <v>3007</v>
          </cell>
          <cell r="F710" t="str">
            <v>EUR/t</v>
          </cell>
          <cell r="G710" t="str">
            <v>Yes</v>
          </cell>
          <cell r="H710" t="str">
            <v>Frame contract for 2002</v>
          </cell>
          <cell r="K710" t="str">
            <v>baretube</v>
          </cell>
        </row>
        <row r="711">
          <cell r="A711" t="str">
            <v>4MTSA-213 T9144.53.2</v>
          </cell>
          <cell r="B711" t="str">
            <v>BENTELER</v>
          </cell>
          <cell r="C711" t="str">
            <v>4MTSA-213 T9144.53.2BENTELER</v>
          </cell>
          <cell r="D711" t="str">
            <v>EUR</v>
          </cell>
          <cell r="E711">
            <v>2951</v>
          </cell>
          <cell r="F711" t="str">
            <v>EUR/t</v>
          </cell>
          <cell r="G711" t="str">
            <v>Yes</v>
          </cell>
          <cell r="H711" t="str">
            <v>Frame contract for 2002</v>
          </cell>
          <cell r="K711" t="str">
            <v>baretube</v>
          </cell>
        </row>
        <row r="712">
          <cell r="A712" t="str">
            <v>4MTSA-213 T9144.53.4</v>
          </cell>
          <cell r="B712" t="str">
            <v>BENTELER</v>
          </cell>
          <cell r="C712" t="str">
            <v>4MTSA-213 T9144.53.4BENTELER</v>
          </cell>
          <cell r="D712" t="str">
            <v>EUR</v>
          </cell>
          <cell r="E712">
            <v>2951</v>
          </cell>
          <cell r="F712" t="str">
            <v>EUR/t</v>
          </cell>
          <cell r="G712" t="str">
            <v>Yes</v>
          </cell>
          <cell r="H712" t="str">
            <v>Frame contract for 2002</v>
          </cell>
          <cell r="K712" t="str">
            <v>baretube</v>
          </cell>
        </row>
        <row r="713">
          <cell r="A713" t="str">
            <v>4MTSA-213 T9144.53.6</v>
          </cell>
          <cell r="B713" t="str">
            <v>BENTELER</v>
          </cell>
          <cell r="C713" t="str">
            <v>4MTSA-213 T9144.53.6BENTELER</v>
          </cell>
          <cell r="D713" t="str">
            <v>EUR</v>
          </cell>
          <cell r="E713">
            <v>2811</v>
          </cell>
          <cell r="F713" t="str">
            <v>EUR/t</v>
          </cell>
          <cell r="G713" t="str">
            <v>Yes</v>
          </cell>
          <cell r="H713" t="str">
            <v>Frame contract for 2002</v>
          </cell>
          <cell r="K713" t="str">
            <v>baretube</v>
          </cell>
        </row>
        <row r="714">
          <cell r="A714" t="str">
            <v>4MTSA-213 T9144.53.9</v>
          </cell>
          <cell r="B714" t="str">
            <v>BENTELER</v>
          </cell>
          <cell r="C714" t="str">
            <v>4MTSA-213 T9144.53.9BENTELER</v>
          </cell>
          <cell r="D714" t="str">
            <v>EUR</v>
          </cell>
          <cell r="E714">
            <v>2811</v>
          </cell>
          <cell r="F714" t="str">
            <v>EUR/t</v>
          </cell>
          <cell r="G714" t="str">
            <v>Yes</v>
          </cell>
          <cell r="H714" t="str">
            <v>Frame contract for 2002</v>
          </cell>
          <cell r="K714" t="str">
            <v>baretube</v>
          </cell>
        </row>
        <row r="715">
          <cell r="A715" t="str">
            <v>4MTSA-213 T9144.54.5</v>
          </cell>
          <cell r="B715" t="str">
            <v>BENTELER</v>
          </cell>
          <cell r="C715" t="str">
            <v>4MTSA-213 T9144.54.5BENTELER</v>
          </cell>
          <cell r="D715" t="str">
            <v>EUR</v>
          </cell>
          <cell r="E715">
            <v>2811</v>
          </cell>
          <cell r="F715" t="str">
            <v>EUR/t</v>
          </cell>
          <cell r="G715" t="str">
            <v>Yes</v>
          </cell>
          <cell r="H715" t="str">
            <v>Frame contract for 2002</v>
          </cell>
          <cell r="K715" t="str">
            <v>baretube</v>
          </cell>
        </row>
        <row r="716">
          <cell r="A716" t="str">
            <v>4MTSA-213 T9144.54</v>
          </cell>
          <cell r="B716" t="str">
            <v>BENTELER</v>
          </cell>
          <cell r="C716" t="str">
            <v>4MTSA-213 T9144.54BENTELER</v>
          </cell>
          <cell r="D716" t="str">
            <v>EUR</v>
          </cell>
          <cell r="E716">
            <v>2811</v>
          </cell>
          <cell r="F716" t="str">
            <v>EUR/t</v>
          </cell>
          <cell r="G716" t="str">
            <v>Yes</v>
          </cell>
          <cell r="H716" t="str">
            <v>Frame contract for 2002</v>
          </cell>
          <cell r="K716" t="str">
            <v>baretube</v>
          </cell>
        </row>
        <row r="717">
          <cell r="A717" t="str">
            <v>4MTSA-213 T9150.82.6</v>
          </cell>
          <cell r="B717" t="str">
            <v>BENTELER</v>
          </cell>
          <cell r="C717" t="str">
            <v>4MTSA-213 T9150.82.6BENTELER</v>
          </cell>
          <cell r="D717" t="str">
            <v>EUR</v>
          </cell>
          <cell r="E717">
            <v>2974</v>
          </cell>
          <cell r="F717" t="str">
            <v>EUR/t</v>
          </cell>
          <cell r="G717" t="str">
            <v>Yes</v>
          </cell>
          <cell r="H717" t="str">
            <v>Frame contract for 2002</v>
          </cell>
          <cell r="K717" t="str">
            <v>baretube</v>
          </cell>
        </row>
        <row r="718">
          <cell r="A718" t="str">
            <v>4MTSA-213 T9150.82.9</v>
          </cell>
          <cell r="B718" t="str">
            <v>BENTELER</v>
          </cell>
          <cell r="C718" t="str">
            <v>4MTSA-213 T9150.82.9BENTELER</v>
          </cell>
          <cell r="D718" t="str">
            <v>EUR</v>
          </cell>
          <cell r="E718">
            <v>2920</v>
          </cell>
          <cell r="F718" t="str">
            <v>EUR/t</v>
          </cell>
          <cell r="G718" t="str">
            <v>Yes</v>
          </cell>
          <cell r="H718" t="str">
            <v>Frame contract for 2002</v>
          </cell>
          <cell r="K718" t="str">
            <v>baretube</v>
          </cell>
        </row>
        <row r="719">
          <cell r="A719" t="str">
            <v>4MTSA-213 T9150.83.2</v>
          </cell>
          <cell r="B719" t="str">
            <v>BENTELER</v>
          </cell>
          <cell r="C719" t="str">
            <v>4MTSA-213 T9150.83.2BENTELER</v>
          </cell>
          <cell r="D719" t="str">
            <v>EUR</v>
          </cell>
          <cell r="E719">
            <v>2864</v>
          </cell>
          <cell r="F719" t="str">
            <v>EUR/t</v>
          </cell>
          <cell r="G719" t="str">
            <v>Yes</v>
          </cell>
          <cell r="H719" t="str">
            <v>Frame contract for 2002</v>
          </cell>
          <cell r="K719" t="str">
            <v>baretube</v>
          </cell>
        </row>
        <row r="720">
          <cell r="A720" t="str">
            <v>4MTSA-213 T9150.83.4</v>
          </cell>
          <cell r="B720" t="str">
            <v>BENTELER</v>
          </cell>
          <cell r="C720" t="str">
            <v>4MTSA-213 T9150.83.4BENTELER</v>
          </cell>
          <cell r="D720" t="str">
            <v>EUR</v>
          </cell>
          <cell r="E720">
            <v>2864</v>
          </cell>
          <cell r="F720" t="str">
            <v>EUR/t</v>
          </cell>
          <cell r="G720" t="str">
            <v>Yes</v>
          </cell>
          <cell r="H720" t="str">
            <v>Frame contract for 2002</v>
          </cell>
          <cell r="K720" t="str">
            <v>baretube</v>
          </cell>
        </row>
        <row r="721">
          <cell r="A721" t="str">
            <v>4MTSA-213 T9150.83.6</v>
          </cell>
          <cell r="B721" t="str">
            <v>BENTELER</v>
          </cell>
          <cell r="C721" t="str">
            <v>4MTSA-213 T9150.83.6BENTELER</v>
          </cell>
          <cell r="D721" t="str">
            <v>EUR</v>
          </cell>
          <cell r="E721">
            <v>2728</v>
          </cell>
          <cell r="F721" t="str">
            <v>EUR/t</v>
          </cell>
          <cell r="G721" t="str">
            <v>Yes</v>
          </cell>
          <cell r="H721" t="str">
            <v>Frame contract for 2002</v>
          </cell>
          <cell r="K721" t="str">
            <v>baretube</v>
          </cell>
        </row>
        <row r="722">
          <cell r="A722" t="str">
            <v>4MTSA-213 T9150.83.9</v>
          </cell>
          <cell r="B722" t="str">
            <v>BENTELER</v>
          </cell>
          <cell r="C722" t="str">
            <v>4MTSA-213 T9150.83.9BENTELER</v>
          </cell>
          <cell r="D722" t="str">
            <v>EUR</v>
          </cell>
          <cell r="E722">
            <v>2728</v>
          </cell>
          <cell r="F722" t="str">
            <v>EUR/t</v>
          </cell>
          <cell r="G722" t="str">
            <v>Yes</v>
          </cell>
          <cell r="H722" t="str">
            <v>Frame contract for 2002</v>
          </cell>
          <cell r="K722" t="str">
            <v>baretube</v>
          </cell>
        </row>
        <row r="723">
          <cell r="A723" t="str">
            <v>4MTSA-213 T9150.84.5</v>
          </cell>
          <cell r="B723" t="str">
            <v>BENTELER</v>
          </cell>
          <cell r="C723" t="str">
            <v>4MTSA-213 T9150.84.5BENTELER</v>
          </cell>
          <cell r="D723" t="str">
            <v>EUR</v>
          </cell>
          <cell r="E723">
            <v>2728</v>
          </cell>
          <cell r="F723" t="str">
            <v>EUR/t</v>
          </cell>
          <cell r="G723" t="str">
            <v>Yes</v>
          </cell>
          <cell r="H723" t="str">
            <v>Frame contract for 2002</v>
          </cell>
          <cell r="K723" t="str">
            <v>baretube</v>
          </cell>
        </row>
        <row r="724">
          <cell r="A724" t="str">
            <v>4MTSA-213 T9150.84</v>
          </cell>
          <cell r="B724" t="str">
            <v>BENTELER</v>
          </cell>
          <cell r="C724" t="str">
            <v>4MTSA-213 T9150.84BENTELER</v>
          </cell>
          <cell r="D724" t="str">
            <v>EUR</v>
          </cell>
          <cell r="E724">
            <v>2728</v>
          </cell>
          <cell r="F724" t="str">
            <v>EUR/t</v>
          </cell>
          <cell r="G724" t="str">
            <v>Yes</v>
          </cell>
          <cell r="H724" t="str">
            <v>Frame contract for 2002</v>
          </cell>
          <cell r="K724" t="str">
            <v>baretube</v>
          </cell>
        </row>
        <row r="725">
          <cell r="A725" t="str">
            <v>4MTSA-213 T91572.6</v>
          </cell>
          <cell r="B725" t="str">
            <v>BENTELER</v>
          </cell>
          <cell r="C725" t="str">
            <v>4MTSA-213 T91572.6BENTELER</v>
          </cell>
          <cell r="D725" t="str">
            <v>EUR</v>
          </cell>
          <cell r="E725">
            <v>2974</v>
          </cell>
          <cell r="F725" t="str">
            <v>EUR/t</v>
          </cell>
          <cell r="G725" t="str">
            <v>Yes</v>
          </cell>
          <cell r="H725" t="str">
            <v>Frame contract for 2002</v>
          </cell>
          <cell r="K725" t="str">
            <v>baretube</v>
          </cell>
        </row>
        <row r="726">
          <cell r="A726" t="str">
            <v>4MTSA-213 T91572.9</v>
          </cell>
          <cell r="B726" t="str">
            <v>BENTELER</v>
          </cell>
          <cell r="C726" t="str">
            <v>4MTSA-213 T91572.9BENTELER</v>
          </cell>
          <cell r="D726" t="str">
            <v>EUR</v>
          </cell>
          <cell r="E726">
            <v>2920</v>
          </cell>
          <cell r="F726" t="str">
            <v>EUR/t</v>
          </cell>
          <cell r="G726" t="str">
            <v>Yes</v>
          </cell>
          <cell r="H726" t="str">
            <v>Frame contract for 2002</v>
          </cell>
          <cell r="K726" t="str">
            <v>baretube</v>
          </cell>
        </row>
        <row r="727">
          <cell r="A727" t="str">
            <v>4MTSA-213 T91573.2</v>
          </cell>
          <cell r="B727" t="str">
            <v>BENTELER</v>
          </cell>
          <cell r="C727" t="str">
            <v>4MTSA-213 T91573.2BENTELER</v>
          </cell>
          <cell r="D727" t="str">
            <v>EUR</v>
          </cell>
          <cell r="E727">
            <v>2864</v>
          </cell>
          <cell r="F727" t="str">
            <v>EUR/t</v>
          </cell>
          <cell r="G727" t="str">
            <v>Yes</v>
          </cell>
          <cell r="H727" t="str">
            <v>Frame contract for 2002</v>
          </cell>
          <cell r="K727" t="str">
            <v>baretube</v>
          </cell>
        </row>
        <row r="728">
          <cell r="A728" t="str">
            <v>4MTSA-213 T91573.4</v>
          </cell>
          <cell r="B728" t="str">
            <v>BENTELER</v>
          </cell>
          <cell r="C728" t="str">
            <v>4MTSA-213 T91573.4BENTELER</v>
          </cell>
          <cell r="D728" t="str">
            <v>EUR</v>
          </cell>
          <cell r="E728">
            <v>2864</v>
          </cell>
          <cell r="F728" t="str">
            <v>EUR/t</v>
          </cell>
          <cell r="G728" t="str">
            <v>Yes</v>
          </cell>
          <cell r="H728" t="str">
            <v>Frame contract for 2002</v>
          </cell>
          <cell r="K728" t="str">
            <v>baretube</v>
          </cell>
        </row>
        <row r="729">
          <cell r="A729" t="str">
            <v>4MTSA-213 T91573.6</v>
          </cell>
          <cell r="B729" t="str">
            <v>BENTELER</v>
          </cell>
          <cell r="C729" t="str">
            <v>4MTSA-213 T91573.6BENTELER</v>
          </cell>
          <cell r="D729" t="str">
            <v>EUR</v>
          </cell>
          <cell r="E729">
            <v>2728</v>
          </cell>
          <cell r="F729" t="str">
            <v>EUR/t</v>
          </cell>
          <cell r="G729" t="str">
            <v>Yes</v>
          </cell>
          <cell r="H729" t="str">
            <v>Frame contract for 2002</v>
          </cell>
          <cell r="K729" t="str">
            <v>baretube</v>
          </cell>
        </row>
        <row r="730">
          <cell r="A730" t="str">
            <v>4MTSA-213 T91573.9</v>
          </cell>
          <cell r="B730" t="str">
            <v>BENTELER</v>
          </cell>
          <cell r="C730" t="str">
            <v>4MTSA-213 T91573.9BENTELER</v>
          </cell>
          <cell r="D730" t="str">
            <v>EUR</v>
          </cell>
          <cell r="E730">
            <v>2728</v>
          </cell>
          <cell r="F730" t="str">
            <v>EUR/t</v>
          </cell>
          <cell r="G730" t="str">
            <v>Yes</v>
          </cell>
          <cell r="H730" t="str">
            <v>Frame contract for 2002</v>
          </cell>
          <cell r="K730" t="str">
            <v>baretube</v>
          </cell>
        </row>
        <row r="731">
          <cell r="A731" t="str">
            <v>4MTSA-213 T91574.5</v>
          </cell>
          <cell r="B731" t="str">
            <v>BENTELER</v>
          </cell>
          <cell r="C731" t="str">
            <v>4MTSA-213 T91574.5BENTELER</v>
          </cell>
          <cell r="D731" t="str">
            <v>EUR</v>
          </cell>
          <cell r="E731">
            <v>2728</v>
          </cell>
          <cell r="F731" t="str">
            <v>EUR/t</v>
          </cell>
          <cell r="G731" t="str">
            <v>Yes</v>
          </cell>
          <cell r="H731" t="str">
            <v>Frame contract for 2002</v>
          </cell>
          <cell r="K731" t="str">
            <v>baretube</v>
          </cell>
        </row>
        <row r="732">
          <cell r="A732" t="str">
            <v>4MTSA-213 T91574</v>
          </cell>
          <cell r="B732" t="str">
            <v>BENTELER</v>
          </cell>
          <cell r="C732" t="str">
            <v>4MTSA-213 T91574BENTELER</v>
          </cell>
          <cell r="D732" t="str">
            <v>EUR</v>
          </cell>
          <cell r="E732">
            <v>2728</v>
          </cell>
          <cell r="F732" t="str">
            <v>EUR/t</v>
          </cell>
          <cell r="G732" t="str">
            <v>Yes</v>
          </cell>
          <cell r="H732" t="str">
            <v>Frame contract for 2002</v>
          </cell>
          <cell r="K732" t="str">
            <v>baretube</v>
          </cell>
        </row>
        <row r="733">
          <cell r="A733" t="str">
            <v>4MTSA-213 T91</v>
          </cell>
          <cell r="B733" t="str">
            <v>BENTELER</v>
          </cell>
          <cell r="C733" t="str">
            <v>4MTSA-213 T91BENTELER</v>
          </cell>
          <cell r="D733" t="str">
            <v>EUR</v>
          </cell>
          <cell r="E733">
            <v>0</v>
          </cell>
          <cell r="F733" t="str">
            <v>EUR/t</v>
          </cell>
          <cell r="G733" t="str">
            <v>Yes</v>
          </cell>
          <cell r="H733" t="str">
            <v>Frame contract for 2002</v>
          </cell>
          <cell r="K733" t="str">
            <v>baretube</v>
          </cell>
        </row>
        <row r="734">
          <cell r="A734" t="str">
            <v>4MTWR10 Cr Mo 910</v>
          </cell>
          <cell r="B734" t="str">
            <v>NEM</v>
          </cell>
          <cell r="C734" t="str">
            <v>4MTWR10 Cr Mo 910NEM</v>
          </cell>
          <cell r="D734" t="str">
            <v>EUR</v>
          </cell>
          <cell r="E734">
            <v>0.85</v>
          </cell>
          <cell r="F734" t="str">
            <v>EUR/kg</v>
          </cell>
          <cell r="G734" t="str">
            <v>Yes</v>
          </cell>
          <cell r="H734" t="str">
            <v>wrap around mat's</v>
          </cell>
          <cell r="K734" t="str">
            <v>sq.tube+strip</v>
          </cell>
        </row>
        <row r="735">
          <cell r="A735" t="str">
            <v>4MTWR10 Cr Mo 910</v>
          </cell>
          <cell r="B735" t="str">
            <v>VOGEL</v>
          </cell>
          <cell r="C735" t="str">
            <v>4MTWR10 Cr Mo 910VOGEL</v>
          </cell>
          <cell r="D735" t="str">
            <v>EUR</v>
          </cell>
          <cell r="E735">
            <v>0.9</v>
          </cell>
          <cell r="F735" t="str">
            <v>EUR/kg</v>
          </cell>
          <cell r="G735" t="str">
            <v>Yes</v>
          </cell>
          <cell r="H735" t="str">
            <v>wrap around mat's</v>
          </cell>
          <cell r="K735" t="str">
            <v>sq.tube+strip</v>
          </cell>
        </row>
        <row r="736">
          <cell r="A736" t="str">
            <v>4MTWR13 Cr Mo 44</v>
          </cell>
          <cell r="B736" t="str">
            <v>NEM</v>
          </cell>
          <cell r="C736" t="str">
            <v>4MTWR13 Cr Mo 44NEM</v>
          </cell>
          <cell r="D736" t="str">
            <v>EUR</v>
          </cell>
          <cell r="E736">
            <v>0.68</v>
          </cell>
          <cell r="F736" t="str">
            <v>EUR/kg</v>
          </cell>
          <cell r="G736" t="str">
            <v>Yes</v>
          </cell>
          <cell r="H736" t="str">
            <v>wrap around mat's</v>
          </cell>
          <cell r="K736" t="str">
            <v>sq.tube+strip</v>
          </cell>
        </row>
        <row r="737">
          <cell r="A737" t="str">
            <v>4MTWR13 Cr Mo 44</v>
          </cell>
          <cell r="B737" t="str">
            <v>VOGEL</v>
          </cell>
          <cell r="C737" t="str">
            <v>4MTWR13 Cr Mo 44VOGEL</v>
          </cell>
          <cell r="D737" t="str">
            <v>EUR</v>
          </cell>
          <cell r="E737">
            <v>8</v>
          </cell>
          <cell r="F737" t="str">
            <v>EUR/kg</v>
          </cell>
          <cell r="G737" t="str">
            <v>Yes</v>
          </cell>
          <cell r="H737" t="str">
            <v>wrap around mat's</v>
          </cell>
          <cell r="K737" t="str">
            <v>sq.tube+strip</v>
          </cell>
        </row>
        <row r="738">
          <cell r="A738" t="str">
            <v>4MTWR15 Mo 3</v>
          </cell>
          <cell r="B738" t="str">
            <v>NEM</v>
          </cell>
          <cell r="C738" t="str">
            <v>4MTWR15 Mo 3NEM</v>
          </cell>
          <cell r="D738" t="str">
            <v>EUR</v>
          </cell>
          <cell r="E738">
            <v>0.56999999999999995</v>
          </cell>
          <cell r="F738" t="str">
            <v>EUR/kg</v>
          </cell>
          <cell r="G738" t="str">
            <v>Yes</v>
          </cell>
          <cell r="H738" t="str">
            <v>wrap around mat's</v>
          </cell>
          <cell r="K738" t="str">
            <v>sq.tube+strip</v>
          </cell>
        </row>
        <row r="739">
          <cell r="A739" t="str">
            <v>4MTWR15 Mo 3</v>
          </cell>
          <cell r="B739" t="str">
            <v>VOGEL</v>
          </cell>
          <cell r="C739" t="str">
            <v>4MTWR15 Mo 3VOGEL</v>
          </cell>
          <cell r="D739" t="str">
            <v>EUR</v>
          </cell>
          <cell r="E739">
            <v>0.68</v>
          </cell>
          <cell r="F739" t="str">
            <v>EUR/kg</v>
          </cell>
          <cell r="G739" t="str">
            <v>Yes</v>
          </cell>
          <cell r="H739" t="str">
            <v>wrap around mat's</v>
          </cell>
          <cell r="K739" t="str">
            <v>sq.tube+strip</v>
          </cell>
        </row>
        <row r="740">
          <cell r="A740" t="str">
            <v>4MTWR8</v>
          </cell>
          <cell r="B740" t="str">
            <v>NEM</v>
          </cell>
          <cell r="C740" t="str">
            <v>4MTWR8NEM</v>
          </cell>
          <cell r="D740" t="str">
            <v>EUR</v>
          </cell>
          <cell r="E740" t="str">
            <v>NA</v>
          </cell>
          <cell r="F740" t="str">
            <v>EUR/kg</v>
          </cell>
          <cell r="G740" t="str">
            <v>Yes</v>
          </cell>
          <cell r="H740" t="str">
            <v>wrap around mat's</v>
          </cell>
          <cell r="K740" t="str">
            <v>sq.tube+strip</v>
          </cell>
        </row>
        <row r="741">
          <cell r="A741" t="str">
            <v>4MTWR8</v>
          </cell>
          <cell r="B741" t="str">
            <v>VOGEL</v>
          </cell>
          <cell r="C741" t="str">
            <v>4MTWR8VOGEL</v>
          </cell>
          <cell r="D741" t="str">
            <v>EUR</v>
          </cell>
          <cell r="E741" t="str">
            <v>NA</v>
          </cell>
          <cell r="F741" t="str">
            <v>EUR/kg</v>
          </cell>
          <cell r="G741" t="str">
            <v>Yes</v>
          </cell>
          <cell r="H741" t="str">
            <v>wrap around mat's</v>
          </cell>
          <cell r="K741" t="str">
            <v>sq.tube+strip</v>
          </cell>
        </row>
        <row r="742">
          <cell r="A742" t="str">
            <v>4MTWRAISI 304</v>
          </cell>
          <cell r="B742" t="str">
            <v>NEM</v>
          </cell>
          <cell r="C742" t="str">
            <v>4MTWRAISI 304NEM</v>
          </cell>
          <cell r="D742" t="str">
            <v>EUR</v>
          </cell>
          <cell r="E742">
            <v>1.79</v>
          </cell>
          <cell r="F742" t="str">
            <v>EUR/kg</v>
          </cell>
          <cell r="G742" t="str">
            <v>Yes</v>
          </cell>
          <cell r="H742" t="str">
            <v>rko 20-03</v>
          </cell>
          <cell r="K742" t="str">
            <v>sq.tube+strip</v>
          </cell>
        </row>
        <row r="743">
          <cell r="A743" t="str">
            <v>4MTWRAISI 304</v>
          </cell>
          <cell r="B743" t="str">
            <v>VOGEL</v>
          </cell>
          <cell r="C743" t="str">
            <v>4MTWRAISI 304VOGEL</v>
          </cell>
          <cell r="D743" t="str">
            <v>EUR</v>
          </cell>
          <cell r="E743">
            <v>2.5</v>
          </cell>
          <cell r="F743" t="str">
            <v>EUR/kg</v>
          </cell>
          <cell r="G743" t="str">
            <v>Yes</v>
          </cell>
          <cell r="H743" t="str">
            <v>update 13/5/2000, questimate</v>
          </cell>
          <cell r="K743" t="str">
            <v>sq.tube+strip</v>
          </cell>
        </row>
        <row r="744">
          <cell r="A744" t="str">
            <v>4MTWRAISI 310</v>
          </cell>
          <cell r="B744" t="str">
            <v>NEM</v>
          </cell>
          <cell r="C744" t="str">
            <v>4MTWRAISI 310NEM</v>
          </cell>
          <cell r="D744" t="str">
            <v>EUR</v>
          </cell>
          <cell r="E744">
            <v>11.35</v>
          </cell>
          <cell r="F744" t="str">
            <v>EUR/kg</v>
          </cell>
          <cell r="G744" t="str">
            <v>Yes</v>
          </cell>
          <cell r="H744" t="str">
            <v>update 13/5/2000</v>
          </cell>
          <cell r="K744" t="str">
            <v>sq.tube+strip</v>
          </cell>
        </row>
        <row r="745">
          <cell r="A745" t="str">
            <v>4MTWRAISI 310</v>
          </cell>
          <cell r="B745" t="str">
            <v>VOGEL</v>
          </cell>
          <cell r="C745" t="str">
            <v>4MTWRAISI 310VOGEL</v>
          </cell>
          <cell r="D745" t="str">
            <v>EUR</v>
          </cell>
          <cell r="E745">
            <v>12.5</v>
          </cell>
          <cell r="F745" t="str">
            <v>EUR/kg</v>
          </cell>
          <cell r="G745" t="str">
            <v>Yes</v>
          </cell>
          <cell r="H745" t="str">
            <v>update 13/5/2000, questimate</v>
          </cell>
          <cell r="K745" t="str">
            <v>sq.tube+strip</v>
          </cell>
        </row>
        <row r="746">
          <cell r="A746" t="str">
            <v>4MTWRAISI 409</v>
          </cell>
          <cell r="B746" t="str">
            <v>NEM</v>
          </cell>
          <cell r="C746" t="str">
            <v>4MTWRAISI 409NEM</v>
          </cell>
          <cell r="D746" t="str">
            <v>EUR</v>
          </cell>
          <cell r="E746" t="str">
            <v>NA</v>
          </cell>
          <cell r="F746" t="str">
            <v>EUR/kg</v>
          </cell>
          <cell r="G746" t="str">
            <v>Yes</v>
          </cell>
          <cell r="H746" t="str">
            <v>update 13/5/2000</v>
          </cell>
          <cell r="K746" t="str">
            <v>sq.tube+strip</v>
          </cell>
        </row>
        <row r="747">
          <cell r="A747" t="str">
            <v>4MTWRAISI 409</v>
          </cell>
          <cell r="B747" t="str">
            <v>VOGEL</v>
          </cell>
          <cell r="C747" t="str">
            <v>4MTWRAISI 409VOGEL</v>
          </cell>
          <cell r="D747" t="str">
            <v>EUR</v>
          </cell>
          <cell r="E747" t="str">
            <v>NA</v>
          </cell>
          <cell r="F747" t="str">
            <v>EUR/kg</v>
          </cell>
          <cell r="G747" t="str">
            <v>Yes</v>
          </cell>
          <cell r="H747" t="str">
            <v>update 13/5/2000, questimate</v>
          </cell>
          <cell r="K747" t="str">
            <v>sq.tube+strip</v>
          </cell>
        </row>
        <row r="748">
          <cell r="A748" t="str">
            <v>4MTWR</v>
          </cell>
          <cell r="B748" t="str">
            <v>BySubc</v>
          </cell>
          <cell r="C748" t="str">
            <v>4MTWRBySubc</v>
          </cell>
          <cell r="D748" t="str">
            <v>EUR</v>
          </cell>
          <cell r="E748">
            <v>0</v>
          </cell>
          <cell r="F748" t="str">
            <v>EUR/t</v>
          </cell>
          <cell r="G748" t="str">
            <v>no</v>
          </cell>
          <cell r="H748" t="str">
            <v>mat's included in fabr.rate</v>
          </cell>
          <cell r="K748" t="str">
            <v>mat's</v>
          </cell>
        </row>
        <row r="749">
          <cell r="A749" t="str">
            <v>4MTWRCS</v>
          </cell>
          <cell r="B749" t="str">
            <v>NEM</v>
          </cell>
          <cell r="C749" t="str">
            <v>4MTWRCSNEM</v>
          </cell>
          <cell r="D749" t="str">
            <v>EUR</v>
          </cell>
          <cell r="E749">
            <v>0.35</v>
          </cell>
          <cell r="F749" t="str">
            <v>EUR/kg</v>
          </cell>
          <cell r="G749" t="str">
            <v>Yes</v>
          </cell>
          <cell r="H749" t="str">
            <v>rko 20-03</v>
          </cell>
          <cell r="K749" t="str">
            <v>sq.tube+strip</v>
          </cell>
        </row>
        <row r="750">
          <cell r="A750" t="str">
            <v>4MTWRCS</v>
          </cell>
          <cell r="B750" t="str">
            <v>VOGEL</v>
          </cell>
          <cell r="C750" t="str">
            <v>4MTWRCSVOGEL</v>
          </cell>
          <cell r="D750" t="str">
            <v>EUR</v>
          </cell>
          <cell r="E750">
            <v>0.55000000000000004</v>
          </cell>
          <cell r="F750" t="str">
            <v>EUR/kg</v>
          </cell>
          <cell r="G750" t="str">
            <v>Yes</v>
          </cell>
          <cell r="H750" t="str">
            <v>update 13/5/2000, questimate</v>
          </cell>
          <cell r="K750" t="str">
            <v>sq.tube+strip</v>
          </cell>
        </row>
        <row r="751">
          <cell r="A751" t="str">
            <v>4PIFISA 106 Gr.B</v>
          </cell>
          <cell r="B751" t="str">
            <v>WI</v>
          </cell>
          <cell r="C751" t="str">
            <v>4PIFISA 106 Gr.BWI</v>
          </cell>
          <cell r="D751" t="str">
            <v>EUR</v>
          </cell>
          <cell r="E751">
            <v>2.2999999999999998</v>
          </cell>
          <cell r="F751" t="str">
            <v>EUR/kg</v>
          </cell>
          <cell r="G751" t="str">
            <v>Yes</v>
          </cell>
          <cell r="H751" t="str">
            <v>av. fitting : 90% elbows + 10% T-pieces</v>
          </cell>
          <cell r="K751" t="str">
            <v>pipefittings</v>
          </cell>
        </row>
        <row r="752">
          <cell r="A752" t="str">
            <v>4PIFISA 106 Gr.C</v>
          </cell>
          <cell r="B752" t="str">
            <v>WI</v>
          </cell>
          <cell r="C752" t="str">
            <v>4PIFISA 106 Gr.CWI</v>
          </cell>
          <cell r="D752" t="str">
            <v>EUR</v>
          </cell>
          <cell r="E752">
            <v>2.9</v>
          </cell>
          <cell r="F752" t="str">
            <v>EUR/kg</v>
          </cell>
          <cell r="G752" t="str">
            <v>Yes</v>
          </cell>
          <cell r="H752" t="str">
            <v>av. fitting : 90% elbows + 10% T-pieces</v>
          </cell>
          <cell r="K752" t="str">
            <v>pipefittings</v>
          </cell>
        </row>
        <row r="753">
          <cell r="A753" t="str">
            <v>4PIFISA 312 TP316</v>
          </cell>
          <cell r="B753" t="str">
            <v>WI</v>
          </cell>
          <cell r="C753" t="str">
            <v>4PIFISA 312 TP316WI</v>
          </cell>
          <cell r="D753" t="str">
            <v>EUR</v>
          </cell>
          <cell r="E753">
            <v>34</v>
          </cell>
          <cell r="F753" t="str">
            <v>EUR/kg</v>
          </cell>
          <cell r="G753" t="str">
            <v>Yes</v>
          </cell>
          <cell r="H753" t="str">
            <v>av. fitting : 90% elbows + 10% T-pieces</v>
          </cell>
          <cell r="K753" t="str">
            <v>pipefittings</v>
          </cell>
        </row>
        <row r="754">
          <cell r="A754" t="str">
            <v>4PIFISA 335 P11</v>
          </cell>
          <cell r="B754" t="str">
            <v>WI</v>
          </cell>
          <cell r="C754" t="str">
            <v>4PIFISA 335 P11WI</v>
          </cell>
          <cell r="D754" t="str">
            <v>EUR</v>
          </cell>
          <cell r="E754">
            <v>4.45</v>
          </cell>
          <cell r="F754" t="str">
            <v>EUR/kg</v>
          </cell>
          <cell r="G754" t="str">
            <v>Yes</v>
          </cell>
          <cell r="H754" t="str">
            <v>av. fitting : 90% elbows + 10% T-pieces</v>
          </cell>
          <cell r="K754" t="str">
            <v>pipefittings</v>
          </cell>
        </row>
        <row r="755">
          <cell r="A755" t="str">
            <v>4PIFISA 335 P12</v>
          </cell>
          <cell r="B755" t="str">
            <v>WI</v>
          </cell>
          <cell r="C755" t="str">
            <v>4PIFISA 335 P12WI</v>
          </cell>
          <cell r="D755" t="str">
            <v>EUR</v>
          </cell>
          <cell r="E755">
            <v>6.3</v>
          </cell>
          <cell r="F755" t="str">
            <v>EUR/kg</v>
          </cell>
          <cell r="G755" t="str">
            <v>Yes</v>
          </cell>
          <cell r="H755" t="str">
            <v>as P22</v>
          </cell>
          <cell r="K755" t="str">
            <v>pipefittings</v>
          </cell>
        </row>
        <row r="756">
          <cell r="A756" t="str">
            <v>4PIFISA 335 P1</v>
          </cell>
          <cell r="B756" t="str">
            <v>WI</v>
          </cell>
          <cell r="C756" t="str">
            <v>4PIFISA 335 P1WI</v>
          </cell>
          <cell r="D756" t="str">
            <v>EUR</v>
          </cell>
          <cell r="E756">
            <v>4.3499999999999996</v>
          </cell>
          <cell r="F756" t="str">
            <v>EUR/kg</v>
          </cell>
          <cell r="G756" t="str">
            <v>Yes</v>
          </cell>
          <cell r="H756" t="str">
            <v>as P11</v>
          </cell>
          <cell r="K756" t="str">
            <v>pipefittings</v>
          </cell>
        </row>
        <row r="757">
          <cell r="A757" t="str">
            <v>4PIFISA 335 P22</v>
          </cell>
          <cell r="B757" t="str">
            <v>WI</v>
          </cell>
          <cell r="C757" t="str">
            <v>4PIFISA 335 P22WI</v>
          </cell>
          <cell r="D757" t="str">
            <v>EUR</v>
          </cell>
          <cell r="E757">
            <v>6.3</v>
          </cell>
          <cell r="F757" t="str">
            <v>EUR/kg</v>
          </cell>
          <cell r="G757" t="str">
            <v>Yes</v>
          </cell>
          <cell r="H757" t="str">
            <v>av. fitting : 90% elbows + 10% T-pieces</v>
          </cell>
          <cell r="K757" t="str">
            <v>pipefittings</v>
          </cell>
        </row>
        <row r="758">
          <cell r="A758" t="str">
            <v>4PIFISA 335 P91</v>
          </cell>
          <cell r="B758" t="str">
            <v>WI</v>
          </cell>
          <cell r="C758" t="str">
            <v>4PIFISA 335 P91WI</v>
          </cell>
          <cell r="D758" t="str">
            <v>EUR</v>
          </cell>
          <cell r="E758">
            <v>11</v>
          </cell>
          <cell r="F758" t="str">
            <v>EUR/kg</v>
          </cell>
          <cell r="G758" t="str">
            <v>Yes</v>
          </cell>
          <cell r="H758" t="str">
            <v>av. fitting : 90% elbows + 10% T-pieces</v>
          </cell>
          <cell r="K758" t="str">
            <v>pipefittings</v>
          </cell>
        </row>
        <row r="759">
          <cell r="A759" t="str">
            <v>4PISA 106 Gr.B</v>
          </cell>
          <cell r="B759" t="str">
            <v>WI</v>
          </cell>
          <cell r="C759" t="str">
            <v>4PISA 106 Gr.BWI</v>
          </cell>
          <cell r="D759" t="str">
            <v>EUR</v>
          </cell>
          <cell r="E759">
            <v>0.65</v>
          </cell>
          <cell r="F759" t="str">
            <v>EUR/kg</v>
          </cell>
          <cell r="G759" t="str">
            <v>Yes</v>
          </cell>
          <cell r="H759" t="str">
            <v>linepipe approx 8 inch</v>
          </cell>
          <cell r="K759" t="str">
            <v>linepipe</v>
          </cell>
        </row>
        <row r="760">
          <cell r="A760" t="str">
            <v>4PISA 106 Gr.C</v>
          </cell>
          <cell r="B760" t="str">
            <v>WI</v>
          </cell>
          <cell r="C760" t="str">
            <v>4PISA 106 Gr.CWI</v>
          </cell>
          <cell r="D760" t="str">
            <v>EUR</v>
          </cell>
          <cell r="E760">
            <v>0.86499999999999999</v>
          </cell>
          <cell r="F760" t="str">
            <v>EUR/kg</v>
          </cell>
          <cell r="G760" t="str">
            <v>Yes</v>
          </cell>
          <cell r="H760" t="str">
            <v>linepipe approx 8 inch</v>
          </cell>
          <cell r="K760" t="str">
            <v>linepipe</v>
          </cell>
        </row>
        <row r="761">
          <cell r="A761" t="str">
            <v>4PISA 312 TP316</v>
          </cell>
          <cell r="B761" t="str">
            <v>WI</v>
          </cell>
          <cell r="C761" t="str">
            <v>4PISA 312 TP316WI</v>
          </cell>
          <cell r="D761" t="str">
            <v>EUR</v>
          </cell>
          <cell r="E761">
            <v>6.8</v>
          </cell>
          <cell r="F761" t="str">
            <v>EUR/kg</v>
          </cell>
          <cell r="G761" t="str">
            <v>Yes</v>
          </cell>
          <cell r="H761" t="str">
            <v>linepipe approx 8 inch</v>
          </cell>
          <cell r="K761" t="str">
            <v>linepipe</v>
          </cell>
        </row>
        <row r="762">
          <cell r="A762" t="str">
            <v>4PISA 335 P11</v>
          </cell>
          <cell r="B762" t="str">
            <v>WI</v>
          </cell>
          <cell r="C762" t="str">
            <v>4PISA 335 P11WI</v>
          </cell>
          <cell r="D762" t="str">
            <v>EUR</v>
          </cell>
          <cell r="E762">
            <v>1.1000000000000001</v>
          </cell>
          <cell r="F762" t="str">
            <v>EUR/kg</v>
          </cell>
          <cell r="G762" t="str">
            <v>Yes</v>
          </cell>
          <cell r="H762" t="str">
            <v>linepipe approx 8 inch</v>
          </cell>
          <cell r="K762" t="str">
            <v>linepipe</v>
          </cell>
        </row>
        <row r="763">
          <cell r="A763" t="str">
            <v>4PISA 335 P12</v>
          </cell>
          <cell r="B763" t="str">
            <v>WI</v>
          </cell>
          <cell r="C763" t="str">
            <v>4PISA 335 P12WI</v>
          </cell>
          <cell r="D763" t="str">
            <v>EUR</v>
          </cell>
          <cell r="E763">
            <v>1.32</v>
          </cell>
          <cell r="F763" t="str">
            <v>EUR/kg</v>
          </cell>
          <cell r="G763" t="str">
            <v>Yes</v>
          </cell>
          <cell r="H763" t="str">
            <v>as P22</v>
          </cell>
          <cell r="K763" t="str">
            <v>linepipe</v>
          </cell>
        </row>
        <row r="764">
          <cell r="A764" t="str">
            <v>4PISA 335 P1</v>
          </cell>
          <cell r="B764" t="str">
            <v>WI</v>
          </cell>
          <cell r="C764" t="str">
            <v>4PISA 335 P1WI</v>
          </cell>
          <cell r="D764" t="str">
            <v>EUR</v>
          </cell>
          <cell r="E764">
            <v>1.1000000000000001</v>
          </cell>
          <cell r="F764" t="str">
            <v>EUR/kg</v>
          </cell>
          <cell r="G764" t="str">
            <v>Yes</v>
          </cell>
          <cell r="H764" t="str">
            <v>as P11</v>
          </cell>
          <cell r="K764" t="str">
            <v>linepipe</v>
          </cell>
        </row>
        <row r="765">
          <cell r="A765" t="str">
            <v>4PISA 335 P22</v>
          </cell>
          <cell r="B765" t="str">
            <v>WI</v>
          </cell>
          <cell r="C765" t="str">
            <v>4PISA 335 P22WI</v>
          </cell>
          <cell r="D765" t="str">
            <v>EUR</v>
          </cell>
          <cell r="E765">
            <v>1.32</v>
          </cell>
          <cell r="F765" t="str">
            <v>EUR/kg</v>
          </cell>
          <cell r="G765" t="str">
            <v>Yes</v>
          </cell>
          <cell r="H765" t="str">
            <v>linepipe approx 8 inch</v>
          </cell>
          <cell r="K765" t="str">
            <v>linepipe</v>
          </cell>
        </row>
        <row r="766">
          <cell r="A766" t="str">
            <v>4PISA 335 P91</v>
          </cell>
          <cell r="B766" t="str">
            <v>WI</v>
          </cell>
          <cell r="C766" t="str">
            <v>4PISA 335 P91WI</v>
          </cell>
          <cell r="D766" t="str">
            <v>EUR</v>
          </cell>
          <cell r="E766">
            <v>3.125</v>
          </cell>
          <cell r="F766" t="str">
            <v>EUR/kg</v>
          </cell>
          <cell r="G766" t="str">
            <v>Yes</v>
          </cell>
          <cell r="H766" t="str">
            <v>linepipe approx 8 inch</v>
          </cell>
          <cell r="K766" t="str">
            <v>linepipe</v>
          </cell>
        </row>
        <row r="767">
          <cell r="A767" t="str">
            <v>4TCHCS2.01400</v>
          </cell>
          <cell r="B767" t="str">
            <v>BENDER</v>
          </cell>
          <cell r="C767" t="str">
            <v>4TCHCS2.01400BENDER</v>
          </cell>
          <cell r="D767" t="str">
            <v>EUR</v>
          </cell>
          <cell r="E767">
            <v>198.11</v>
          </cell>
          <cell r="F767" t="str">
            <v>EUR/pcs</v>
          </cell>
          <cell r="G767" t="str">
            <v>Yes</v>
          </cell>
          <cell r="H767" t="str">
            <v>CS uitvoering, harp L=1400 mm</v>
          </cell>
          <cell r="K767" t="str">
            <v>harp suspension</v>
          </cell>
        </row>
        <row r="768">
          <cell r="A768" t="str">
            <v>4TCHCS2.01500</v>
          </cell>
          <cell r="B768" t="str">
            <v>BENDER</v>
          </cell>
          <cell r="C768" t="str">
            <v>4TCHCS2.01500BENDER</v>
          </cell>
          <cell r="D768" t="str">
            <v>EUR</v>
          </cell>
          <cell r="E768">
            <v>199.71</v>
          </cell>
          <cell r="F768" t="str">
            <v>EUR/pcs</v>
          </cell>
          <cell r="G768" t="str">
            <v>Yes</v>
          </cell>
          <cell r="H768" t="str">
            <v>CS uitvoering, harp L=1500 mm</v>
          </cell>
          <cell r="K768" t="str">
            <v>harp suspension</v>
          </cell>
        </row>
        <row r="769">
          <cell r="A769" t="str">
            <v>4TCHCS2.01600</v>
          </cell>
          <cell r="B769" t="str">
            <v>BENDER</v>
          </cell>
          <cell r="C769" t="str">
            <v>4TCHCS2.01600BENDER</v>
          </cell>
          <cell r="D769" t="str">
            <v>EUR</v>
          </cell>
          <cell r="E769">
            <v>201.32</v>
          </cell>
          <cell r="F769" t="str">
            <v>EUR/pcs</v>
          </cell>
          <cell r="G769" t="str">
            <v>Yes</v>
          </cell>
          <cell r="H769" t="str">
            <v>CS uitvoering, harp L=1600 mm</v>
          </cell>
          <cell r="K769" t="str">
            <v>harp suspension</v>
          </cell>
        </row>
        <row r="770">
          <cell r="A770" t="str">
            <v>4TCHCS2.01700</v>
          </cell>
          <cell r="B770" t="str">
            <v>BENDER</v>
          </cell>
          <cell r="C770" t="str">
            <v>4TCHCS2.01700BENDER</v>
          </cell>
          <cell r="D770" t="str">
            <v>EUR</v>
          </cell>
          <cell r="E770">
            <v>202.92</v>
          </cell>
          <cell r="F770" t="str">
            <v>EUR/pcs</v>
          </cell>
          <cell r="G770" t="str">
            <v>Yes</v>
          </cell>
          <cell r="H770" t="str">
            <v>CS uitvoering, harp L=1700 mm</v>
          </cell>
          <cell r="K770" t="str">
            <v>harp suspension</v>
          </cell>
        </row>
        <row r="771">
          <cell r="A771" t="str">
            <v>4TCHCS2.01800</v>
          </cell>
          <cell r="B771" t="str">
            <v>BENDER</v>
          </cell>
          <cell r="C771" t="str">
            <v>4TCHCS2.01800BENDER</v>
          </cell>
          <cell r="D771" t="str">
            <v>EUR</v>
          </cell>
          <cell r="E771">
            <v>204.52</v>
          </cell>
          <cell r="F771" t="str">
            <v>EUR/pcs</v>
          </cell>
          <cell r="G771" t="str">
            <v>Yes</v>
          </cell>
          <cell r="H771" t="str">
            <v>CS uitvoering, harp L=1800 mm</v>
          </cell>
          <cell r="K771" t="str">
            <v>harp suspension</v>
          </cell>
        </row>
        <row r="772">
          <cell r="A772" t="str">
            <v>4TCHCSSL</v>
          </cell>
          <cell r="B772" t="str">
            <v>BENDER</v>
          </cell>
          <cell r="C772" t="str">
            <v>4TCHCSSLBENDER</v>
          </cell>
          <cell r="D772" t="str">
            <v>EUR</v>
          </cell>
          <cell r="E772">
            <v>53.86</v>
          </cell>
          <cell r="F772" t="str">
            <v>EUR/pcs</v>
          </cell>
          <cell r="G772" t="str">
            <v>Yes</v>
          </cell>
          <cell r="H772" t="str">
            <v>cs std uitvoeing harp &lt;13 t</v>
          </cell>
          <cell r="K772" t="str">
            <v>harp suspension</v>
          </cell>
        </row>
        <row r="773">
          <cell r="A773" t="str">
            <v>4TCHF912.51400</v>
          </cell>
          <cell r="B773" t="str">
            <v>BENDER</v>
          </cell>
          <cell r="C773" t="str">
            <v>4TCHF912.51400BENDER</v>
          </cell>
          <cell r="D773" t="str">
            <v>EUR</v>
          </cell>
          <cell r="E773">
            <v>648.05999999999995</v>
          </cell>
          <cell r="F773" t="str">
            <v>EUR/pcs</v>
          </cell>
          <cell r="G773" t="str">
            <v>Yes</v>
          </cell>
          <cell r="H773" t="str">
            <v>F91 uitvoering, harp L=1400 mm</v>
          </cell>
          <cell r="K773" t="str">
            <v>harp suspension</v>
          </cell>
        </row>
        <row r="774">
          <cell r="A774" t="str">
            <v>4TCHF912.51500</v>
          </cell>
          <cell r="B774" t="str">
            <v>BENDER</v>
          </cell>
          <cell r="C774" t="str">
            <v>4TCHF912.51500BENDER</v>
          </cell>
          <cell r="D774" t="str">
            <v>EUR</v>
          </cell>
          <cell r="E774">
            <v>660.89</v>
          </cell>
          <cell r="F774" t="str">
            <v>EUR/pcs</v>
          </cell>
          <cell r="G774" t="str">
            <v>Yes</v>
          </cell>
          <cell r="H774" t="str">
            <v>F91 uitvoering, harp L=1500 mm</v>
          </cell>
          <cell r="K774" t="str">
            <v>harp suspension</v>
          </cell>
        </row>
        <row r="775">
          <cell r="A775" t="str">
            <v>4TCHF912.51600</v>
          </cell>
          <cell r="B775" t="str">
            <v>BENDER</v>
          </cell>
          <cell r="C775" t="str">
            <v>4TCHF912.51600BENDER</v>
          </cell>
          <cell r="D775" t="str">
            <v>EUR</v>
          </cell>
          <cell r="E775">
            <v>673.73</v>
          </cell>
          <cell r="F775" t="str">
            <v>EUR/pcs</v>
          </cell>
          <cell r="G775" t="str">
            <v>Yes</v>
          </cell>
          <cell r="H775" t="str">
            <v>F91 uitvoering, harp L=1600 mm</v>
          </cell>
          <cell r="K775" t="str">
            <v>harp suspension</v>
          </cell>
        </row>
        <row r="776">
          <cell r="A776" t="str">
            <v>4TCHF912.51700</v>
          </cell>
          <cell r="B776" t="str">
            <v>BENDER</v>
          </cell>
          <cell r="C776" t="str">
            <v>4TCHF912.51700BENDER</v>
          </cell>
          <cell r="D776" t="str">
            <v>EUR</v>
          </cell>
          <cell r="E776">
            <v>686.56</v>
          </cell>
          <cell r="F776" t="str">
            <v>EUR/pcs</v>
          </cell>
          <cell r="G776" t="str">
            <v>Yes</v>
          </cell>
          <cell r="H776" t="str">
            <v>F91 uitvoering, harp L=1700 mm</v>
          </cell>
          <cell r="K776" t="str">
            <v>harp suspension</v>
          </cell>
        </row>
        <row r="777">
          <cell r="A777" t="str">
            <v>4TCHF912.51800</v>
          </cell>
          <cell r="B777" t="str">
            <v>BENDER</v>
          </cell>
          <cell r="C777" t="str">
            <v>4TCHF912.51800BENDER</v>
          </cell>
          <cell r="D777" t="str">
            <v>EUR</v>
          </cell>
          <cell r="E777">
            <v>699.39</v>
          </cell>
          <cell r="F777" t="str">
            <v>EUR/pcs</v>
          </cell>
          <cell r="G777" t="str">
            <v>Yes</v>
          </cell>
          <cell r="H777" t="str">
            <v>F91 uitvoering, harp L=1800 mm</v>
          </cell>
          <cell r="K777" t="str">
            <v>harp suspension</v>
          </cell>
        </row>
        <row r="778">
          <cell r="A778" t="str">
            <v>4TCHF91SL</v>
          </cell>
          <cell r="B778" t="str">
            <v>BENDER</v>
          </cell>
          <cell r="C778" t="str">
            <v>4TCHF91SLBENDER</v>
          </cell>
          <cell r="D778" t="str">
            <v>EUR</v>
          </cell>
          <cell r="E778">
            <v>59.12</v>
          </cell>
          <cell r="F778" t="str">
            <v>EUR/pcs</v>
          </cell>
          <cell r="G778" t="str">
            <v>Yes</v>
          </cell>
          <cell r="H778" t="str">
            <v>F91 add. for spring loaded type</v>
          </cell>
          <cell r="K778" t="str">
            <v>harp suspension</v>
          </cell>
        </row>
        <row r="779">
          <cell r="A779" t="str">
            <v>4TF</v>
          </cell>
          <cell r="B779" t="str">
            <v>BySubc</v>
          </cell>
          <cell r="C779" t="str">
            <v>4TFBySubc</v>
          </cell>
          <cell r="D779" t="str">
            <v>EUR</v>
          </cell>
          <cell r="E779">
            <v>0</v>
          </cell>
          <cell r="F779" t="str">
            <v>EUR/t</v>
          </cell>
          <cell r="G779" t="str">
            <v>no</v>
          </cell>
          <cell r="H779" t="str">
            <v>mat's included in fabr.rate</v>
          </cell>
          <cell r="K779" t="str">
            <v>mat's</v>
          </cell>
        </row>
        <row r="780">
          <cell r="A780" t="str">
            <v>4TFCS100.8</v>
          </cell>
          <cell r="B780" t="str">
            <v>ROSINK</v>
          </cell>
          <cell r="C780" t="str">
            <v>4TFCS100.8ROSINK</v>
          </cell>
          <cell r="D780" t="str">
            <v>EUR</v>
          </cell>
          <cell r="E780">
            <v>1.5</v>
          </cell>
          <cell r="F780" t="str">
            <v>EUR/kg</v>
          </cell>
          <cell r="G780" t="str">
            <v>Yes</v>
          </cell>
          <cell r="H780" t="str">
            <v>tube finning CS  VH 10 ; VD 0.8</v>
          </cell>
          <cell r="K780" t="str">
            <v>finning</v>
          </cell>
        </row>
        <row r="781">
          <cell r="A781" t="str">
            <v>4TFCS100.8</v>
          </cell>
          <cell r="B781" t="str">
            <v>WI</v>
          </cell>
          <cell r="C781" t="str">
            <v>4TFCS100.8WI</v>
          </cell>
          <cell r="D781" t="str">
            <v>EUR</v>
          </cell>
          <cell r="E781">
            <v>1.45</v>
          </cell>
          <cell r="F781" t="str">
            <v>EUR/kg</v>
          </cell>
          <cell r="G781" t="str">
            <v>Yes</v>
          </cell>
          <cell r="H781" t="str">
            <v>tube finning CS  VH 10 ; VD 0.8</v>
          </cell>
          <cell r="K781" t="str">
            <v>finning</v>
          </cell>
        </row>
        <row r="782">
          <cell r="A782" t="str">
            <v>4TFCS101.0</v>
          </cell>
          <cell r="B782" t="str">
            <v>ROSINK</v>
          </cell>
          <cell r="C782" t="str">
            <v>4TFCS101.0ROSINK</v>
          </cell>
          <cell r="D782" t="str">
            <v>EUR</v>
          </cell>
          <cell r="E782">
            <v>1.35</v>
          </cell>
          <cell r="F782" t="str">
            <v>EUR/kg</v>
          </cell>
          <cell r="G782" t="str">
            <v>Yes</v>
          </cell>
          <cell r="H782" t="str">
            <v>tube finning CS  VH 10 ; VD 1 mm</v>
          </cell>
          <cell r="K782" t="str">
            <v>finning</v>
          </cell>
        </row>
        <row r="783">
          <cell r="A783" t="str">
            <v>4TFCS101.0</v>
          </cell>
          <cell r="B783" t="str">
            <v>WI</v>
          </cell>
          <cell r="C783" t="str">
            <v>4TFCS101.0WI</v>
          </cell>
          <cell r="D783" t="str">
            <v>EUR</v>
          </cell>
          <cell r="E783">
            <v>1.36</v>
          </cell>
          <cell r="F783" t="str">
            <v>EUR/kg</v>
          </cell>
          <cell r="G783" t="str">
            <v>Yes</v>
          </cell>
          <cell r="H783" t="str">
            <v>tube finning CS  VH 10 ; VD 1 mm</v>
          </cell>
          <cell r="K783" t="str">
            <v>finning</v>
          </cell>
        </row>
        <row r="784">
          <cell r="A784" t="str">
            <v>4TFCS101.3</v>
          </cell>
          <cell r="B784" t="str">
            <v>ROSINK</v>
          </cell>
          <cell r="C784" t="str">
            <v>4TFCS101.3ROSINK</v>
          </cell>
          <cell r="D784" t="str">
            <v>EUR</v>
          </cell>
          <cell r="E784">
            <v>1.3</v>
          </cell>
          <cell r="F784" t="str">
            <v>EUR/kg</v>
          </cell>
          <cell r="G784" t="str">
            <v>Yes</v>
          </cell>
          <cell r="H784" t="str">
            <v>tube finning CS  VH 10 ; VD 1.3mm</v>
          </cell>
          <cell r="K784" t="str">
            <v>finning</v>
          </cell>
        </row>
        <row r="785">
          <cell r="A785" t="str">
            <v>4TFCS101.3</v>
          </cell>
          <cell r="B785" t="str">
            <v>WI</v>
          </cell>
          <cell r="C785" t="str">
            <v>4TFCS101.3WI</v>
          </cell>
          <cell r="D785" t="str">
            <v>EUR</v>
          </cell>
          <cell r="E785">
            <v>1.36</v>
          </cell>
          <cell r="F785" t="str">
            <v>EUR/kg</v>
          </cell>
          <cell r="G785" t="str">
            <v>Yes</v>
          </cell>
          <cell r="H785" t="str">
            <v>tube finning CS  VH 10 ; VD 1.3mm</v>
          </cell>
          <cell r="K785" t="str">
            <v>finning</v>
          </cell>
        </row>
        <row r="786">
          <cell r="A786" t="str">
            <v>4TFCS130.8</v>
          </cell>
          <cell r="B786" t="str">
            <v>ROSINK</v>
          </cell>
          <cell r="C786" t="str">
            <v>4TFCS130.8ROSINK</v>
          </cell>
          <cell r="D786" t="str">
            <v>EUR</v>
          </cell>
          <cell r="E786">
            <v>1.3</v>
          </cell>
          <cell r="F786" t="str">
            <v>EUR/kg</v>
          </cell>
          <cell r="G786" t="str">
            <v>Yes</v>
          </cell>
          <cell r="H786" t="str">
            <v>tube finning CS  VH 13 ; VD 0.8</v>
          </cell>
          <cell r="K786" t="str">
            <v>finning</v>
          </cell>
        </row>
        <row r="787">
          <cell r="A787" t="str">
            <v>4TFCS130.8</v>
          </cell>
          <cell r="B787" t="str">
            <v>WI</v>
          </cell>
          <cell r="C787" t="str">
            <v>4TFCS130.8WI</v>
          </cell>
          <cell r="D787" t="str">
            <v>EUR</v>
          </cell>
          <cell r="E787">
            <v>1.18</v>
          </cell>
          <cell r="F787" t="str">
            <v>EUR/kg</v>
          </cell>
          <cell r="G787" t="str">
            <v>Yes</v>
          </cell>
          <cell r="H787" t="str">
            <v>tube finning CS  VH 13 ; VD 0.8</v>
          </cell>
          <cell r="K787" t="str">
            <v>finning</v>
          </cell>
        </row>
        <row r="788">
          <cell r="A788" t="str">
            <v>4TFCS131.0</v>
          </cell>
          <cell r="B788" t="str">
            <v>ROSINK</v>
          </cell>
          <cell r="C788" t="str">
            <v>4TFCS131.0ROSINK</v>
          </cell>
          <cell r="D788" t="str">
            <v>EUR</v>
          </cell>
          <cell r="E788">
            <v>1.1499999999999999</v>
          </cell>
          <cell r="F788" t="str">
            <v>EUR/kg</v>
          </cell>
          <cell r="G788" t="str">
            <v>Yes</v>
          </cell>
          <cell r="H788" t="str">
            <v>tube finning CS  VH 13 ; VD 1 mm</v>
          </cell>
          <cell r="K788" t="str">
            <v>finning</v>
          </cell>
        </row>
        <row r="789">
          <cell r="A789" t="str">
            <v>4TFCS131.0</v>
          </cell>
          <cell r="B789" t="str">
            <v>WI</v>
          </cell>
          <cell r="C789" t="str">
            <v>4TFCS131.0WI</v>
          </cell>
          <cell r="D789" t="str">
            <v>EUR</v>
          </cell>
          <cell r="E789">
            <v>1.24</v>
          </cell>
          <cell r="F789" t="str">
            <v>EUR/kg</v>
          </cell>
          <cell r="G789" t="str">
            <v>Yes</v>
          </cell>
          <cell r="H789" t="str">
            <v>tube finning CS  VH 13 ; VD 1 mm</v>
          </cell>
          <cell r="K789" t="str">
            <v>finning</v>
          </cell>
        </row>
        <row r="790">
          <cell r="A790" t="str">
            <v>4TFCS131.3</v>
          </cell>
          <cell r="B790" t="str">
            <v>ROSINK</v>
          </cell>
          <cell r="C790" t="str">
            <v>4TFCS131.3ROSINK</v>
          </cell>
          <cell r="D790" t="str">
            <v>EUR</v>
          </cell>
          <cell r="E790">
            <v>1.1000000000000001</v>
          </cell>
          <cell r="F790" t="str">
            <v>EUR/kg</v>
          </cell>
          <cell r="G790" t="str">
            <v>Yes</v>
          </cell>
          <cell r="H790" t="str">
            <v>tube finning CS  VH 13 ; VD 1.3mm</v>
          </cell>
          <cell r="K790" t="str">
            <v>finning</v>
          </cell>
        </row>
        <row r="791">
          <cell r="A791" t="str">
            <v>4TFCS131.3</v>
          </cell>
          <cell r="B791" t="str">
            <v>WI</v>
          </cell>
          <cell r="C791" t="str">
            <v>4TFCS131.3WI</v>
          </cell>
          <cell r="D791" t="str">
            <v>EUR</v>
          </cell>
          <cell r="E791">
            <v>1.18</v>
          </cell>
          <cell r="F791" t="str">
            <v>EUR/kg</v>
          </cell>
          <cell r="G791" t="str">
            <v>Yes</v>
          </cell>
          <cell r="H791" t="str">
            <v>tube finning CS  VH 13 ; VD 1.3mm</v>
          </cell>
          <cell r="K791" t="str">
            <v>finning</v>
          </cell>
        </row>
        <row r="792">
          <cell r="A792" t="str">
            <v>4TFCS160.8</v>
          </cell>
          <cell r="B792" t="str">
            <v>ROSINK</v>
          </cell>
          <cell r="C792" t="str">
            <v>4TFCS160.8ROSINK</v>
          </cell>
          <cell r="D792" t="str">
            <v>EUR</v>
          </cell>
          <cell r="E792">
            <v>1.25</v>
          </cell>
          <cell r="F792" t="str">
            <v>EUR/kg</v>
          </cell>
          <cell r="G792" t="str">
            <v>Yes</v>
          </cell>
          <cell r="H792" t="str">
            <v>tube finning CS  VH 16 ; VD 0.8</v>
          </cell>
          <cell r="K792" t="str">
            <v>finning</v>
          </cell>
        </row>
        <row r="793">
          <cell r="A793" t="str">
            <v>4TFCS160.8</v>
          </cell>
          <cell r="B793" t="str">
            <v>WI</v>
          </cell>
          <cell r="C793" t="str">
            <v>4TFCS160.8WI</v>
          </cell>
          <cell r="D793" t="str">
            <v>EUR</v>
          </cell>
          <cell r="E793">
            <v>1.18</v>
          </cell>
          <cell r="F793" t="str">
            <v>EUR/kg</v>
          </cell>
          <cell r="G793" t="str">
            <v>Yes</v>
          </cell>
          <cell r="H793" t="str">
            <v>tube finning CS  VH 16 ; VD 0.8</v>
          </cell>
          <cell r="K793" t="str">
            <v>finning</v>
          </cell>
        </row>
        <row r="794">
          <cell r="A794" t="str">
            <v>4TFCS161.0</v>
          </cell>
          <cell r="B794" t="str">
            <v>ROSINK</v>
          </cell>
          <cell r="C794" t="str">
            <v>4TFCS161.0ROSINK</v>
          </cell>
          <cell r="D794" t="str">
            <v>EUR</v>
          </cell>
          <cell r="E794">
            <v>1.05</v>
          </cell>
          <cell r="F794" t="str">
            <v>EUR/kg</v>
          </cell>
          <cell r="G794" t="str">
            <v>Yes</v>
          </cell>
          <cell r="H794" t="str">
            <v>tube finning CS  VH 16 ; VD 1 mm</v>
          </cell>
          <cell r="K794" t="str">
            <v>finning</v>
          </cell>
        </row>
        <row r="795">
          <cell r="A795" t="str">
            <v>4TFCS161.0</v>
          </cell>
          <cell r="B795" t="str">
            <v>WI</v>
          </cell>
          <cell r="C795" t="str">
            <v>4TFCS161.0WI</v>
          </cell>
          <cell r="D795" t="str">
            <v>EUR</v>
          </cell>
          <cell r="E795">
            <v>1.1599999999999999</v>
          </cell>
          <cell r="F795" t="str">
            <v>EUR/kg</v>
          </cell>
          <cell r="G795" t="str">
            <v>Yes</v>
          </cell>
          <cell r="H795" t="str">
            <v>tube finning CS  VH 16 ; VD 1 mm</v>
          </cell>
          <cell r="K795" t="str">
            <v>finning</v>
          </cell>
        </row>
        <row r="796">
          <cell r="A796" t="str">
            <v>4TFCS161.3</v>
          </cell>
          <cell r="B796" t="str">
            <v>ROSINK</v>
          </cell>
          <cell r="C796" t="str">
            <v>4TFCS161.3ROSINK</v>
          </cell>
          <cell r="D796" t="str">
            <v>EUR</v>
          </cell>
          <cell r="E796">
            <v>1</v>
          </cell>
          <cell r="F796" t="str">
            <v>EUR/kg</v>
          </cell>
          <cell r="G796" t="str">
            <v>Yes</v>
          </cell>
          <cell r="H796" t="str">
            <v>tube finning CS  VH 16 ; VD 1.3mm</v>
          </cell>
          <cell r="K796" t="str">
            <v>finning</v>
          </cell>
        </row>
        <row r="797">
          <cell r="A797" t="str">
            <v>4TFCS161.3</v>
          </cell>
          <cell r="B797" t="str">
            <v>WI</v>
          </cell>
          <cell r="C797" t="str">
            <v>4TFCS161.3WI</v>
          </cell>
          <cell r="D797" t="str">
            <v>EUR</v>
          </cell>
          <cell r="E797">
            <v>1.02</v>
          </cell>
          <cell r="F797" t="str">
            <v>EUR/kg</v>
          </cell>
          <cell r="G797" t="str">
            <v>Yes</v>
          </cell>
          <cell r="H797" t="str">
            <v>tube finning CS  VH 16 ; VD 1.3mm</v>
          </cell>
          <cell r="K797" t="str">
            <v>finning</v>
          </cell>
        </row>
        <row r="798">
          <cell r="A798" t="str">
            <v>4TFCS190.8</v>
          </cell>
          <cell r="B798" t="str">
            <v>ROSINK</v>
          </cell>
          <cell r="C798" t="str">
            <v>4TFCS190.8ROSINK</v>
          </cell>
          <cell r="D798" t="str">
            <v>EUR</v>
          </cell>
          <cell r="E798">
            <v>1.25</v>
          </cell>
          <cell r="F798" t="str">
            <v>EUR/kg</v>
          </cell>
          <cell r="G798" t="str">
            <v>Yes</v>
          </cell>
          <cell r="H798" t="str">
            <v>tube finning CS  VH 19 ; VD 0.8</v>
          </cell>
          <cell r="K798" t="str">
            <v>finning</v>
          </cell>
        </row>
        <row r="799">
          <cell r="A799" t="str">
            <v>4TFCS190.8</v>
          </cell>
          <cell r="B799" t="str">
            <v>WI</v>
          </cell>
          <cell r="C799" t="str">
            <v>4TFCS190.8WI</v>
          </cell>
          <cell r="D799" t="str">
            <v>EUR</v>
          </cell>
          <cell r="E799">
            <v>1.1299999999999999</v>
          </cell>
          <cell r="F799" t="str">
            <v>EUR/kg</v>
          </cell>
          <cell r="G799" t="str">
            <v>Yes</v>
          </cell>
          <cell r="H799" t="str">
            <v>tube finning CS  VH 19 ; VD 0.8</v>
          </cell>
          <cell r="K799" t="str">
            <v>finning</v>
          </cell>
        </row>
        <row r="800">
          <cell r="A800" t="str">
            <v>4TFCS191.0</v>
          </cell>
          <cell r="B800" t="str">
            <v>ROSINK</v>
          </cell>
          <cell r="C800" t="str">
            <v>4TFCS191.0ROSINK</v>
          </cell>
          <cell r="D800" t="str">
            <v>EUR</v>
          </cell>
          <cell r="E800">
            <v>1.05</v>
          </cell>
          <cell r="F800" t="str">
            <v>EUR/kg</v>
          </cell>
          <cell r="G800" t="str">
            <v>Yes</v>
          </cell>
          <cell r="H800" t="str">
            <v>tube finning CS  VH 19 ; VD 1 mm</v>
          </cell>
          <cell r="K800" t="str">
            <v>finning</v>
          </cell>
        </row>
        <row r="801">
          <cell r="A801" t="str">
            <v>4TFCS191.0</v>
          </cell>
          <cell r="B801" t="str">
            <v>WI</v>
          </cell>
          <cell r="C801" t="str">
            <v>4TFCS191.0WI</v>
          </cell>
          <cell r="D801" t="str">
            <v>EUR</v>
          </cell>
          <cell r="E801">
            <v>1.04</v>
          </cell>
          <cell r="F801" t="str">
            <v>EUR/kg</v>
          </cell>
          <cell r="G801" t="str">
            <v>Yes</v>
          </cell>
          <cell r="H801" t="str">
            <v>tube finning CS  VH 19 ; VD 1 mm</v>
          </cell>
          <cell r="K801" t="str">
            <v>finning</v>
          </cell>
        </row>
        <row r="802">
          <cell r="A802" t="str">
            <v>4TFCS191.3</v>
          </cell>
          <cell r="B802" t="str">
            <v>ROSINK</v>
          </cell>
          <cell r="C802" t="str">
            <v>4TFCS191.3ROSINK</v>
          </cell>
          <cell r="D802" t="str">
            <v>EUR</v>
          </cell>
          <cell r="E802">
            <v>1</v>
          </cell>
          <cell r="F802" t="str">
            <v>EUR/kg</v>
          </cell>
          <cell r="G802" t="str">
            <v>Yes</v>
          </cell>
          <cell r="H802" t="str">
            <v>tube finning CS  VH 19 ; VD 1.3mm</v>
          </cell>
          <cell r="K802" t="str">
            <v>finning</v>
          </cell>
        </row>
        <row r="803">
          <cell r="A803" t="str">
            <v>4TFCS191.3</v>
          </cell>
          <cell r="B803" t="str">
            <v>WI</v>
          </cell>
          <cell r="C803" t="str">
            <v>4TFCS191.3WI</v>
          </cell>
          <cell r="D803" t="str">
            <v>EUR</v>
          </cell>
          <cell r="E803">
            <v>1.02</v>
          </cell>
          <cell r="F803" t="str">
            <v>EUR/kg</v>
          </cell>
          <cell r="G803" t="str">
            <v>Yes</v>
          </cell>
          <cell r="H803" t="str">
            <v>tube finning CS  VH 19 ; VD 1.3mm</v>
          </cell>
          <cell r="K803" t="str">
            <v>finning</v>
          </cell>
        </row>
        <row r="804">
          <cell r="A804" t="str">
            <v>4TFCS80.8</v>
          </cell>
          <cell r="B804" t="str">
            <v>ROSINK</v>
          </cell>
          <cell r="C804" t="str">
            <v>4TFCS80.8ROSINK</v>
          </cell>
          <cell r="D804" t="str">
            <v>EUR</v>
          </cell>
          <cell r="E804">
            <v>1.7</v>
          </cell>
          <cell r="F804" t="str">
            <v>EUR/kg</v>
          </cell>
          <cell r="G804" t="str">
            <v>Yes</v>
          </cell>
          <cell r="H804" t="str">
            <v>tube finning CS  VH 8 ; VD 0.8</v>
          </cell>
          <cell r="K804" t="str">
            <v>finning</v>
          </cell>
        </row>
        <row r="805">
          <cell r="A805" t="str">
            <v>4TFCS80.8</v>
          </cell>
          <cell r="B805" t="str">
            <v>WI</v>
          </cell>
          <cell r="C805" t="str">
            <v>4TFCS80.8WI</v>
          </cell>
          <cell r="D805" t="str">
            <v>EUR</v>
          </cell>
          <cell r="E805">
            <v>1.5</v>
          </cell>
          <cell r="F805" t="str">
            <v>EUR/kg</v>
          </cell>
          <cell r="G805" t="str">
            <v>Yes</v>
          </cell>
          <cell r="H805" t="str">
            <v>tube finning CS  VH 8 ; VD 0.8</v>
          </cell>
          <cell r="K805" t="str">
            <v>finning</v>
          </cell>
        </row>
        <row r="806">
          <cell r="A806" t="str">
            <v>4TFCS81.0</v>
          </cell>
          <cell r="B806" t="str">
            <v>ROSINK</v>
          </cell>
          <cell r="C806" t="str">
            <v>4TFCS81.0ROSINK</v>
          </cell>
          <cell r="D806" t="str">
            <v>EUR</v>
          </cell>
          <cell r="E806">
            <v>1.5</v>
          </cell>
          <cell r="F806" t="str">
            <v>EUR/kg</v>
          </cell>
          <cell r="G806" t="str">
            <v>Yes</v>
          </cell>
          <cell r="H806" t="str">
            <v>tube finning CS  VH 8 ; VD 1 mm</v>
          </cell>
          <cell r="K806" t="str">
            <v>finning</v>
          </cell>
        </row>
        <row r="807">
          <cell r="A807" t="str">
            <v>4TFCS81.0</v>
          </cell>
          <cell r="B807" t="str">
            <v>WI</v>
          </cell>
          <cell r="C807" t="str">
            <v>4TFCS81.0WI</v>
          </cell>
          <cell r="D807" t="str">
            <v>EUR</v>
          </cell>
          <cell r="E807">
            <v>1.45</v>
          </cell>
          <cell r="F807" t="str">
            <v>EUR/kg</v>
          </cell>
          <cell r="G807" t="str">
            <v>Yes</v>
          </cell>
          <cell r="H807" t="str">
            <v>tube finning CS  VH 8 ; VD 1 mm</v>
          </cell>
          <cell r="K807" t="str">
            <v>finning</v>
          </cell>
        </row>
        <row r="808">
          <cell r="A808" t="str">
            <v>4TFCS81.3</v>
          </cell>
          <cell r="B808" t="str">
            <v>ROSINK</v>
          </cell>
          <cell r="C808" t="str">
            <v>4TFCS81.3ROSINK</v>
          </cell>
          <cell r="D808" t="str">
            <v>EUR</v>
          </cell>
          <cell r="E808">
            <v>1.45</v>
          </cell>
          <cell r="F808" t="str">
            <v>EUR/kg</v>
          </cell>
          <cell r="G808" t="str">
            <v>Yes</v>
          </cell>
          <cell r="H808" t="str">
            <v>tube finning CS  VH 8 ; VD 1.3mm</v>
          </cell>
          <cell r="K808" t="str">
            <v>finning</v>
          </cell>
        </row>
        <row r="809">
          <cell r="A809" t="str">
            <v>4TFCS81.3</v>
          </cell>
          <cell r="B809" t="str">
            <v>WI</v>
          </cell>
          <cell r="C809" t="str">
            <v>4TFCS81.3WI</v>
          </cell>
          <cell r="D809" t="str">
            <v>EUR</v>
          </cell>
          <cell r="E809">
            <v>1.45</v>
          </cell>
          <cell r="F809" t="str">
            <v>EUR/kg</v>
          </cell>
          <cell r="G809" t="str">
            <v>Yes</v>
          </cell>
          <cell r="H809" t="str">
            <v>tube finning CS  VH 8 ; VD 1.3mm</v>
          </cell>
          <cell r="K809" t="str">
            <v>finning</v>
          </cell>
        </row>
        <row r="810">
          <cell r="A810" t="str">
            <v>4TFT409100.8</v>
          </cell>
          <cell r="B810" t="str">
            <v>ROSINK</v>
          </cell>
          <cell r="C810" t="str">
            <v>4TFT409100.8ROSINK</v>
          </cell>
          <cell r="D810" t="str">
            <v>EUR</v>
          </cell>
          <cell r="E810" t="str">
            <v>NA</v>
          </cell>
          <cell r="F810" t="str">
            <v>EUR/kg</v>
          </cell>
          <cell r="G810" t="str">
            <v>Yes</v>
          </cell>
          <cell r="H810" t="str">
            <v>tube finning 409  VH 10 ; VD 0.8</v>
          </cell>
          <cell r="K810" t="str">
            <v>finning</v>
          </cell>
        </row>
        <row r="811">
          <cell r="A811" t="str">
            <v>4TFT409100.8</v>
          </cell>
          <cell r="B811" t="str">
            <v>WI</v>
          </cell>
          <cell r="C811" t="str">
            <v>4TFT409100.8WI</v>
          </cell>
          <cell r="D811" t="str">
            <v>EUR</v>
          </cell>
          <cell r="E811" t="str">
            <v>NA</v>
          </cell>
          <cell r="F811" t="str">
            <v>EUR/kg</v>
          </cell>
          <cell r="G811" t="str">
            <v>Yes</v>
          </cell>
          <cell r="H811" t="str">
            <v>tube finning 409  VH 10 ; VD 0.8</v>
          </cell>
          <cell r="K811" t="str">
            <v>finning</v>
          </cell>
        </row>
        <row r="812">
          <cell r="A812" t="str">
            <v>4TFT409101.0</v>
          </cell>
          <cell r="B812" t="str">
            <v>ROSINK</v>
          </cell>
          <cell r="C812" t="str">
            <v>4TFT409101.0ROSINK</v>
          </cell>
          <cell r="D812" t="str">
            <v>EUR</v>
          </cell>
          <cell r="E812">
            <v>2.4500000000000002</v>
          </cell>
          <cell r="F812" t="str">
            <v>EUR/kg</v>
          </cell>
          <cell r="G812" t="str">
            <v>Yes</v>
          </cell>
          <cell r="H812" t="str">
            <v>tube finning 409  VH 10 ; VD 1 mm</v>
          </cell>
          <cell r="K812" t="str">
            <v>finning</v>
          </cell>
        </row>
        <row r="813">
          <cell r="A813" t="str">
            <v>4TFT409101.0</v>
          </cell>
          <cell r="B813" t="str">
            <v>WI</v>
          </cell>
          <cell r="C813" t="str">
            <v>4TFT409101.0WI</v>
          </cell>
          <cell r="D813" t="str">
            <v>EUR</v>
          </cell>
          <cell r="E813">
            <v>2.6</v>
          </cell>
          <cell r="F813" t="str">
            <v>EUR/kg</v>
          </cell>
          <cell r="G813" t="str">
            <v>Yes</v>
          </cell>
          <cell r="H813" t="str">
            <v>tube finning 409  VH 10 ; VD 1 mm</v>
          </cell>
          <cell r="K813" t="str">
            <v>finning</v>
          </cell>
        </row>
        <row r="814">
          <cell r="A814" t="str">
            <v>4TFT409101.3</v>
          </cell>
          <cell r="B814" t="str">
            <v>ROSINK</v>
          </cell>
          <cell r="C814" t="str">
            <v>4TFT409101.3ROSINK</v>
          </cell>
          <cell r="D814" t="str">
            <v>EUR</v>
          </cell>
          <cell r="E814">
            <v>2.25</v>
          </cell>
          <cell r="F814" t="str">
            <v>EUR/kg</v>
          </cell>
          <cell r="G814" t="str">
            <v>Yes</v>
          </cell>
          <cell r="H814" t="str">
            <v>tube finning 409  VH 10 ; VD 1.3mm</v>
          </cell>
          <cell r="K814" t="str">
            <v>finning</v>
          </cell>
        </row>
        <row r="815">
          <cell r="A815" t="str">
            <v>4TFT409101.3</v>
          </cell>
          <cell r="B815" t="str">
            <v>WI</v>
          </cell>
          <cell r="C815" t="str">
            <v>4TFT409101.3WI</v>
          </cell>
          <cell r="D815" t="str">
            <v>EUR</v>
          </cell>
          <cell r="E815">
            <v>2.29</v>
          </cell>
          <cell r="F815" t="str">
            <v>EUR/kg</v>
          </cell>
          <cell r="G815" t="str">
            <v>Yes</v>
          </cell>
          <cell r="H815" t="str">
            <v>tube finning 409  VH 10 ; VD 1.3mm</v>
          </cell>
          <cell r="K815" t="str">
            <v>finning</v>
          </cell>
        </row>
        <row r="816">
          <cell r="A816" t="str">
            <v>4TFT409130.8</v>
          </cell>
          <cell r="B816" t="str">
            <v>ROSINK</v>
          </cell>
          <cell r="C816" t="str">
            <v>4TFT409130.8ROSINK</v>
          </cell>
          <cell r="D816" t="str">
            <v>EUR</v>
          </cell>
          <cell r="E816" t="str">
            <v>NA</v>
          </cell>
          <cell r="F816" t="str">
            <v>EUR/kg</v>
          </cell>
          <cell r="G816" t="str">
            <v>Yes</v>
          </cell>
          <cell r="H816" t="str">
            <v>tube finning 409  VH 13 ; VD 0.8</v>
          </cell>
          <cell r="K816" t="str">
            <v>finning</v>
          </cell>
        </row>
        <row r="817">
          <cell r="A817" t="str">
            <v>4TFT409130.8</v>
          </cell>
          <cell r="B817" t="str">
            <v>WI</v>
          </cell>
          <cell r="C817" t="str">
            <v>4TFT409130.8WI</v>
          </cell>
          <cell r="D817" t="str">
            <v>EUR</v>
          </cell>
          <cell r="E817" t="str">
            <v>NA</v>
          </cell>
          <cell r="F817" t="str">
            <v>EUR/kg</v>
          </cell>
          <cell r="G817" t="str">
            <v>Yes</v>
          </cell>
          <cell r="H817" t="str">
            <v>tube finning 409  VH 13 ; VD 0.8</v>
          </cell>
          <cell r="K817" t="str">
            <v>finning</v>
          </cell>
        </row>
        <row r="818">
          <cell r="A818" t="str">
            <v>4TFT409131.0</v>
          </cell>
          <cell r="B818" t="str">
            <v>ROSINK</v>
          </cell>
          <cell r="C818" t="str">
            <v>4TFT409131.0ROSINK</v>
          </cell>
          <cell r="D818" t="str">
            <v>EUR</v>
          </cell>
          <cell r="E818">
            <v>2.2999999999999998</v>
          </cell>
          <cell r="F818" t="str">
            <v>EUR/kg</v>
          </cell>
          <cell r="G818" t="str">
            <v>Yes</v>
          </cell>
          <cell r="H818" t="str">
            <v>tube finning 409  VH 13 ; VD 1 mm</v>
          </cell>
          <cell r="K818" t="str">
            <v>finning</v>
          </cell>
        </row>
        <row r="819">
          <cell r="A819" t="str">
            <v>4TFT409131.0</v>
          </cell>
          <cell r="B819" t="str">
            <v>WI</v>
          </cell>
          <cell r="C819" t="str">
            <v>4TFT409131.0WI</v>
          </cell>
          <cell r="D819" t="str">
            <v>EUR</v>
          </cell>
          <cell r="E819">
            <v>2.4500000000000002</v>
          </cell>
          <cell r="F819" t="str">
            <v>EUR/kg</v>
          </cell>
          <cell r="G819" t="str">
            <v>Yes</v>
          </cell>
          <cell r="H819" t="str">
            <v>tube finning 409  VH 13 ; VD 1 mm</v>
          </cell>
          <cell r="K819" t="str">
            <v>finning</v>
          </cell>
        </row>
        <row r="820">
          <cell r="A820" t="str">
            <v>4TFT409131.3</v>
          </cell>
          <cell r="B820" t="str">
            <v>ROSINK</v>
          </cell>
          <cell r="C820" t="str">
            <v>4TFT409131.3ROSINK</v>
          </cell>
          <cell r="D820" t="str">
            <v>EUR</v>
          </cell>
          <cell r="E820">
            <v>2.15</v>
          </cell>
          <cell r="F820" t="str">
            <v>EUR/kg</v>
          </cell>
          <cell r="G820" t="str">
            <v>Yes</v>
          </cell>
          <cell r="H820" t="str">
            <v>tube finning 409  VH 13 ; VD 1.3mm</v>
          </cell>
          <cell r="K820" t="str">
            <v>finning</v>
          </cell>
        </row>
        <row r="821">
          <cell r="A821" t="str">
            <v>4TFT409131.3</v>
          </cell>
          <cell r="B821" t="str">
            <v>WI</v>
          </cell>
          <cell r="C821" t="str">
            <v>4TFT409131.3WI</v>
          </cell>
          <cell r="D821" t="str">
            <v>EUR</v>
          </cell>
          <cell r="E821">
            <v>2.15</v>
          </cell>
          <cell r="F821" t="str">
            <v>EUR/kg</v>
          </cell>
          <cell r="G821" t="str">
            <v>Yes</v>
          </cell>
          <cell r="H821" t="str">
            <v>tube finning 409  VH 13 ; VD 1.3mm</v>
          </cell>
          <cell r="K821" t="str">
            <v>finning</v>
          </cell>
        </row>
        <row r="822">
          <cell r="A822" t="str">
            <v>4TFT409161.0</v>
          </cell>
          <cell r="B822" t="str">
            <v>ROSINK</v>
          </cell>
          <cell r="C822" t="str">
            <v>4TFT409161.0ROSINK</v>
          </cell>
          <cell r="D822" t="str">
            <v>EUR</v>
          </cell>
          <cell r="E822">
            <v>2.25</v>
          </cell>
          <cell r="F822" t="str">
            <v>EUR/kg</v>
          </cell>
          <cell r="G822" t="str">
            <v>Yes</v>
          </cell>
          <cell r="H822" t="str">
            <v>tube finning 409  VH 16 ; VD 1 mm</v>
          </cell>
          <cell r="K822" t="str">
            <v>finning</v>
          </cell>
        </row>
        <row r="823">
          <cell r="A823" t="str">
            <v>4TFT409161.0</v>
          </cell>
          <cell r="B823" t="str">
            <v>WI</v>
          </cell>
          <cell r="C823" t="str">
            <v>4TFT409161.0WI</v>
          </cell>
          <cell r="D823" t="str">
            <v>EUR</v>
          </cell>
          <cell r="E823">
            <v>2.13</v>
          </cell>
          <cell r="F823" t="str">
            <v>EUR/kg</v>
          </cell>
          <cell r="G823" t="str">
            <v>Yes</v>
          </cell>
          <cell r="H823" t="str">
            <v>tube finning 409  VH 16 ; VD 1 mm</v>
          </cell>
          <cell r="K823" t="str">
            <v>finning</v>
          </cell>
        </row>
        <row r="824">
          <cell r="A824" t="str">
            <v>4TFT409161.3</v>
          </cell>
          <cell r="B824" t="str">
            <v>ROSINK</v>
          </cell>
          <cell r="C824" t="str">
            <v>4TFT409161.3ROSINK</v>
          </cell>
          <cell r="D824" t="str">
            <v>EUR</v>
          </cell>
          <cell r="E824">
            <v>2.1</v>
          </cell>
          <cell r="F824" t="str">
            <v>EUR/kg</v>
          </cell>
          <cell r="G824" t="str">
            <v>Yes</v>
          </cell>
          <cell r="H824" t="str">
            <v>tube finning 409  VH 16 ; VD 1.3mm</v>
          </cell>
          <cell r="K824" t="str">
            <v>finning</v>
          </cell>
        </row>
        <row r="825">
          <cell r="A825" t="str">
            <v>4TFT409161.3</v>
          </cell>
          <cell r="B825" t="str">
            <v>WI</v>
          </cell>
          <cell r="C825" t="str">
            <v>4TFT409161.3WI</v>
          </cell>
          <cell r="D825" t="str">
            <v>EUR</v>
          </cell>
          <cell r="E825">
            <v>2.13</v>
          </cell>
          <cell r="F825" t="str">
            <v>EUR/kg</v>
          </cell>
          <cell r="G825" t="str">
            <v>Yes</v>
          </cell>
          <cell r="H825" t="str">
            <v>tube finning 409  VH 16 ; VD 1.3mm</v>
          </cell>
          <cell r="K825" t="str">
            <v>finning</v>
          </cell>
        </row>
        <row r="826">
          <cell r="A826" t="str">
            <v>4TFT409191.0</v>
          </cell>
          <cell r="B826" t="str">
            <v>ROSINK</v>
          </cell>
          <cell r="C826" t="str">
            <v>4TFT409191.0ROSINK</v>
          </cell>
          <cell r="D826" t="str">
            <v>EUR</v>
          </cell>
          <cell r="E826">
            <v>2.15</v>
          </cell>
          <cell r="F826" t="str">
            <v>EUR/kg</v>
          </cell>
          <cell r="G826" t="str">
            <v>Yes</v>
          </cell>
          <cell r="H826" t="str">
            <v>tube finning 409  VH 19 ; VD 1 mm</v>
          </cell>
          <cell r="K826" t="str">
            <v>finning</v>
          </cell>
        </row>
        <row r="827">
          <cell r="A827" t="str">
            <v>4TFT409191.0</v>
          </cell>
          <cell r="B827" t="str">
            <v>WI</v>
          </cell>
          <cell r="C827" t="str">
            <v>4TFT409191.0WI</v>
          </cell>
          <cell r="D827" t="str">
            <v>EUR</v>
          </cell>
          <cell r="E827">
            <v>2.11</v>
          </cell>
          <cell r="F827" t="str">
            <v>EUR/kg</v>
          </cell>
          <cell r="G827" t="str">
            <v>Yes</v>
          </cell>
          <cell r="H827" t="str">
            <v>tube finning 409  VH 19 ; VD 1 mm</v>
          </cell>
          <cell r="K827" t="str">
            <v>finning</v>
          </cell>
        </row>
        <row r="828">
          <cell r="A828" t="str">
            <v>4TFT409191.3</v>
          </cell>
          <cell r="B828" t="str">
            <v>ROSINK</v>
          </cell>
          <cell r="C828" t="str">
            <v>4TFT409191.3ROSINK</v>
          </cell>
          <cell r="D828" t="str">
            <v>EUR</v>
          </cell>
          <cell r="E828">
            <v>2.1</v>
          </cell>
          <cell r="F828" t="str">
            <v>EUR/kg</v>
          </cell>
          <cell r="G828" t="str">
            <v>Yes</v>
          </cell>
          <cell r="H828" t="str">
            <v>tube finning 409  VH 19 ; VD 1.3mm</v>
          </cell>
          <cell r="K828" t="str">
            <v>finning</v>
          </cell>
        </row>
        <row r="829">
          <cell r="A829" t="str">
            <v>4TFT409191.3</v>
          </cell>
          <cell r="B829" t="str">
            <v>WI</v>
          </cell>
          <cell r="C829" t="str">
            <v>4TFT409191.3WI</v>
          </cell>
          <cell r="D829" t="str">
            <v>EUR</v>
          </cell>
          <cell r="E829">
            <v>2.11</v>
          </cell>
          <cell r="F829" t="str">
            <v>EUR/kg</v>
          </cell>
          <cell r="G829" t="str">
            <v>Yes</v>
          </cell>
          <cell r="H829" t="str">
            <v>tube finning 409  VH 19 ; VD 1.3mm</v>
          </cell>
          <cell r="K829" t="str">
            <v>finning</v>
          </cell>
        </row>
        <row r="830">
          <cell r="A830" t="str">
            <v>4TFT40960.8</v>
          </cell>
          <cell r="B830" t="str">
            <v>ROSINK</v>
          </cell>
          <cell r="C830" t="str">
            <v>4TFT40960.8ROSINK</v>
          </cell>
          <cell r="D830" t="str">
            <v>EUR</v>
          </cell>
          <cell r="E830" t="str">
            <v>NA</v>
          </cell>
          <cell r="F830" t="str">
            <v>EUR/kg</v>
          </cell>
          <cell r="G830" t="str">
            <v>Yes</v>
          </cell>
          <cell r="H830" t="str">
            <v>tube finning 409  VH 6 ; VD 0.8</v>
          </cell>
          <cell r="K830" t="str">
            <v>finning</v>
          </cell>
        </row>
        <row r="831">
          <cell r="A831" t="str">
            <v>4TFT40960.8</v>
          </cell>
          <cell r="B831" t="str">
            <v>WI</v>
          </cell>
          <cell r="C831" t="str">
            <v>4TFT40960.8WI</v>
          </cell>
          <cell r="D831" t="str">
            <v>EUR</v>
          </cell>
          <cell r="E831" t="str">
            <v>NA</v>
          </cell>
          <cell r="F831" t="str">
            <v>EUR/kg</v>
          </cell>
          <cell r="G831" t="str">
            <v>Yes</v>
          </cell>
          <cell r="H831" t="str">
            <v>tube finning 409  VH 6 ; VD 0.8</v>
          </cell>
          <cell r="K831" t="str">
            <v>finning</v>
          </cell>
        </row>
        <row r="832">
          <cell r="A832" t="str">
            <v>4TFT40961.0</v>
          </cell>
          <cell r="B832" t="str">
            <v>ROSINK</v>
          </cell>
          <cell r="C832" t="str">
            <v>4TFT40961.0ROSINK</v>
          </cell>
          <cell r="D832" t="str">
            <v>EUR</v>
          </cell>
          <cell r="E832">
            <v>3.5</v>
          </cell>
          <cell r="F832" t="str">
            <v>EUR/kg</v>
          </cell>
          <cell r="G832" t="str">
            <v>Yes</v>
          </cell>
          <cell r="H832" t="str">
            <v>tube finning 409  VH 6 ; VD 1 mm</v>
          </cell>
          <cell r="K832" t="str">
            <v>finning</v>
          </cell>
        </row>
        <row r="833">
          <cell r="A833" t="str">
            <v>4TFT40961.0</v>
          </cell>
          <cell r="B833" t="str">
            <v>WI</v>
          </cell>
          <cell r="C833" t="str">
            <v>4TFT40961.0WI</v>
          </cell>
          <cell r="D833" t="str">
            <v>EUR</v>
          </cell>
          <cell r="E833">
            <v>3.18</v>
          </cell>
          <cell r="F833" t="str">
            <v>EUR/kg</v>
          </cell>
          <cell r="G833" t="str">
            <v>Yes</v>
          </cell>
          <cell r="H833" t="str">
            <v>tube finning 409  VH 6 ; VD 1 mm</v>
          </cell>
          <cell r="K833" t="str">
            <v>finning</v>
          </cell>
        </row>
        <row r="834">
          <cell r="A834" t="str">
            <v>4TFT40961.3</v>
          </cell>
          <cell r="B834" t="str">
            <v>ROSINK</v>
          </cell>
          <cell r="C834" t="str">
            <v>4TFT40961.3ROSINK</v>
          </cell>
          <cell r="D834" t="str">
            <v>EUR</v>
          </cell>
          <cell r="E834">
            <v>3.3</v>
          </cell>
          <cell r="F834" t="str">
            <v>EUR/kg</v>
          </cell>
          <cell r="G834" t="str">
            <v>Yes</v>
          </cell>
          <cell r="H834" t="str">
            <v>tube finning 409  VH 6 ; VD 1.3mm</v>
          </cell>
          <cell r="K834" t="str">
            <v>finning</v>
          </cell>
        </row>
        <row r="835">
          <cell r="A835" t="str">
            <v>4TFT40961.3</v>
          </cell>
          <cell r="B835" t="str">
            <v>WI</v>
          </cell>
          <cell r="C835" t="str">
            <v>4TFT40961.3WI</v>
          </cell>
          <cell r="D835" t="str">
            <v>EUR</v>
          </cell>
          <cell r="E835">
            <v>3.17</v>
          </cell>
          <cell r="F835" t="str">
            <v>EUR/kg</v>
          </cell>
          <cell r="G835" t="str">
            <v>Yes</v>
          </cell>
          <cell r="H835" t="str">
            <v>tube finning 409  VH 6 ; VD 1.3mm</v>
          </cell>
          <cell r="K835" t="str">
            <v>finning</v>
          </cell>
        </row>
        <row r="836">
          <cell r="A836" t="str">
            <v>4TFT40980.8</v>
          </cell>
          <cell r="B836" t="str">
            <v>ROSINK</v>
          </cell>
          <cell r="C836" t="str">
            <v>4TFT40980.8ROSINK</v>
          </cell>
          <cell r="D836" t="str">
            <v>EUR</v>
          </cell>
          <cell r="E836" t="str">
            <v>NA</v>
          </cell>
          <cell r="F836" t="str">
            <v>EUR/kg</v>
          </cell>
          <cell r="G836" t="str">
            <v>Yes</v>
          </cell>
          <cell r="H836" t="str">
            <v>tube finning 409  VH 8 ; VD 0.8</v>
          </cell>
          <cell r="K836" t="str">
            <v>finning</v>
          </cell>
        </row>
        <row r="837">
          <cell r="A837" t="str">
            <v>4TFT40980.8</v>
          </cell>
          <cell r="B837" t="str">
            <v>WI</v>
          </cell>
          <cell r="C837" t="str">
            <v>4TFT40980.8WI</v>
          </cell>
          <cell r="D837" t="str">
            <v>EUR</v>
          </cell>
          <cell r="E837" t="str">
            <v>NA</v>
          </cell>
          <cell r="F837" t="str">
            <v>EUR/kg</v>
          </cell>
          <cell r="G837" t="str">
            <v>Yes</v>
          </cell>
          <cell r="H837" t="str">
            <v>tube finning 409  VH 8 ; VD 0.8</v>
          </cell>
          <cell r="K837" t="str">
            <v>finning</v>
          </cell>
        </row>
        <row r="838">
          <cell r="A838" t="str">
            <v>4TFT40981.0</v>
          </cell>
          <cell r="B838" t="str">
            <v>ROSINK</v>
          </cell>
          <cell r="C838" t="str">
            <v>4TFT40981.0ROSINK</v>
          </cell>
          <cell r="D838" t="str">
            <v>EUR</v>
          </cell>
          <cell r="E838">
            <v>2.7</v>
          </cell>
          <cell r="F838" t="str">
            <v>EUR/kg</v>
          </cell>
          <cell r="G838" t="str">
            <v>Yes</v>
          </cell>
          <cell r="H838" t="str">
            <v>tube finning 409  VH 8 ; VD 1</v>
          </cell>
          <cell r="K838" t="str">
            <v>finning</v>
          </cell>
        </row>
        <row r="839">
          <cell r="A839" t="str">
            <v>4TFT40981.0</v>
          </cell>
          <cell r="B839" t="str">
            <v>WI</v>
          </cell>
          <cell r="C839" t="str">
            <v>4TFT40981.0WI</v>
          </cell>
          <cell r="D839" t="str">
            <v>EUR</v>
          </cell>
          <cell r="E839">
            <v>3.48</v>
          </cell>
          <cell r="F839" t="str">
            <v>EUR/kg</v>
          </cell>
          <cell r="G839" t="str">
            <v>Yes</v>
          </cell>
          <cell r="H839" t="str">
            <v>tube finning 409  VH 8 ; VD 1</v>
          </cell>
          <cell r="K839" t="str">
            <v>finning</v>
          </cell>
        </row>
        <row r="840">
          <cell r="A840" t="str">
            <v>4TFT40981.3</v>
          </cell>
          <cell r="B840" t="str">
            <v>ROSINK</v>
          </cell>
          <cell r="C840" t="str">
            <v>4TFT40981.3ROSINK</v>
          </cell>
          <cell r="D840" t="str">
            <v>EUR</v>
          </cell>
          <cell r="E840">
            <v>2.4500000000000002</v>
          </cell>
          <cell r="F840" t="str">
            <v>EUR/kg</v>
          </cell>
          <cell r="G840" t="str">
            <v>Yes</v>
          </cell>
          <cell r="H840" t="str">
            <v>tube finning 409  VH 8 ; VD 1.3</v>
          </cell>
          <cell r="K840" t="str">
            <v>finning</v>
          </cell>
        </row>
        <row r="841">
          <cell r="A841" t="str">
            <v>4TFT40981.3</v>
          </cell>
          <cell r="B841" t="str">
            <v>WI</v>
          </cell>
          <cell r="C841" t="str">
            <v>4TFT40981.3WI</v>
          </cell>
          <cell r="D841" t="str">
            <v>EUR</v>
          </cell>
          <cell r="E841">
            <v>2.5</v>
          </cell>
          <cell r="F841" t="str">
            <v>EUR/kg</v>
          </cell>
          <cell r="G841" t="str">
            <v>Yes</v>
          </cell>
          <cell r="H841" t="str">
            <v>tube finning 409  VH 8 ; VD 1.3</v>
          </cell>
          <cell r="K841" t="str">
            <v>finning</v>
          </cell>
        </row>
        <row r="842">
          <cell r="A842" t="str">
            <v>5INSHT</v>
          </cell>
          <cell r="B842" t="str">
            <v>AARDING</v>
          </cell>
          <cell r="C842" t="str">
            <v>5INSHTAARDING</v>
          </cell>
          <cell r="D842" t="str">
            <v>EUR</v>
          </cell>
          <cell r="E842">
            <v>15</v>
          </cell>
          <cell r="F842" t="str">
            <v>EUR/m2</v>
          </cell>
          <cell r="G842" t="str">
            <v>No</v>
          </cell>
          <cell r="H842" t="str">
            <v>raamkontrakt 2001</v>
          </cell>
          <cell r="K842" t="str">
            <v>sheeting insul.</v>
          </cell>
        </row>
        <row r="843">
          <cell r="A843" t="str">
            <v>5INSHT</v>
          </cell>
          <cell r="B843" t="str">
            <v>OKI</v>
          </cell>
          <cell r="C843" t="str">
            <v>5INSHTOKI</v>
          </cell>
          <cell r="D843" t="str">
            <v>EUR</v>
          </cell>
          <cell r="E843">
            <v>15</v>
          </cell>
          <cell r="F843" t="str">
            <v>EUR/m2</v>
          </cell>
          <cell r="G843" t="str">
            <v>No</v>
          </cell>
          <cell r="H843" t="str">
            <v>Hourly rate for 2001 : NEM + 10%</v>
          </cell>
          <cell r="K843" t="str">
            <v>sheeting insul.</v>
          </cell>
        </row>
        <row r="844">
          <cell r="A844" t="str">
            <v>601Calc</v>
          </cell>
          <cell r="B844" t="str">
            <v>GER</v>
          </cell>
          <cell r="C844" t="str">
            <v>601CalcGER</v>
          </cell>
          <cell r="D844" t="str">
            <v>EUR</v>
          </cell>
          <cell r="E844">
            <v>45</v>
          </cell>
          <cell r="F844" t="str">
            <v>EUR/hr</v>
          </cell>
          <cell r="H844" t="str">
            <v>Hourly rate for 2001 : NEM + 10%</v>
          </cell>
          <cell r="K844" t="str">
            <v>NEM Germany</v>
          </cell>
        </row>
        <row r="845">
          <cell r="A845" t="str">
            <v>601Calc</v>
          </cell>
          <cell r="B845" t="str">
            <v>HEN</v>
          </cell>
          <cell r="C845" t="str">
            <v>601CalcHEN</v>
          </cell>
          <cell r="D845" t="str">
            <v>EUR</v>
          </cell>
          <cell r="E845">
            <v>41</v>
          </cell>
          <cell r="F845" t="str">
            <v>EUR/hr</v>
          </cell>
          <cell r="H845" t="str">
            <v>Hourly rate for 2001, same as NEM ?!?</v>
          </cell>
          <cell r="K845" t="str">
            <v>NEM Hengelo</v>
          </cell>
        </row>
        <row r="846">
          <cell r="A846" t="str">
            <v>601Calc</v>
          </cell>
          <cell r="B846" t="str">
            <v>LDN</v>
          </cell>
          <cell r="C846" t="str">
            <v>601CalcLDN</v>
          </cell>
          <cell r="D846" t="str">
            <v>EUR</v>
          </cell>
          <cell r="E846">
            <v>41</v>
          </cell>
          <cell r="F846" t="str">
            <v>EUR/hr</v>
          </cell>
          <cell r="H846" t="str">
            <v>Hourly rate for 2001</v>
          </cell>
          <cell r="K846" t="str">
            <v>NEM Leiden</v>
          </cell>
        </row>
        <row r="847">
          <cell r="A847" t="str">
            <v>601Constr</v>
          </cell>
          <cell r="B847" t="str">
            <v>GER</v>
          </cell>
          <cell r="C847" t="str">
            <v>601ConstrGER</v>
          </cell>
          <cell r="D847" t="str">
            <v>EUR</v>
          </cell>
          <cell r="E847">
            <v>58</v>
          </cell>
          <cell r="F847" t="str">
            <v>EUR/hr</v>
          </cell>
          <cell r="H847" t="str">
            <v>Hourly rate for 2001 : NEM + 10%</v>
          </cell>
          <cell r="K847" t="str">
            <v>NEM Germany</v>
          </cell>
        </row>
        <row r="848">
          <cell r="A848" t="str">
            <v>601Constr</v>
          </cell>
          <cell r="B848" t="str">
            <v>HEN</v>
          </cell>
          <cell r="C848" t="str">
            <v>601ConstrHEN</v>
          </cell>
          <cell r="D848" t="str">
            <v>EUR</v>
          </cell>
          <cell r="E848">
            <v>53</v>
          </cell>
          <cell r="F848" t="str">
            <v>EUR/hr</v>
          </cell>
          <cell r="H848" t="str">
            <v>Hourly rate for 2001, same as NEM ?!?</v>
          </cell>
          <cell r="K848" t="str">
            <v>NEM Hengelo</v>
          </cell>
        </row>
        <row r="849">
          <cell r="A849" t="str">
            <v>601Constr</v>
          </cell>
          <cell r="B849" t="str">
            <v>LDN</v>
          </cell>
          <cell r="C849" t="str">
            <v>601ConstrLDN</v>
          </cell>
          <cell r="D849" t="str">
            <v>EUR</v>
          </cell>
          <cell r="E849">
            <v>53</v>
          </cell>
          <cell r="F849" t="str">
            <v>EUR/hr</v>
          </cell>
          <cell r="H849" t="str">
            <v>Hourly rate for 2001</v>
          </cell>
          <cell r="K849" t="str">
            <v>NEM Leiden</v>
          </cell>
        </row>
        <row r="850">
          <cell r="A850" t="str">
            <v>601Design</v>
          </cell>
          <cell r="B850" t="str">
            <v>GER</v>
          </cell>
          <cell r="C850" t="str">
            <v>601DesignGER</v>
          </cell>
          <cell r="D850" t="str">
            <v>EUR</v>
          </cell>
          <cell r="E850">
            <v>45</v>
          </cell>
          <cell r="F850" t="str">
            <v>EUR/hr</v>
          </cell>
          <cell r="H850" t="str">
            <v>Hourly rate for 2001 : NEM + 10%</v>
          </cell>
          <cell r="K850" t="str">
            <v>NEM Germany</v>
          </cell>
        </row>
        <row r="851">
          <cell r="A851" t="str">
            <v>601Design</v>
          </cell>
          <cell r="B851" t="str">
            <v>HEN</v>
          </cell>
          <cell r="C851" t="str">
            <v>601DesignHEN</v>
          </cell>
          <cell r="D851" t="str">
            <v>EUR</v>
          </cell>
          <cell r="E851">
            <v>41</v>
          </cell>
          <cell r="F851" t="str">
            <v>EUR/hr</v>
          </cell>
          <cell r="H851" t="str">
            <v>Hourly rate for 2001, same as NEM ?!?</v>
          </cell>
          <cell r="K851" t="str">
            <v>NEM Hengelo</v>
          </cell>
        </row>
        <row r="852">
          <cell r="A852" t="str">
            <v>601Design</v>
          </cell>
          <cell r="B852" t="str">
            <v>LDN</v>
          </cell>
          <cell r="C852" t="str">
            <v>601DesignLDN</v>
          </cell>
          <cell r="D852" t="str">
            <v>EUR</v>
          </cell>
          <cell r="E852">
            <v>41</v>
          </cell>
          <cell r="F852" t="str">
            <v>EUR/hr</v>
          </cell>
          <cell r="H852" t="str">
            <v>Hourly rate for 2001</v>
          </cell>
          <cell r="K852" t="str">
            <v>NEM Leiden</v>
          </cell>
        </row>
        <row r="853">
          <cell r="A853" t="str">
            <v>601Manuf</v>
          </cell>
          <cell r="B853" t="str">
            <v>GER</v>
          </cell>
          <cell r="C853" t="str">
            <v>601ManufGER</v>
          </cell>
          <cell r="D853" t="str">
            <v>EUR</v>
          </cell>
          <cell r="E853">
            <v>39</v>
          </cell>
          <cell r="F853" t="str">
            <v>EUR/hr</v>
          </cell>
          <cell r="H853" t="str">
            <v>Hourly rate for 2001</v>
          </cell>
          <cell r="K853" t="str">
            <v>NEM Germany</v>
          </cell>
        </row>
        <row r="854">
          <cell r="A854" t="str">
            <v>601Manuf</v>
          </cell>
          <cell r="B854" t="str">
            <v>HEN</v>
          </cell>
          <cell r="C854" t="str">
            <v>601ManufHEN</v>
          </cell>
          <cell r="D854" t="str">
            <v>EUR</v>
          </cell>
          <cell r="E854">
            <v>39</v>
          </cell>
          <cell r="F854" t="str">
            <v>EUR/hr</v>
          </cell>
          <cell r="H854" t="str">
            <v>Hourly rate for 2001, same as NEM ?!?</v>
          </cell>
          <cell r="K854" t="str">
            <v>NEM Hengelo</v>
          </cell>
        </row>
        <row r="855">
          <cell r="A855" t="str">
            <v>601Manuf</v>
          </cell>
          <cell r="B855" t="str">
            <v>LDN</v>
          </cell>
          <cell r="C855" t="str">
            <v>601ManufLDN</v>
          </cell>
          <cell r="D855" t="str">
            <v>EUR</v>
          </cell>
          <cell r="E855">
            <v>39</v>
          </cell>
          <cell r="F855" t="str">
            <v>EUR/hr</v>
          </cell>
          <cell r="H855" t="str">
            <v>Hourly rate for 2001</v>
          </cell>
          <cell r="K855" t="str">
            <v>NEM Leiden</v>
          </cell>
        </row>
        <row r="856">
          <cell r="A856" t="str">
            <v>601Pr_adm</v>
          </cell>
          <cell r="B856" t="str">
            <v>GER</v>
          </cell>
          <cell r="C856" t="str">
            <v>601Pr_admGER</v>
          </cell>
          <cell r="D856" t="str">
            <v>EUR</v>
          </cell>
          <cell r="E856">
            <v>55</v>
          </cell>
          <cell r="F856" t="str">
            <v>EUR/hr</v>
          </cell>
          <cell r="H856" t="str">
            <v>Hourly rate for 2001 : NEM + 10%</v>
          </cell>
          <cell r="K856" t="str">
            <v>NEM Germany</v>
          </cell>
        </row>
        <row r="857">
          <cell r="A857" t="str">
            <v>601Pr_adm</v>
          </cell>
          <cell r="B857" t="str">
            <v>HEN</v>
          </cell>
          <cell r="C857" t="str">
            <v>601Pr_admHEN</v>
          </cell>
          <cell r="D857" t="str">
            <v>EUR</v>
          </cell>
          <cell r="E857">
            <v>50</v>
          </cell>
          <cell r="F857" t="str">
            <v>EUR/hr</v>
          </cell>
          <cell r="H857" t="str">
            <v>Hourly rate for 2001, same as NEM ?!?</v>
          </cell>
          <cell r="K857" t="str">
            <v>NEM Hengelo</v>
          </cell>
        </row>
        <row r="858">
          <cell r="A858" t="str">
            <v>601Pr_adm</v>
          </cell>
          <cell r="B858" t="str">
            <v>LDN</v>
          </cell>
          <cell r="C858" t="str">
            <v>601Pr_admLDN</v>
          </cell>
          <cell r="D858" t="str">
            <v>EUR</v>
          </cell>
          <cell r="E858">
            <v>50</v>
          </cell>
          <cell r="F858" t="str">
            <v>EUR/hr</v>
          </cell>
          <cell r="H858" t="str">
            <v>Hourly rate for 2001</v>
          </cell>
          <cell r="K858" t="str">
            <v>NEM Leiden</v>
          </cell>
        </row>
        <row r="859">
          <cell r="A859" t="str">
            <v>601Pr_ass</v>
          </cell>
          <cell r="B859" t="str">
            <v>GER</v>
          </cell>
          <cell r="C859" t="str">
            <v>601Pr_assGER</v>
          </cell>
          <cell r="D859" t="str">
            <v>EUR</v>
          </cell>
          <cell r="E859">
            <v>28</v>
          </cell>
          <cell r="F859" t="str">
            <v>EUR/hr</v>
          </cell>
          <cell r="H859" t="str">
            <v>Hourly rate for 2001 : NEM + 10%</v>
          </cell>
          <cell r="K859" t="str">
            <v>NEM Germany</v>
          </cell>
        </row>
        <row r="860">
          <cell r="A860" t="str">
            <v>601Pr_ass</v>
          </cell>
          <cell r="B860" t="str">
            <v>HEN</v>
          </cell>
          <cell r="C860" t="str">
            <v>601Pr_assHEN</v>
          </cell>
          <cell r="D860" t="str">
            <v>EUR</v>
          </cell>
          <cell r="E860">
            <v>25</v>
          </cell>
          <cell r="F860" t="str">
            <v>EUR/hr</v>
          </cell>
          <cell r="H860" t="str">
            <v>Hourly rate for 2001, same as NEM ?!?</v>
          </cell>
          <cell r="K860" t="str">
            <v>NEM Hengelo</v>
          </cell>
        </row>
        <row r="861">
          <cell r="A861" t="str">
            <v>601Pr_ass</v>
          </cell>
          <cell r="B861" t="str">
            <v>LDN</v>
          </cell>
          <cell r="C861" t="str">
            <v>601Pr_assLDN</v>
          </cell>
          <cell r="D861" t="str">
            <v>EUR</v>
          </cell>
          <cell r="E861">
            <v>25</v>
          </cell>
          <cell r="F861" t="str">
            <v>EUR/hr</v>
          </cell>
          <cell r="H861" t="str">
            <v>Hourly rate for 2001</v>
          </cell>
          <cell r="K861" t="str">
            <v>NEM Leiden</v>
          </cell>
        </row>
        <row r="862">
          <cell r="A862" t="str">
            <v>601Pr_eng</v>
          </cell>
          <cell r="B862" t="str">
            <v>GER</v>
          </cell>
          <cell r="C862" t="str">
            <v>601Pr_engGER</v>
          </cell>
          <cell r="D862" t="str">
            <v>EUR</v>
          </cell>
          <cell r="E862">
            <v>45</v>
          </cell>
          <cell r="F862" t="str">
            <v>EUR/hr</v>
          </cell>
          <cell r="H862" t="str">
            <v>Hourly rate for 2001 : NEM + 10%</v>
          </cell>
          <cell r="K862" t="str">
            <v>NEM Germany</v>
          </cell>
        </row>
        <row r="863">
          <cell r="A863" t="str">
            <v>601Pr_eng</v>
          </cell>
          <cell r="B863" t="str">
            <v>HEN</v>
          </cell>
          <cell r="C863" t="str">
            <v>601Pr_engHEN</v>
          </cell>
          <cell r="D863" t="str">
            <v>EUR</v>
          </cell>
          <cell r="E863">
            <v>41</v>
          </cell>
          <cell r="F863" t="str">
            <v>EUR/hr</v>
          </cell>
          <cell r="H863" t="str">
            <v>Hourly rate for 2001, same as NEM ?!?</v>
          </cell>
          <cell r="K863" t="str">
            <v>NEM Hengelo</v>
          </cell>
        </row>
        <row r="864">
          <cell r="A864" t="str">
            <v>601Pr_eng</v>
          </cell>
          <cell r="B864" t="str">
            <v>LDN</v>
          </cell>
          <cell r="C864" t="str">
            <v>601Pr_engLDN</v>
          </cell>
          <cell r="D864" t="str">
            <v>EUR</v>
          </cell>
          <cell r="E864">
            <v>41</v>
          </cell>
          <cell r="F864" t="str">
            <v>EUR/hr</v>
          </cell>
          <cell r="H864" t="str">
            <v>Hourly rate for 2001</v>
          </cell>
          <cell r="K864" t="str">
            <v>NEM Leiden</v>
          </cell>
        </row>
        <row r="865">
          <cell r="A865" t="str">
            <v>601Pr_man</v>
          </cell>
          <cell r="B865" t="str">
            <v>GER</v>
          </cell>
          <cell r="C865" t="str">
            <v>601Pr_manGER</v>
          </cell>
          <cell r="D865" t="str">
            <v>EUR</v>
          </cell>
          <cell r="E865">
            <v>75</v>
          </cell>
          <cell r="F865" t="str">
            <v>EUR/hr</v>
          </cell>
          <cell r="H865" t="str">
            <v>Hourly rate for 2001 : NEM + 10%</v>
          </cell>
          <cell r="K865" t="str">
            <v>NEM Germany</v>
          </cell>
        </row>
        <row r="866">
          <cell r="A866" t="str">
            <v>601Pr_man</v>
          </cell>
          <cell r="B866" t="str">
            <v>HEN</v>
          </cell>
          <cell r="C866" t="str">
            <v>601Pr_manHEN</v>
          </cell>
          <cell r="D866" t="str">
            <v>EUR</v>
          </cell>
          <cell r="E866">
            <v>69</v>
          </cell>
          <cell r="F866" t="str">
            <v>EUR/hr</v>
          </cell>
          <cell r="H866" t="str">
            <v>Hourly rate for 2001, same as NEM ?!?</v>
          </cell>
          <cell r="K866" t="str">
            <v>NEM Hengelo</v>
          </cell>
        </row>
        <row r="867">
          <cell r="A867" t="str">
            <v>601Pr_man</v>
          </cell>
          <cell r="B867" t="str">
            <v>LDN</v>
          </cell>
          <cell r="C867" t="str">
            <v>601Pr_manLDN</v>
          </cell>
          <cell r="D867" t="str">
            <v>EUR</v>
          </cell>
          <cell r="E867">
            <v>69</v>
          </cell>
          <cell r="F867" t="str">
            <v>EUR/hr</v>
          </cell>
          <cell r="H867" t="str">
            <v>Hourly rate for 2001</v>
          </cell>
          <cell r="K867" t="str">
            <v>NEM Leiden</v>
          </cell>
        </row>
        <row r="868">
          <cell r="A868" t="str">
            <v>601Pr_sec</v>
          </cell>
          <cell r="B868" t="str">
            <v>GER</v>
          </cell>
          <cell r="C868" t="str">
            <v>601Pr_secGER</v>
          </cell>
          <cell r="D868" t="str">
            <v>EUR</v>
          </cell>
          <cell r="E868">
            <v>28</v>
          </cell>
          <cell r="F868" t="str">
            <v>EUR/hr</v>
          </cell>
          <cell r="H868" t="str">
            <v>Hourly rate for 2001 : NEM + 10%</v>
          </cell>
          <cell r="K868" t="str">
            <v>NEM Germany</v>
          </cell>
        </row>
        <row r="869">
          <cell r="A869" t="str">
            <v>601Pr_sec</v>
          </cell>
          <cell r="B869" t="str">
            <v>HEN</v>
          </cell>
          <cell r="C869" t="str">
            <v>601Pr_secHEN</v>
          </cell>
          <cell r="D869" t="str">
            <v>EUR</v>
          </cell>
          <cell r="E869">
            <v>25</v>
          </cell>
          <cell r="F869" t="str">
            <v>EUR/hr</v>
          </cell>
          <cell r="H869" t="str">
            <v>Hourly rate for 2001, same as NEM ?!?</v>
          </cell>
          <cell r="K869" t="str">
            <v>NEM Hengelo</v>
          </cell>
        </row>
        <row r="870">
          <cell r="A870" t="str">
            <v>601Pr_sec</v>
          </cell>
          <cell r="B870" t="str">
            <v>LDN</v>
          </cell>
          <cell r="C870" t="str">
            <v>601Pr_secLDN</v>
          </cell>
          <cell r="D870" t="str">
            <v>EUR</v>
          </cell>
          <cell r="E870">
            <v>25</v>
          </cell>
          <cell r="F870" t="str">
            <v>EUR/hr</v>
          </cell>
          <cell r="H870" t="str">
            <v>Hourly rate for 2001</v>
          </cell>
          <cell r="K870" t="str">
            <v>NEM Leiden</v>
          </cell>
        </row>
        <row r="871">
          <cell r="A871" t="str">
            <v>601Purch_exp</v>
          </cell>
          <cell r="B871" t="str">
            <v>GER</v>
          </cell>
          <cell r="C871" t="str">
            <v>601Purch_expGER</v>
          </cell>
          <cell r="D871" t="str">
            <v>EUR</v>
          </cell>
          <cell r="E871">
            <v>55</v>
          </cell>
          <cell r="F871" t="str">
            <v>EUR/hr</v>
          </cell>
          <cell r="H871" t="str">
            <v>Hourly rate for 2001 : NEM + 10%</v>
          </cell>
          <cell r="K871" t="str">
            <v>NEM Germany</v>
          </cell>
        </row>
        <row r="872">
          <cell r="A872" t="str">
            <v>601Purch_exp</v>
          </cell>
          <cell r="B872" t="str">
            <v>HEN</v>
          </cell>
          <cell r="C872" t="str">
            <v>601Purch_expHEN</v>
          </cell>
          <cell r="D872" t="str">
            <v>EUR</v>
          </cell>
          <cell r="E872">
            <v>50</v>
          </cell>
          <cell r="F872" t="str">
            <v>EUR/hr</v>
          </cell>
          <cell r="H872" t="str">
            <v>Hourly rate for 2001, same as NEM ?!?</v>
          </cell>
          <cell r="K872" t="str">
            <v>NEM Hengelo</v>
          </cell>
        </row>
        <row r="873">
          <cell r="A873" t="str">
            <v>601Purch_exp</v>
          </cell>
          <cell r="B873" t="str">
            <v>LDN</v>
          </cell>
          <cell r="C873" t="str">
            <v>601Purch_expLDN</v>
          </cell>
          <cell r="D873" t="str">
            <v>EUR</v>
          </cell>
          <cell r="E873">
            <v>50</v>
          </cell>
          <cell r="F873" t="str">
            <v>EUR/hr</v>
          </cell>
          <cell r="H873" t="str">
            <v>Hourly rate for 2001</v>
          </cell>
          <cell r="K873" t="str">
            <v>NEM Leiden</v>
          </cell>
        </row>
        <row r="874">
          <cell r="A874" t="str">
            <v>601QA_QC</v>
          </cell>
          <cell r="B874" t="str">
            <v>GER</v>
          </cell>
          <cell r="C874" t="str">
            <v>601QA_QCGER</v>
          </cell>
          <cell r="D874" t="str">
            <v>EUR</v>
          </cell>
          <cell r="E874">
            <v>55</v>
          </cell>
          <cell r="F874" t="str">
            <v>EUR/hr</v>
          </cell>
          <cell r="H874" t="str">
            <v>Hourly rate for 2001 : NEM + 10%</v>
          </cell>
          <cell r="K874" t="str">
            <v>NEM Germany</v>
          </cell>
        </row>
        <row r="875">
          <cell r="A875" t="str">
            <v>601QA_QC</v>
          </cell>
          <cell r="B875" t="str">
            <v>HEN</v>
          </cell>
          <cell r="C875" t="str">
            <v>601QA_QCHEN</v>
          </cell>
          <cell r="D875" t="str">
            <v>EUR</v>
          </cell>
          <cell r="E875">
            <v>50</v>
          </cell>
          <cell r="F875" t="str">
            <v>EUR/hr</v>
          </cell>
          <cell r="H875" t="str">
            <v>Hourly rate for 2001, same as NEM ?!?</v>
          </cell>
          <cell r="K875" t="str">
            <v>NEM Hengelo</v>
          </cell>
        </row>
        <row r="876">
          <cell r="A876" t="str">
            <v>601QA_QC</v>
          </cell>
          <cell r="B876" t="str">
            <v>LDN</v>
          </cell>
          <cell r="C876" t="str">
            <v>601QA_QCLDN</v>
          </cell>
          <cell r="D876" t="str">
            <v>EUR</v>
          </cell>
          <cell r="E876">
            <v>50</v>
          </cell>
          <cell r="F876" t="str">
            <v>EUR/hr</v>
          </cell>
          <cell r="H876" t="str">
            <v>Hourly rate for 2001</v>
          </cell>
          <cell r="K876" t="str">
            <v>NEM Leiden</v>
          </cell>
        </row>
        <row r="877">
          <cell r="A877" t="str">
            <v>601Sales</v>
          </cell>
          <cell r="B877" t="str">
            <v>CHP</v>
          </cell>
          <cell r="C877" t="str">
            <v>601SalesCHP</v>
          </cell>
          <cell r="D877" t="str">
            <v>EUR</v>
          </cell>
          <cell r="E877">
            <v>55</v>
          </cell>
          <cell r="F877" t="str">
            <v>EUR/hr</v>
          </cell>
          <cell r="H877" t="str">
            <v>Hourly rate for 2001</v>
          </cell>
          <cell r="K877" t="str">
            <v>NEM Leiden</v>
          </cell>
        </row>
        <row r="878">
          <cell r="A878" t="str">
            <v>601Sales</v>
          </cell>
          <cell r="B878" t="str">
            <v>IPA</v>
          </cell>
          <cell r="C878" t="str">
            <v>601SalesIPA</v>
          </cell>
          <cell r="D878" t="str">
            <v>EUR</v>
          </cell>
          <cell r="E878">
            <v>55</v>
          </cell>
          <cell r="F878" t="str">
            <v>EUR/hr</v>
          </cell>
          <cell r="H878" t="str">
            <v>Hourly rate for 2001</v>
          </cell>
          <cell r="K878" t="str">
            <v>NEM Leiden</v>
          </cell>
        </row>
        <row r="879">
          <cell r="A879" t="str">
            <v>601Sales</v>
          </cell>
          <cell r="B879" t="str">
            <v>LDN</v>
          </cell>
          <cell r="C879" t="str">
            <v>601SalesLDN</v>
          </cell>
          <cell r="D879" t="str">
            <v>EUR</v>
          </cell>
          <cell r="E879">
            <v>55</v>
          </cell>
          <cell r="F879" t="str">
            <v>EUR/hr</v>
          </cell>
          <cell r="H879" t="str">
            <v>Hourly rate for 2001</v>
          </cell>
          <cell r="K879" t="str">
            <v>NEM Leiden</v>
          </cell>
        </row>
        <row r="880">
          <cell r="A880" t="str">
            <v>601Sales</v>
          </cell>
          <cell r="B880" t="str">
            <v>MHS</v>
          </cell>
          <cell r="C880" t="str">
            <v>601SalesMHS</v>
          </cell>
          <cell r="D880" t="str">
            <v>EUR</v>
          </cell>
          <cell r="E880">
            <v>55</v>
          </cell>
          <cell r="F880" t="str">
            <v>EUR/hr</v>
          </cell>
          <cell r="H880" t="str">
            <v>Hourly rate for 2001</v>
          </cell>
          <cell r="K880" t="str">
            <v>NEM Leiden</v>
          </cell>
        </row>
        <row r="881">
          <cell r="A881" t="str">
            <v>601Sales</v>
          </cell>
          <cell r="B881" t="str">
            <v>SES</v>
          </cell>
          <cell r="C881" t="str">
            <v>601SalesSES</v>
          </cell>
          <cell r="D881" t="str">
            <v>EUR</v>
          </cell>
          <cell r="E881">
            <v>55</v>
          </cell>
          <cell r="F881" t="str">
            <v>EUR/hr</v>
          </cell>
          <cell r="H881" t="str">
            <v>Hourly rate for 2001</v>
          </cell>
          <cell r="K881" t="str">
            <v>NEM Leiden</v>
          </cell>
        </row>
        <row r="882">
          <cell r="A882" t="str">
            <v>601Subc_adm</v>
          </cell>
          <cell r="B882" t="str">
            <v>GER</v>
          </cell>
          <cell r="C882" t="str">
            <v>601Subc_admGER</v>
          </cell>
          <cell r="D882" t="str">
            <v>EUR</v>
          </cell>
          <cell r="E882">
            <v>53</v>
          </cell>
          <cell r="F882" t="str">
            <v>EUR/hr</v>
          </cell>
          <cell r="H882" t="str">
            <v>Hourly rate for 2001</v>
          </cell>
          <cell r="K882" t="str">
            <v>NEM Germany</v>
          </cell>
        </row>
        <row r="883">
          <cell r="A883" t="str">
            <v>601Subc_adm</v>
          </cell>
          <cell r="B883" t="str">
            <v>HEN</v>
          </cell>
          <cell r="C883" t="str">
            <v>601Subc_admHEN</v>
          </cell>
          <cell r="D883" t="str">
            <v>EUR</v>
          </cell>
          <cell r="E883">
            <v>53</v>
          </cell>
          <cell r="F883" t="str">
            <v>EUR/hr</v>
          </cell>
          <cell r="H883" t="str">
            <v>Hourly rate for 2001, same as NEM ?!?</v>
          </cell>
          <cell r="K883" t="str">
            <v>NEM Hengelo</v>
          </cell>
        </row>
        <row r="884">
          <cell r="A884" t="str">
            <v>601Subc_adm</v>
          </cell>
          <cell r="B884" t="str">
            <v>LDN</v>
          </cell>
          <cell r="C884" t="str">
            <v>601Subc_admLDN</v>
          </cell>
          <cell r="D884" t="str">
            <v>EUR</v>
          </cell>
          <cell r="E884">
            <v>53</v>
          </cell>
          <cell r="F884" t="str">
            <v>EUR/hr</v>
          </cell>
          <cell r="H884" t="str">
            <v>Hourly rate for 2001</v>
          </cell>
          <cell r="K884" t="str">
            <v>NEM Leiden</v>
          </cell>
        </row>
        <row r="885">
          <cell r="A885" t="str">
            <v>601Subc_sup</v>
          </cell>
          <cell r="B885" t="str">
            <v>GER</v>
          </cell>
          <cell r="C885" t="str">
            <v>601Subc_supGER</v>
          </cell>
          <cell r="D885" t="str">
            <v>EUR</v>
          </cell>
          <cell r="E885">
            <v>53</v>
          </cell>
          <cell r="F885" t="str">
            <v>EUR/hr</v>
          </cell>
          <cell r="H885" t="str">
            <v>Hourly rate for 2001</v>
          </cell>
          <cell r="K885" t="str">
            <v>NEM Germany</v>
          </cell>
        </row>
        <row r="886">
          <cell r="A886" t="str">
            <v>601Subc_sup</v>
          </cell>
          <cell r="B886" t="str">
            <v>HEN</v>
          </cell>
          <cell r="C886" t="str">
            <v>601Subc_supHEN</v>
          </cell>
          <cell r="D886" t="str">
            <v>EUR</v>
          </cell>
          <cell r="E886">
            <v>53</v>
          </cell>
          <cell r="F886" t="str">
            <v>EUR/hr</v>
          </cell>
          <cell r="H886" t="str">
            <v>Hourly rate for 2001, same as NEM ?!?</v>
          </cell>
          <cell r="K886" t="str">
            <v>NEM Hengelo</v>
          </cell>
        </row>
        <row r="887">
          <cell r="A887" t="str">
            <v>601Subc_sup</v>
          </cell>
          <cell r="B887" t="str">
            <v>LDN</v>
          </cell>
          <cell r="C887" t="str">
            <v>601Subc_supLDN</v>
          </cell>
          <cell r="D887" t="str">
            <v>EUR</v>
          </cell>
          <cell r="E887">
            <v>53</v>
          </cell>
          <cell r="F887" t="str">
            <v>EUR/hr</v>
          </cell>
          <cell r="H887" t="str">
            <v>Hourly rate for 2001</v>
          </cell>
          <cell r="K887" t="str">
            <v>NEM Leiden</v>
          </cell>
        </row>
        <row r="888">
          <cell r="A888" t="str">
            <v>602Calc</v>
          </cell>
          <cell r="B888" t="str">
            <v>LDN</v>
          </cell>
          <cell r="C888" t="str">
            <v>602CalcLDN</v>
          </cell>
          <cell r="D888" t="str">
            <v>EUR</v>
          </cell>
          <cell r="E888">
            <v>43</v>
          </cell>
          <cell r="F888" t="str">
            <v>EUR/hr</v>
          </cell>
          <cell r="H888" t="str">
            <v>Hourly rate for 2002 (prel)</v>
          </cell>
          <cell r="K888" t="str">
            <v>NEM Leiden</v>
          </cell>
        </row>
        <row r="889">
          <cell r="A889" t="str">
            <v>602Constr</v>
          </cell>
          <cell r="B889" t="str">
            <v>LDN</v>
          </cell>
          <cell r="C889" t="str">
            <v>602ConstrLDN</v>
          </cell>
          <cell r="D889" t="str">
            <v>EUR</v>
          </cell>
          <cell r="E889">
            <v>56</v>
          </cell>
          <cell r="F889" t="str">
            <v>EUR/hr</v>
          </cell>
          <cell r="H889" t="str">
            <v>Hourly rate for 2002 (prel)</v>
          </cell>
          <cell r="K889" t="str">
            <v>NEM Leiden</v>
          </cell>
        </row>
        <row r="890">
          <cell r="A890" t="str">
            <v>602Design</v>
          </cell>
          <cell r="B890" t="str">
            <v>LDN</v>
          </cell>
          <cell r="C890" t="str">
            <v>602DesignLDN</v>
          </cell>
          <cell r="D890" t="str">
            <v>EUR</v>
          </cell>
          <cell r="E890">
            <v>43</v>
          </cell>
          <cell r="F890" t="str">
            <v>EUR/hr</v>
          </cell>
          <cell r="H890" t="str">
            <v>Hourly rate for 2002 (prel)</v>
          </cell>
          <cell r="K890" t="str">
            <v>NEM Leiden</v>
          </cell>
        </row>
        <row r="891">
          <cell r="A891" t="str">
            <v>602Manuf</v>
          </cell>
          <cell r="B891" t="str">
            <v>LDN</v>
          </cell>
          <cell r="C891" t="str">
            <v>602ManufLDN</v>
          </cell>
          <cell r="D891" t="str">
            <v>EUR</v>
          </cell>
          <cell r="E891">
            <v>41</v>
          </cell>
          <cell r="F891" t="str">
            <v>EUR/hr</v>
          </cell>
          <cell r="H891" t="str">
            <v>Hourly rate for 2002 (prel)</v>
          </cell>
          <cell r="K891" t="str">
            <v>NEM Leiden</v>
          </cell>
        </row>
        <row r="892">
          <cell r="A892" t="str">
            <v>602Pr_adm</v>
          </cell>
          <cell r="B892" t="str">
            <v>LDN</v>
          </cell>
          <cell r="C892" t="str">
            <v>602Pr_admLDN</v>
          </cell>
          <cell r="D892" t="str">
            <v>EUR</v>
          </cell>
          <cell r="E892">
            <v>53</v>
          </cell>
          <cell r="F892" t="str">
            <v>EUR/hr</v>
          </cell>
          <cell r="H892" t="str">
            <v>Hourly rate for 2002 (prel)</v>
          </cell>
          <cell r="K892" t="str">
            <v>NEM Leiden</v>
          </cell>
        </row>
        <row r="893">
          <cell r="A893" t="str">
            <v>602Pr_ass</v>
          </cell>
          <cell r="B893" t="str">
            <v>LDN</v>
          </cell>
          <cell r="C893" t="str">
            <v>602Pr_assLDN</v>
          </cell>
          <cell r="D893" t="str">
            <v>EUR</v>
          </cell>
          <cell r="E893">
            <v>26</v>
          </cell>
          <cell r="F893" t="str">
            <v>EUR/hr</v>
          </cell>
          <cell r="H893" t="str">
            <v>Hourly rate for 2002 (prel)</v>
          </cell>
          <cell r="K893" t="str">
            <v>NEM Leiden</v>
          </cell>
        </row>
        <row r="894">
          <cell r="A894" t="str">
            <v>602Pr_eng</v>
          </cell>
          <cell r="B894" t="str">
            <v>LDN</v>
          </cell>
          <cell r="C894" t="str">
            <v>602Pr_engLDN</v>
          </cell>
          <cell r="D894" t="str">
            <v>EUR</v>
          </cell>
          <cell r="E894">
            <v>43</v>
          </cell>
          <cell r="F894" t="str">
            <v>EUR/hr</v>
          </cell>
          <cell r="H894" t="str">
            <v>Hourly rate for 2002 (prel)</v>
          </cell>
          <cell r="K894" t="str">
            <v>NEM Leiden</v>
          </cell>
        </row>
        <row r="895">
          <cell r="A895" t="str">
            <v>602Pr_man</v>
          </cell>
          <cell r="B895" t="str">
            <v>LDN</v>
          </cell>
          <cell r="C895" t="str">
            <v>602Pr_manLDN</v>
          </cell>
          <cell r="D895" t="str">
            <v>EUR</v>
          </cell>
          <cell r="E895">
            <v>72</v>
          </cell>
          <cell r="F895" t="str">
            <v>EUR/hr</v>
          </cell>
          <cell r="H895" t="str">
            <v>Hourly rate for 2002 (prel)</v>
          </cell>
          <cell r="K895" t="str">
            <v>NEM Leiden</v>
          </cell>
        </row>
        <row r="896">
          <cell r="A896" t="str">
            <v>602Pr_sec</v>
          </cell>
          <cell r="B896" t="str">
            <v>LDN</v>
          </cell>
          <cell r="C896" t="str">
            <v>602Pr_secLDN</v>
          </cell>
          <cell r="D896" t="str">
            <v>EUR</v>
          </cell>
          <cell r="E896">
            <v>26</v>
          </cell>
          <cell r="F896" t="str">
            <v>EUR/hr</v>
          </cell>
          <cell r="H896" t="str">
            <v>Hourly rate for 2002 (prel)</v>
          </cell>
          <cell r="K896" t="str">
            <v>NEM Leiden</v>
          </cell>
        </row>
        <row r="897">
          <cell r="A897" t="str">
            <v>602Purch_exp</v>
          </cell>
          <cell r="B897" t="str">
            <v>LDN</v>
          </cell>
          <cell r="C897" t="str">
            <v>602Purch_expLDN</v>
          </cell>
          <cell r="D897" t="str">
            <v>EUR</v>
          </cell>
          <cell r="E897">
            <v>53</v>
          </cell>
          <cell r="F897" t="str">
            <v>EUR/hr</v>
          </cell>
          <cell r="H897" t="str">
            <v>Hourly rate for 2002 (prel)</v>
          </cell>
          <cell r="K897" t="str">
            <v>NEM Leiden</v>
          </cell>
        </row>
        <row r="898">
          <cell r="A898" t="str">
            <v>602QA_QC</v>
          </cell>
          <cell r="B898" t="str">
            <v>LDN</v>
          </cell>
          <cell r="C898" t="str">
            <v>602QA_QCLDN</v>
          </cell>
          <cell r="D898" t="str">
            <v>EUR</v>
          </cell>
          <cell r="E898">
            <v>53</v>
          </cell>
          <cell r="F898" t="str">
            <v>EUR/hr</v>
          </cell>
          <cell r="H898" t="str">
            <v>Hourly rate for 2002 (prel)</v>
          </cell>
          <cell r="K898" t="str">
            <v>NEM Leiden</v>
          </cell>
        </row>
        <row r="899">
          <cell r="A899" t="str">
            <v>602Sales</v>
          </cell>
          <cell r="B899" t="str">
            <v>CHP</v>
          </cell>
          <cell r="C899" t="str">
            <v>602SalesCHP</v>
          </cell>
          <cell r="D899" t="str">
            <v>EUR</v>
          </cell>
          <cell r="E899">
            <v>58</v>
          </cell>
          <cell r="F899" t="str">
            <v>EUR/hr</v>
          </cell>
          <cell r="H899" t="str">
            <v>Hourly rate for 2002 (prel)</v>
          </cell>
          <cell r="K899" t="str">
            <v>NEM Leiden</v>
          </cell>
        </row>
        <row r="900">
          <cell r="A900" t="str">
            <v>602Sales</v>
          </cell>
          <cell r="B900" t="str">
            <v>IPA</v>
          </cell>
          <cell r="C900" t="str">
            <v>602SalesIPA</v>
          </cell>
          <cell r="D900" t="str">
            <v>EUR</v>
          </cell>
          <cell r="E900">
            <v>58</v>
          </cell>
          <cell r="F900" t="str">
            <v>EUR/hr</v>
          </cell>
          <cell r="H900" t="str">
            <v>Hourly rate for 2002 (prel)</v>
          </cell>
          <cell r="K900" t="str">
            <v>NEM Leiden</v>
          </cell>
        </row>
        <row r="901">
          <cell r="A901" t="str">
            <v>602Sales</v>
          </cell>
          <cell r="B901" t="str">
            <v>LDN</v>
          </cell>
          <cell r="C901" t="str">
            <v>602SalesLDN</v>
          </cell>
          <cell r="D901" t="str">
            <v>EUR</v>
          </cell>
          <cell r="E901">
            <v>58</v>
          </cell>
          <cell r="F901" t="str">
            <v>EUR/hr</v>
          </cell>
          <cell r="H901" t="str">
            <v>Hourly rate for 2002 (prel)</v>
          </cell>
          <cell r="K901" t="str">
            <v>NEM Leiden</v>
          </cell>
        </row>
        <row r="902">
          <cell r="A902" t="str">
            <v>602Sales</v>
          </cell>
          <cell r="B902" t="str">
            <v>MHS</v>
          </cell>
          <cell r="C902" t="str">
            <v>602SalesMHS</v>
          </cell>
          <cell r="D902" t="str">
            <v>EUR</v>
          </cell>
          <cell r="E902">
            <v>58</v>
          </cell>
          <cell r="F902" t="str">
            <v>EUR/hr</v>
          </cell>
          <cell r="H902" t="str">
            <v>Hourly rate for 2002 (prel)</v>
          </cell>
          <cell r="K902" t="str">
            <v>NEM Leiden</v>
          </cell>
        </row>
        <row r="903">
          <cell r="A903" t="str">
            <v>602Sales</v>
          </cell>
          <cell r="B903" t="str">
            <v>SES</v>
          </cell>
          <cell r="C903" t="str">
            <v>602SalesSES</v>
          </cell>
          <cell r="D903" t="str">
            <v>EUR</v>
          </cell>
          <cell r="E903">
            <v>58</v>
          </cell>
          <cell r="F903" t="str">
            <v>EUR/hr</v>
          </cell>
          <cell r="H903" t="str">
            <v>Hourly rate for 2002 (prel)</v>
          </cell>
          <cell r="K903" t="str">
            <v>NEM Leiden</v>
          </cell>
        </row>
        <row r="904">
          <cell r="A904" t="str">
            <v>602Subc_adm</v>
          </cell>
          <cell r="B904" t="str">
            <v>LDN</v>
          </cell>
          <cell r="C904" t="str">
            <v>602Subc_admLDN</v>
          </cell>
          <cell r="D904" t="str">
            <v>EUR</v>
          </cell>
          <cell r="E904">
            <v>56</v>
          </cell>
          <cell r="F904" t="str">
            <v>EUR/hr</v>
          </cell>
          <cell r="H904" t="str">
            <v>Hourly rate for 2002 (prel)</v>
          </cell>
          <cell r="K904" t="str">
            <v>NEM Leiden</v>
          </cell>
        </row>
        <row r="905">
          <cell r="A905" t="str">
            <v>602Subc_sup</v>
          </cell>
          <cell r="B905" t="str">
            <v>LDN</v>
          </cell>
          <cell r="C905" t="str">
            <v>602Subc_supLDN</v>
          </cell>
          <cell r="D905" t="str">
            <v>EUR</v>
          </cell>
          <cell r="E905">
            <v>56</v>
          </cell>
          <cell r="F905" t="str">
            <v>EUR/hr</v>
          </cell>
          <cell r="H905" t="str">
            <v>Hourly rate for 2002 (prel)</v>
          </cell>
          <cell r="K905" t="str">
            <v>NEM Leiden</v>
          </cell>
        </row>
        <row r="906">
          <cell r="A906" t="str">
            <v>603Calc</v>
          </cell>
          <cell r="B906" t="str">
            <v>LDN</v>
          </cell>
          <cell r="C906" t="str">
            <v>603CalcLDN</v>
          </cell>
          <cell r="D906" t="str">
            <v>EUR</v>
          </cell>
          <cell r="E906">
            <v>45</v>
          </cell>
          <cell r="F906" t="str">
            <v>EUR/hr</v>
          </cell>
          <cell r="H906" t="str">
            <v>Hourly rate for 2003 (prel)</v>
          </cell>
          <cell r="K906" t="str">
            <v>NEM Leiden</v>
          </cell>
        </row>
        <row r="907">
          <cell r="A907" t="str">
            <v>603Constr</v>
          </cell>
          <cell r="B907" t="str">
            <v>LDN</v>
          </cell>
          <cell r="C907" t="str">
            <v>603ConstrLDN</v>
          </cell>
          <cell r="D907" t="str">
            <v>EUR</v>
          </cell>
          <cell r="E907">
            <v>59</v>
          </cell>
          <cell r="F907" t="str">
            <v>EUR/hr</v>
          </cell>
          <cell r="H907" t="str">
            <v>Hourly rate for 2003 (prel)</v>
          </cell>
          <cell r="K907" t="str">
            <v>NEM Leiden</v>
          </cell>
        </row>
        <row r="908">
          <cell r="A908" t="str">
            <v>603Design</v>
          </cell>
          <cell r="B908" t="str">
            <v>LDN</v>
          </cell>
          <cell r="C908" t="str">
            <v>603DesignLDN</v>
          </cell>
          <cell r="D908" t="str">
            <v>EUR</v>
          </cell>
          <cell r="E908">
            <v>45</v>
          </cell>
          <cell r="F908" t="str">
            <v>EUR/hr</v>
          </cell>
          <cell r="H908" t="str">
            <v>Hourly rate for 2003 (prel)</v>
          </cell>
          <cell r="K908" t="str">
            <v>NEM Leiden</v>
          </cell>
        </row>
        <row r="909">
          <cell r="A909" t="str">
            <v>603Manuf</v>
          </cell>
          <cell r="B909" t="str">
            <v>LDN</v>
          </cell>
          <cell r="C909" t="str">
            <v>603ManufLDN</v>
          </cell>
          <cell r="D909" t="str">
            <v>EUR</v>
          </cell>
          <cell r="E909">
            <v>43</v>
          </cell>
          <cell r="F909" t="str">
            <v>EUR/hr</v>
          </cell>
          <cell r="H909" t="str">
            <v>Hourly rate for 2003 (prel)</v>
          </cell>
          <cell r="K909" t="str">
            <v>NEM Leiden</v>
          </cell>
        </row>
        <row r="910">
          <cell r="A910" t="str">
            <v>603Pr_adm</v>
          </cell>
          <cell r="B910" t="str">
            <v>LDN</v>
          </cell>
          <cell r="C910" t="str">
            <v>603Pr_admLDN</v>
          </cell>
          <cell r="D910" t="str">
            <v>EUR</v>
          </cell>
          <cell r="E910">
            <v>56</v>
          </cell>
          <cell r="F910" t="str">
            <v>EUR/hr</v>
          </cell>
          <cell r="H910" t="str">
            <v>Hourly rate for 2003 (prel)</v>
          </cell>
          <cell r="K910" t="str">
            <v>NEM Leiden</v>
          </cell>
        </row>
        <row r="911">
          <cell r="A911" t="str">
            <v>603Pr_ass</v>
          </cell>
          <cell r="B911" t="str">
            <v>LDN</v>
          </cell>
          <cell r="C911" t="str">
            <v>603Pr_assLDN</v>
          </cell>
          <cell r="D911" t="str">
            <v>EUR</v>
          </cell>
          <cell r="E911">
            <v>27</v>
          </cell>
          <cell r="F911" t="str">
            <v>EUR/hr</v>
          </cell>
          <cell r="H911" t="str">
            <v>Hourly rate for 2003 (prel)</v>
          </cell>
          <cell r="K911" t="str">
            <v>NEM Leiden</v>
          </cell>
        </row>
        <row r="912">
          <cell r="A912" t="str">
            <v>603Pr_eng</v>
          </cell>
          <cell r="B912" t="str">
            <v>LDN</v>
          </cell>
          <cell r="C912" t="str">
            <v>603Pr_engLDN</v>
          </cell>
          <cell r="D912" t="str">
            <v>EUR</v>
          </cell>
          <cell r="E912">
            <v>45</v>
          </cell>
          <cell r="F912" t="str">
            <v>EUR/hr</v>
          </cell>
          <cell r="H912" t="str">
            <v>Hourly rate for 2003 (prel)</v>
          </cell>
          <cell r="K912" t="str">
            <v>NEM Leiden</v>
          </cell>
        </row>
        <row r="913">
          <cell r="A913" t="str">
            <v>603Pr_man</v>
          </cell>
          <cell r="B913" t="str">
            <v>LDN</v>
          </cell>
          <cell r="C913" t="str">
            <v>603Pr_manLDN</v>
          </cell>
          <cell r="D913" t="str">
            <v>EUR</v>
          </cell>
          <cell r="E913">
            <v>76</v>
          </cell>
          <cell r="F913" t="str">
            <v>EUR/hr</v>
          </cell>
          <cell r="H913" t="str">
            <v>Hourly rate for 2003 (prel)</v>
          </cell>
          <cell r="K913" t="str">
            <v>NEM Leiden</v>
          </cell>
        </row>
        <row r="914">
          <cell r="A914" t="str">
            <v>603Pr_sec</v>
          </cell>
          <cell r="B914" t="str">
            <v>LDN</v>
          </cell>
          <cell r="C914" t="str">
            <v>603Pr_secLDN</v>
          </cell>
          <cell r="D914" t="str">
            <v>EUR</v>
          </cell>
          <cell r="E914">
            <v>27</v>
          </cell>
          <cell r="F914" t="str">
            <v>EUR/hr</v>
          </cell>
          <cell r="H914" t="str">
            <v>Hourly rate for 2003 (prel)</v>
          </cell>
          <cell r="K914" t="str">
            <v>NEM Leiden</v>
          </cell>
        </row>
        <row r="915">
          <cell r="A915" t="str">
            <v>603Purch_exp</v>
          </cell>
          <cell r="B915" t="str">
            <v>LDN</v>
          </cell>
          <cell r="C915" t="str">
            <v>603Purch_expLDN</v>
          </cell>
          <cell r="D915" t="str">
            <v>EUR</v>
          </cell>
          <cell r="E915">
            <v>56</v>
          </cell>
          <cell r="F915" t="str">
            <v>EUR/hr</v>
          </cell>
          <cell r="H915" t="str">
            <v>Hourly rate for 2003 (prel)</v>
          </cell>
          <cell r="K915" t="str">
            <v>NEM Leiden</v>
          </cell>
        </row>
        <row r="916">
          <cell r="A916" t="str">
            <v>603QA_QC</v>
          </cell>
          <cell r="B916" t="str">
            <v>LDN</v>
          </cell>
          <cell r="C916" t="str">
            <v>603QA_QCLDN</v>
          </cell>
          <cell r="D916" t="str">
            <v>EUR</v>
          </cell>
          <cell r="E916">
            <v>56</v>
          </cell>
          <cell r="F916" t="str">
            <v>EUR/hr</v>
          </cell>
          <cell r="H916" t="str">
            <v>Hourly rate for 2003 (prel)</v>
          </cell>
          <cell r="K916" t="str">
            <v>NEM Leiden</v>
          </cell>
        </row>
        <row r="917">
          <cell r="A917" t="str">
            <v>603Sales</v>
          </cell>
          <cell r="B917" t="str">
            <v>CHP</v>
          </cell>
          <cell r="C917" t="str">
            <v>603SalesCHP</v>
          </cell>
          <cell r="D917" t="str">
            <v>EUR</v>
          </cell>
          <cell r="E917">
            <v>61</v>
          </cell>
          <cell r="F917" t="str">
            <v>EUR/hr</v>
          </cell>
          <cell r="H917" t="str">
            <v>Hourly rate for 2003 (prel)</v>
          </cell>
          <cell r="K917" t="str">
            <v>NEM Leiden</v>
          </cell>
        </row>
        <row r="918">
          <cell r="A918" t="str">
            <v>603Sales</v>
          </cell>
          <cell r="B918" t="str">
            <v>IPA</v>
          </cell>
          <cell r="C918" t="str">
            <v>603SalesIPA</v>
          </cell>
          <cell r="D918" t="str">
            <v>EUR</v>
          </cell>
          <cell r="E918">
            <v>61</v>
          </cell>
          <cell r="F918" t="str">
            <v>EUR/hr</v>
          </cell>
          <cell r="H918" t="str">
            <v>Hourly rate for 2003 (prel)</v>
          </cell>
          <cell r="K918" t="str">
            <v>NEM Leiden</v>
          </cell>
        </row>
        <row r="919">
          <cell r="A919" t="str">
            <v>603Sales</v>
          </cell>
          <cell r="B919" t="str">
            <v>LDN</v>
          </cell>
          <cell r="C919" t="str">
            <v>603SalesLDN</v>
          </cell>
          <cell r="D919" t="str">
            <v>EUR</v>
          </cell>
          <cell r="E919">
            <v>61</v>
          </cell>
          <cell r="F919" t="str">
            <v>EUR/hr</v>
          </cell>
          <cell r="H919" t="str">
            <v>Hourly rate for 2003 (prel)</v>
          </cell>
          <cell r="K919" t="str">
            <v>NEM Leiden</v>
          </cell>
        </row>
        <row r="920">
          <cell r="A920" t="str">
            <v>603Sales</v>
          </cell>
          <cell r="B920" t="str">
            <v>MHS</v>
          </cell>
          <cell r="C920" t="str">
            <v>603SalesMHS</v>
          </cell>
          <cell r="D920" t="str">
            <v>EUR</v>
          </cell>
          <cell r="E920">
            <v>61</v>
          </cell>
          <cell r="F920" t="str">
            <v>EUR/hr</v>
          </cell>
          <cell r="H920" t="str">
            <v>Hourly rate for 2003 (prel)</v>
          </cell>
          <cell r="K920" t="str">
            <v>NEM Leiden</v>
          </cell>
        </row>
        <row r="921">
          <cell r="A921" t="str">
            <v>603Sales</v>
          </cell>
          <cell r="B921" t="str">
            <v>SES</v>
          </cell>
          <cell r="C921" t="str">
            <v>603SalesSES</v>
          </cell>
          <cell r="D921" t="str">
            <v>EUR</v>
          </cell>
          <cell r="E921">
            <v>61</v>
          </cell>
          <cell r="F921" t="str">
            <v>EUR/hr</v>
          </cell>
          <cell r="H921" t="str">
            <v>Hourly rate for 2003 (prel)</v>
          </cell>
          <cell r="K921" t="str">
            <v>NEM Leiden</v>
          </cell>
        </row>
        <row r="922">
          <cell r="A922" t="str">
            <v>603Subc_adm</v>
          </cell>
          <cell r="B922" t="str">
            <v>LDN</v>
          </cell>
          <cell r="C922" t="str">
            <v>603Subc_admLDN</v>
          </cell>
          <cell r="D922" t="str">
            <v>EUR</v>
          </cell>
          <cell r="E922">
            <v>59</v>
          </cell>
          <cell r="F922" t="str">
            <v>EUR/hr</v>
          </cell>
          <cell r="H922" t="str">
            <v>Hourly rate for 2003 (prel)</v>
          </cell>
          <cell r="K922" t="str">
            <v>NEM Leiden</v>
          </cell>
        </row>
        <row r="923">
          <cell r="A923" t="str">
            <v>603Subc_sup</v>
          </cell>
          <cell r="B923" t="str">
            <v>LDN</v>
          </cell>
          <cell r="C923" t="str">
            <v>603Subc_supLDN</v>
          </cell>
          <cell r="D923" t="str">
            <v>EUR</v>
          </cell>
          <cell r="E923">
            <v>59</v>
          </cell>
          <cell r="F923" t="str">
            <v>EUR/hr</v>
          </cell>
          <cell r="H923" t="str">
            <v>Hourly rate for 2003 (prel)</v>
          </cell>
          <cell r="K923" t="str">
            <v>NEM Leiden</v>
          </cell>
        </row>
        <row r="924">
          <cell r="A924" t="str">
            <v>6FRPCSECUSA</v>
          </cell>
          <cell r="B924" t="str">
            <v>WI</v>
          </cell>
          <cell r="C924" t="str">
            <v>6FRPCSECUSAWI</v>
          </cell>
          <cell r="D924" t="str">
            <v>US$</v>
          </cell>
          <cell r="E924">
            <v>37.799999999999997</v>
          </cell>
          <cell r="F924" t="str">
            <v>US$/ht</v>
          </cell>
          <cell r="G924" t="str">
            <v>Yes</v>
          </cell>
          <cell r="H924" t="str">
            <v>Labor cost per hour for securing onto railcars etc.</v>
          </cell>
          <cell r="K924" t="str">
            <v>port charges</v>
          </cell>
        </row>
        <row r="925">
          <cell r="A925" t="str">
            <v>8BCAISI 304</v>
          </cell>
          <cell r="B925" t="str">
            <v>BRAND</v>
          </cell>
          <cell r="C925" t="str">
            <v>8BCAISI 304BRAND</v>
          </cell>
          <cell r="D925" t="str">
            <v>EUR</v>
          </cell>
          <cell r="E925">
            <v>3848</v>
          </cell>
          <cell r="F925" t="str">
            <v>EUR/t</v>
          </cell>
          <cell r="G925" t="str">
            <v>Yes</v>
          </cell>
          <cell r="H925" t="str">
            <v>3798 for mat'l &amp; fabr + 50 trsp FOB</v>
          </cell>
          <cell r="K925" t="str">
            <v>baffles</v>
          </cell>
        </row>
        <row r="926">
          <cell r="A926" t="str">
            <v>8BCAISI 304</v>
          </cell>
          <cell r="B926" t="str">
            <v>BRANDR</v>
          </cell>
          <cell r="C926" t="str">
            <v>8BCAISI 304BRANDR</v>
          </cell>
          <cell r="D926" t="str">
            <v>EUR</v>
          </cell>
          <cell r="E926">
            <v>3848</v>
          </cell>
          <cell r="F926" t="str">
            <v>EUR/t</v>
          </cell>
          <cell r="G926" t="str">
            <v>Yes</v>
          </cell>
          <cell r="H926" t="str">
            <v>3798 for mat'l &amp; fabr + 50 trsp FOB</v>
          </cell>
          <cell r="K926" t="str">
            <v>baffles</v>
          </cell>
        </row>
        <row r="927">
          <cell r="A927" t="str">
            <v>8BCAISI 310</v>
          </cell>
          <cell r="B927" t="str">
            <v>BRAND</v>
          </cell>
          <cell r="C927" t="str">
            <v>8BCAISI 310BRAND</v>
          </cell>
          <cell r="D927" t="str">
            <v>EUR</v>
          </cell>
          <cell r="E927">
            <v>5905</v>
          </cell>
          <cell r="F927" t="str">
            <v>EUR/t</v>
          </cell>
          <cell r="G927" t="str">
            <v>Yes</v>
          </cell>
          <cell r="H927" t="str">
            <v>5855 for mat'l &amp; fabr + 50 trsp FOB</v>
          </cell>
          <cell r="K927" t="str">
            <v>baffles</v>
          </cell>
        </row>
        <row r="928">
          <cell r="A928" t="str">
            <v>8BCAISI 310</v>
          </cell>
          <cell r="B928" t="str">
            <v>BRANDR</v>
          </cell>
          <cell r="C928" t="str">
            <v>8BCAISI 310BRANDR</v>
          </cell>
          <cell r="D928" t="str">
            <v>EUR</v>
          </cell>
          <cell r="E928">
            <v>5905</v>
          </cell>
          <cell r="F928" t="str">
            <v>EUR/t</v>
          </cell>
          <cell r="G928" t="str">
            <v>Yes</v>
          </cell>
          <cell r="H928" t="str">
            <v>5855 for mat'l &amp; fabr + 50 trsp FOB</v>
          </cell>
          <cell r="K928" t="str">
            <v>baffles</v>
          </cell>
        </row>
        <row r="929">
          <cell r="A929" t="str">
            <v>8BCAISI 316</v>
          </cell>
          <cell r="B929" t="str">
            <v>BRAND</v>
          </cell>
          <cell r="C929" t="str">
            <v>8BCAISI 316BRAND</v>
          </cell>
          <cell r="D929" t="str">
            <v>EUR</v>
          </cell>
          <cell r="E929">
            <v>4627</v>
          </cell>
          <cell r="F929" t="str">
            <v>EUR/t</v>
          </cell>
          <cell r="G929" t="str">
            <v>Yes</v>
          </cell>
          <cell r="H929" t="str">
            <v>4577 for mat'l &amp; fabr + 50 trsp FOB</v>
          </cell>
          <cell r="K929" t="str">
            <v>baffles</v>
          </cell>
        </row>
        <row r="930">
          <cell r="A930" t="str">
            <v>8BCAISI 316</v>
          </cell>
          <cell r="B930" t="str">
            <v>BRANDR</v>
          </cell>
          <cell r="C930" t="str">
            <v>8BCAISI 316BRANDR</v>
          </cell>
          <cell r="D930" t="str">
            <v>EUR</v>
          </cell>
          <cell r="E930">
            <v>4627</v>
          </cell>
          <cell r="F930" t="str">
            <v>EUR/t</v>
          </cell>
          <cell r="G930" t="str">
            <v>Yes</v>
          </cell>
          <cell r="H930" t="str">
            <v>4577 for mat'l &amp; fabr + 50 trsp FOB</v>
          </cell>
          <cell r="K930" t="str">
            <v>baffles</v>
          </cell>
        </row>
        <row r="931">
          <cell r="A931" t="str">
            <v>8BD&lt;20</v>
          </cell>
          <cell r="B931" t="str">
            <v>RAYTHEON R</v>
          </cell>
          <cell r="C931" t="str">
            <v>8BD&lt;20RAYTHEON R</v>
          </cell>
          <cell r="D931" t="str">
            <v>US$</v>
          </cell>
          <cell r="E931">
            <v>3</v>
          </cell>
          <cell r="F931" t="str">
            <v>US$/kg</v>
          </cell>
          <cell r="G931" t="str">
            <v>Yes</v>
          </cell>
          <cell r="H931" t="str">
            <v>BD tank, FOB Constanza</v>
          </cell>
          <cell r="K931" t="str">
            <v>drums &lt;20t</v>
          </cell>
        </row>
        <row r="932">
          <cell r="A932" t="str">
            <v>8BS16 Mo 3</v>
          </cell>
          <cell r="B932" t="str">
            <v>FERMSTAL</v>
          </cell>
          <cell r="C932" t="str">
            <v>8BS16 Mo 3FERMSTAL</v>
          </cell>
          <cell r="D932" t="str">
            <v>EUR</v>
          </cell>
          <cell r="E932" t="str">
            <v>na</v>
          </cell>
          <cell r="F932" t="str">
            <v>EUR/t</v>
          </cell>
          <cell r="G932" t="str">
            <v>Yes</v>
          </cell>
          <cell r="H932" t="str">
            <v>agreement 09/003 rev.1, no rate</v>
          </cell>
          <cell r="K932" t="str">
            <v>baffles</v>
          </cell>
        </row>
        <row r="933">
          <cell r="A933" t="str">
            <v>8BS16 Mo 3</v>
          </cell>
          <cell r="B933" t="str">
            <v>HUTNI</v>
          </cell>
          <cell r="C933" t="str">
            <v>8BS16 Mo 3HUTNI</v>
          </cell>
          <cell r="D933" t="str">
            <v>EUR</v>
          </cell>
          <cell r="E933">
            <v>1855</v>
          </cell>
          <cell r="F933" t="str">
            <v>EUR/t</v>
          </cell>
          <cell r="G933" t="str">
            <v>Yes</v>
          </cell>
          <cell r="H933" t="str">
            <v>CS EUR1195+ packing 75 + 16mo3 585</v>
          </cell>
          <cell r="K933" t="str">
            <v>baffles</v>
          </cell>
        </row>
        <row r="934">
          <cell r="A934" t="str">
            <v>8BSAISI 13CrMo44</v>
          </cell>
          <cell r="B934" t="str">
            <v>FERMSTAL</v>
          </cell>
          <cell r="C934" t="str">
            <v>8BSAISI 13CrMo44FERMSTAL</v>
          </cell>
          <cell r="D934" t="str">
            <v>EUR</v>
          </cell>
          <cell r="E934" t="str">
            <v>na</v>
          </cell>
          <cell r="F934" t="str">
            <v>EUR/t</v>
          </cell>
          <cell r="G934" t="str">
            <v>Yes</v>
          </cell>
          <cell r="H934" t="str">
            <v>agreement 09/003 rev.1, no rate</v>
          </cell>
          <cell r="K934" t="str">
            <v>baffles</v>
          </cell>
        </row>
        <row r="935">
          <cell r="A935" t="str">
            <v>8BSAISI 304</v>
          </cell>
          <cell r="B935" t="str">
            <v>AARDING</v>
          </cell>
          <cell r="C935" t="str">
            <v>8BSAISI 304AARDING</v>
          </cell>
          <cell r="D935" t="str">
            <v>EUR</v>
          </cell>
          <cell r="E935">
            <v>937.5</v>
          </cell>
          <cell r="F935" t="str">
            <v>EUR/t</v>
          </cell>
          <cell r="G935" t="str">
            <v>No</v>
          </cell>
          <cell r="H935" t="str">
            <v xml:space="preserve">Euro 15/m2 = 0.937.5/kg </v>
          </cell>
          <cell r="K935" t="str">
            <v>baffles</v>
          </cell>
        </row>
        <row r="936">
          <cell r="A936" t="str">
            <v>8BSAISI 304</v>
          </cell>
          <cell r="B936" t="str">
            <v>FERMSTAL</v>
          </cell>
          <cell r="C936" t="str">
            <v>8BSAISI 304FERMSTAL</v>
          </cell>
          <cell r="D936" t="str">
            <v>EUR</v>
          </cell>
          <cell r="E936" t="str">
            <v>na</v>
          </cell>
          <cell r="F936" t="str">
            <v>EUR/t</v>
          </cell>
          <cell r="G936" t="str">
            <v>Yes</v>
          </cell>
          <cell r="H936" t="str">
            <v>agreement 09/003 rev.1, no rate</v>
          </cell>
          <cell r="K936" t="str">
            <v>baffles</v>
          </cell>
        </row>
        <row r="937">
          <cell r="A937" t="str">
            <v>8BSAISI 304</v>
          </cell>
          <cell r="B937" t="str">
            <v>HUTNI</v>
          </cell>
          <cell r="C937" t="str">
            <v>8BSAISI 304HUTNI</v>
          </cell>
          <cell r="D937" t="str">
            <v>EUR</v>
          </cell>
          <cell r="E937">
            <v>4450</v>
          </cell>
          <cell r="F937" t="str">
            <v>EUR/t</v>
          </cell>
          <cell r="G937" t="str">
            <v>Yes</v>
          </cell>
          <cell r="H937" t="str">
            <v>CS EUR1195+ packing 75 + 304 €3180</v>
          </cell>
          <cell r="K937" t="str">
            <v>baffles</v>
          </cell>
        </row>
        <row r="938">
          <cell r="A938" t="str">
            <v>8BSAISI 304</v>
          </cell>
          <cell r="B938" t="str">
            <v>OKI</v>
          </cell>
          <cell r="C938" t="str">
            <v>8BSAISI 304OKI</v>
          </cell>
          <cell r="D938" t="str">
            <v>EUR</v>
          </cell>
          <cell r="E938">
            <v>1375</v>
          </cell>
          <cell r="F938" t="str">
            <v>EUR/t</v>
          </cell>
          <cell r="G938" t="str">
            <v>No</v>
          </cell>
          <cell r="H938" t="str">
            <v xml:space="preserve">Euro 22/m2 = 16 kg </v>
          </cell>
          <cell r="K938" t="str">
            <v>baffles</v>
          </cell>
        </row>
        <row r="939">
          <cell r="A939" t="str">
            <v>8BSAISI 310</v>
          </cell>
          <cell r="B939" t="str">
            <v>AARDING</v>
          </cell>
          <cell r="C939" t="str">
            <v>8BSAISI 310AARDING</v>
          </cell>
          <cell r="D939" t="str">
            <v>EUR</v>
          </cell>
          <cell r="E939">
            <v>937.5</v>
          </cell>
          <cell r="F939" t="str">
            <v>EUR/t</v>
          </cell>
          <cell r="G939" t="str">
            <v>No</v>
          </cell>
          <cell r="H939" t="str">
            <v xml:space="preserve">Euro 15/m2 = 0.937.5/kg </v>
          </cell>
          <cell r="K939" t="str">
            <v>baffles</v>
          </cell>
        </row>
        <row r="940">
          <cell r="A940" t="str">
            <v>8BSAISI 310</v>
          </cell>
          <cell r="B940" t="str">
            <v>FERMSTAL</v>
          </cell>
          <cell r="C940" t="str">
            <v>8BSAISI 310FERMSTAL</v>
          </cell>
          <cell r="D940" t="str">
            <v>EUR</v>
          </cell>
          <cell r="E940" t="str">
            <v>na</v>
          </cell>
          <cell r="F940" t="str">
            <v>EUR/t</v>
          </cell>
          <cell r="G940" t="str">
            <v>Yes</v>
          </cell>
          <cell r="H940" t="str">
            <v>agreement 09/003 rev.1, no rate</v>
          </cell>
          <cell r="K940" t="str">
            <v>baffles</v>
          </cell>
        </row>
        <row r="941">
          <cell r="A941" t="str">
            <v>8BSAISI 310</v>
          </cell>
          <cell r="B941" t="str">
            <v>HUTNI</v>
          </cell>
          <cell r="C941" t="str">
            <v>8BSAISI 310HUTNI</v>
          </cell>
          <cell r="D941" t="str">
            <v>EUR</v>
          </cell>
          <cell r="E941">
            <v>6015</v>
          </cell>
          <cell r="F941" t="str">
            <v>EUR/t</v>
          </cell>
          <cell r="G941" t="str">
            <v>Yes</v>
          </cell>
          <cell r="H941" t="str">
            <v>CS EUR1195+ packing 75 + 310 €4745</v>
          </cell>
          <cell r="K941" t="str">
            <v>baffles</v>
          </cell>
        </row>
        <row r="942">
          <cell r="A942" t="str">
            <v>8BSAISI 310</v>
          </cell>
          <cell r="B942" t="str">
            <v>OKI</v>
          </cell>
          <cell r="C942" t="str">
            <v>8BSAISI 310OKI</v>
          </cell>
          <cell r="D942" t="str">
            <v>EUR</v>
          </cell>
          <cell r="E942">
            <v>1375</v>
          </cell>
          <cell r="F942" t="str">
            <v>EUR/t</v>
          </cell>
          <cell r="G942" t="str">
            <v>No</v>
          </cell>
          <cell r="H942" t="str">
            <v xml:space="preserve">Euro 22/m2 = 16 kg </v>
          </cell>
          <cell r="K942" t="str">
            <v>baffles</v>
          </cell>
        </row>
        <row r="943">
          <cell r="A943" t="str">
            <v>8BSAISI 321</v>
          </cell>
          <cell r="B943" t="str">
            <v>AARDING</v>
          </cell>
          <cell r="C943" t="str">
            <v>8BSAISI 321AARDING</v>
          </cell>
          <cell r="D943" t="str">
            <v>EUR</v>
          </cell>
          <cell r="E943">
            <v>937.5</v>
          </cell>
          <cell r="F943" t="str">
            <v>EUR/t</v>
          </cell>
          <cell r="G943" t="str">
            <v>No</v>
          </cell>
          <cell r="H943" t="str">
            <v xml:space="preserve">Euro 15/m2 = 0.937.5/kg </v>
          </cell>
          <cell r="K943" t="str">
            <v>baffles</v>
          </cell>
        </row>
        <row r="944">
          <cell r="A944" t="str">
            <v>8BSAISI 321</v>
          </cell>
          <cell r="B944" t="str">
            <v>HUTNI</v>
          </cell>
          <cell r="C944" t="str">
            <v>8BSAISI 321HUTNI</v>
          </cell>
          <cell r="D944" t="str">
            <v>EUR</v>
          </cell>
          <cell r="E944">
            <v>4450</v>
          </cell>
          <cell r="F944" t="str">
            <v>EUR/t</v>
          </cell>
          <cell r="G944" t="str">
            <v>Yes</v>
          </cell>
          <cell r="H944" t="str">
            <v>CS EUR1195+ packing 75 + 321 €3180</v>
          </cell>
          <cell r="K944" t="str">
            <v>baffles</v>
          </cell>
        </row>
        <row r="945">
          <cell r="A945" t="str">
            <v>8BSAISI 321</v>
          </cell>
          <cell r="B945" t="str">
            <v>OKI</v>
          </cell>
          <cell r="C945" t="str">
            <v>8BSAISI 321OKI</v>
          </cell>
          <cell r="D945" t="str">
            <v>EUR</v>
          </cell>
          <cell r="E945">
            <v>1375</v>
          </cell>
          <cell r="F945" t="str">
            <v>EUR/t</v>
          </cell>
          <cell r="G945" t="str">
            <v>No</v>
          </cell>
          <cell r="H945" t="str">
            <v xml:space="preserve">Euro 22/m2 = 16 kg </v>
          </cell>
          <cell r="K945" t="str">
            <v>baffles</v>
          </cell>
        </row>
        <row r="946">
          <cell r="A946" t="str">
            <v>8BSAISI 409</v>
          </cell>
          <cell r="B946" t="str">
            <v>AARDING</v>
          </cell>
          <cell r="C946" t="str">
            <v>8BSAISI 409AARDING</v>
          </cell>
          <cell r="D946" t="str">
            <v>EUR</v>
          </cell>
          <cell r="E946">
            <v>937.5</v>
          </cell>
          <cell r="F946" t="str">
            <v>EUR/t</v>
          </cell>
          <cell r="G946" t="str">
            <v>No</v>
          </cell>
          <cell r="H946" t="str">
            <v xml:space="preserve">Euro 15/m2 = 0.937.5/kg </v>
          </cell>
          <cell r="K946" t="str">
            <v>baffles</v>
          </cell>
        </row>
        <row r="947">
          <cell r="A947" t="str">
            <v>8BSAISI 409</v>
          </cell>
          <cell r="B947" t="str">
            <v>FERMSTAL</v>
          </cell>
          <cell r="C947" t="str">
            <v>8BSAISI 409FERMSTAL</v>
          </cell>
          <cell r="D947" t="str">
            <v>EUR</v>
          </cell>
          <cell r="E947" t="str">
            <v>na</v>
          </cell>
          <cell r="F947" t="str">
            <v>EUR/t</v>
          </cell>
          <cell r="G947" t="str">
            <v>Yes</v>
          </cell>
          <cell r="H947" t="str">
            <v>agreement 09/003 rev.1, no rate</v>
          </cell>
          <cell r="K947" t="str">
            <v>baffles</v>
          </cell>
        </row>
        <row r="948">
          <cell r="A948" t="str">
            <v>8BSAISI 409</v>
          </cell>
          <cell r="B948" t="str">
            <v>HUTNI</v>
          </cell>
          <cell r="C948" t="str">
            <v>8BSAISI 409HUTNI</v>
          </cell>
          <cell r="D948" t="str">
            <v>EUR</v>
          </cell>
          <cell r="E948">
            <v>3715</v>
          </cell>
          <cell r="F948" t="str">
            <v>EUR/t</v>
          </cell>
          <cell r="G948" t="str">
            <v>Yes</v>
          </cell>
          <cell r="H948" t="str">
            <v>CS EUR1195+ packing 75 + 409 2445</v>
          </cell>
          <cell r="K948" t="str">
            <v>baffles</v>
          </cell>
        </row>
        <row r="949">
          <cell r="A949" t="str">
            <v>8BSAISI 409</v>
          </cell>
          <cell r="B949" t="str">
            <v>OKI</v>
          </cell>
          <cell r="C949" t="str">
            <v>8BSAISI 409OKI</v>
          </cell>
          <cell r="D949" t="str">
            <v>EUR</v>
          </cell>
          <cell r="E949">
            <v>1375</v>
          </cell>
          <cell r="F949" t="str">
            <v>EUR/t</v>
          </cell>
          <cell r="G949" t="str">
            <v>No</v>
          </cell>
          <cell r="H949" t="str">
            <v xml:space="preserve">Euro 22/m2 = 16 kg </v>
          </cell>
          <cell r="K949" t="str">
            <v>baffles</v>
          </cell>
        </row>
        <row r="950">
          <cell r="A950" t="str">
            <v>8BSCS</v>
          </cell>
          <cell r="B950" t="str">
            <v>AARDING</v>
          </cell>
          <cell r="C950" t="str">
            <v>8BSCSAARDING</v>
          </cell>
          <cell r="D950" t="str">
            <v>EUR</v>
          </cell>
          <cell r="E950">
            <v>937.5</v>
          </cell>
          <cell r="F950" t="str">
            <v>EUR/t</v>
          </cell>
          <cell r="G950" t="str">
            <v>No</v>
          </cell>
          <cell r="H950" t="str">
            <v xml:space="preserve">Euro 15/m2 = 0.937.5/kg </v>
          </cell>
          <cell r="K950" t="str">
            <v>baffles</v>
          </cell>
        </row>
        <row r="951">
          <cell r="A951" t="str">
            <v>8BSCS</v>
          </cell>
          <cell r="B951" t="str">
            <v>BRAND</v>
          </cell>
          <cell r="C951" t="str">
            <v>8BSCSBRAND</v>
          </cell>
          <cell r="D951" t="str">
            <v>EUR</v>
          </cell>
          <cell r="E951">
            <v>1150</v>
          </cell>
          <cell r="F951" t="str">
            <v>EUR/t</v>
          </cell>
          <cell r="G951" t="str">
            <v>Yes</v>
          </cell>
          <cell r="H951" t="str">
            <v>1100 for mat'l &amp; fabr + 50 trsp FOB</v>
          </cell>
          <cell r="K951" t="str">
            <v>baffles</v>
          </cell>
        </row>
        <row r="952">
          <cell r="A952" t="str">
            <v>8BSCS</v>
          </cell>
          <cell r="B952" t="str">
            <v>BRANDR</v>
          </cell>
          <cell r="C952" t="str">
            <v>8BSCSBRANDR</v>
          </cell>
          <cell r="D952" t="str">
            <v>EUR</v>
          </cell>
          <cell r="E952">
            <v>1150</v>
          </cell>
          <cell r="F952" t="str">
            <v>EUR/t</v>
          </cell>
          <cell r="G952" t="str">
            <v>Yes</v>
          </cell>
          <cell r="H952" t="str">
            <v>1100 for mat'l &amp; fabr + 50 trsp FOB</v>
          </cell>
          <cell r="K952" t="str">
            <v>baffles</v>
          </cell>
        </row>
        <row r="953">
          <cell r="A953" t="str">
            <v>8BSCS</v>
          </cell>
          <cell r="B953" t="str">
            <v>HUTNI</v>
          </cell>
          <cell r="C953" t="str">
            <v>8BSCSHUTNI</v>
          </cell>
          <cell r="D953" t="str">
            <v>EUR</v>
          </cell>
          <cell r="E953">
            <v>1270</v>
          </cell>
          <cell r="F953" t="str">
            <v>EUR/t</v>
          </cell>
          <cell r="G953" t="str">
            <v>Yes</v>
          </cell>
          <cell r="H953" t="str">
            <v>CS EUR1195+ packing 75</v>
          </cell>
          <cell r="K953" t="str">
            <v>baffles</v>
          </cell>
        </row>
        <row r="954">
          <cell r="A954" t="str">
            <v>8BSCS</v>
          </cell>
          <cell r="B954" t="str">
            <v>OKI</v>
          </cell>
          <cell r="C954" t="str">
            <v>8BSCSOKI</v>
          </cell>
          <cell r="D954" t="str">
            <v>EUR</v>
          </cell>
          <cell r="E954">
            <v>1375</v>
          </cell>
          <cell r="F954" t="str">
            <v>EUR/t</v>
          </cell>
          <cell r="G954" t="str">
            <v>No</v>
          </cell>
          <cell r="H954" t="str">
            <v xml:space="preserve">Euro 22/m2 = 16 kg </v>
          </cell>
          <cell r="K954" t="str">
            <v>baffles</v>
          </cell>
        </row>
        <row r="955">
          <cell r="A955" t="str">
            <v>8BSENG</v>
          </cell>
          <cell r="B955" t="str">
            <v>AARDING</v>
          </cell>
          <cell r="C955" t="str">
            <v>8BSENGAARDING</v>
          </cell>
          <cell r="D955" t="str">
            <v>EUR</v>
          </cell>
          <cell r="E955">
            <v>4200</v>
          </cell>
          <cell r="F955" t="str">
            <v>EURea</v>
          </cell>
          <cell r="G955" t="str">
            <v>Yes</v>
          </cell>
          <cell r="K955" t="str">
            <v>baffles</v>
          </cell>
        </row>
        <row r="956">
          <cell r="A956" t="str">
            <v>8BSENG</v>
          </cell>
          <cell r="B956" t="str">
            <v>OKI</v>
          </cell>
          <cell r="C956" t="str">
            <v>8BSENGOKI</v>
          </cell>
          <cell r="D956" t="str">
            <v>EUR</v>
          </cell>
          <cell r="E956">
            <v>5450</v>
          </cell>
          <cell r="F956" t="str">
            <v>EURea</v>
          </cell>
          <cell r="G956" t="str">
            <v>Yes</v>
          </cell>
          <cell r="H956" t="str">
            <v>CS EUR1195+ packing 75 + P265 : 100/t</v>
          </cell>
          <cell r="K956" t="str">
            <v>baffles</v>
          </cell>
        </row>
        <row r="957">
          <cell r="A957" t="str">
            <v>8BSP265 GH</v>
          </cell>
          <cell r="B957" t="str">
            <v>HUTNI</v>
          </cell>
          <cell r="C957" t="str">
            <v>8BSP265 GHHUTNI</v>
          </cell>
          <cell r="D957" t="str">
            <v>EUR</v>
          </cell>
          <cell r="E957">
            <v>1370</v>
          </cell>
          <cell r="F957" t="str">
            <v>EUR/t</v>
          </cell>
          <cell r="G957" t="str">
            <v>Yes</v>
          </cell>
          <cell r="H957" t="str">
            <v>CS EUR1195+ packing 75 + P265 : 100/t</v>
          </cell>
          <cell r="K957" t="str">
            <v>baffles</v>
          </cell>
        </row>
        <row r="958">
          <cell r="A958" t="str">
            <v>8BSS355</v>
          </cell>
          <cell r="B958" t="str">
            <v>HUTNI</v>
          </cell>
          <cell r="C958" t="str">
            <v>8BSS355HUTNI</v>
          </cell>
          <cell r="D958" t="str">
            <v>EUR</v>
          </cell>
          <cell r="E958">
            <v>1345</v>
          </cell>
          <cell r="F958" t="str">
            <v>EUR/t</v>
          </cell>
          <cell r="G958" t="str">
            <v>Yes</v>
          </cell>
          <cell r="H958" t="str">
            <v>CS EUR1195+ packing 75 + S355 : 75/t</v>
          </cell>
          <cell r="K958" t="str">
            <v>baffles</v>
          </cell>
        </row>
        <row r="959">
          <cell r="A959" t="str">
            <v>8BUNDCS</v>
          </cell>
          <cell r="B959" t="str">
            <v>ABB MSET</v>
          </cell>
          <cell r="C959" t="str">
            <v>8BUNDCSABB MSET</v>
          </cell>
          <cell r="D959" t="str">
            <v>EUR</v>
          </cell>
          <cell r="E959">
            <v>59</v>
          </cell>
          <cell r="F959" t="str">
            <v>EUR/pcs</v>
          </cell>
          <cell r="G959" t="str">
            <v>No</v>
          </cell>
          <cell r="H959" t="str">
            <v>Agreement 99/007, inl. riskprod.gaps!, excl. ship ladders</v>
          </cell>
          <cell r="K959" t="str">
            <v>bundle</v>
          </cell>
        </row>
        <row r="960">
          <cell r="A960" t="str">
            <v>8BUNDCS</v>
          </cell>
          <cell r="B960" t="str">
            <v>CBC BRA</v>
          </cell>
          <cell r="C960" t="str">
            <v>8BUNDCSCBC BRA</v>
          </cell>
          <cell r="D960" t="str">
            <v>US$</v>
          </cell>
          <cell r="E960">
            <v>79.5</v>
          </cell>
          <cell r="F960" t="str">
            <v>US$/pcs</v>
          </cell>
          <cell r="G960" t="str">
            <v>No</v>
          </cell>
          <cell r="H960" t="str">
            <v>acc.PO RIO NOGALIS  22.27 fob + 64 fabr</v>
          </cell>
          <cell r="K960" t="str">
            <v>bundle</v>
          </cell>
        </row>
        <row r="961">
          <cell r="A961" t="str">
            <v>8BUNDCS</v>
          </cell>
          <cell r="B961" t="str">
            <v>DB INDIA</v>
          </cell>
          <cell r="C961" t="str">
            <v>8BUNDCSDB INDIA</v>
          </cell>
          <cell r="D961" t="str">
            <v>US$</v>
          </cell>
          <cell r="E961">
            <v>30.3</v>
          </cell>
          <cell r="F961" t="str">
            <v>US$/pcs</v>
          </cell>
          <cell r="G961" t="str">
            <v>No</v>
          </cell>
          <cell r="H961" t="str">
            <v>21.66/tube + 1.50 weld consumables + 5.22 assembly</v>
          </cell>
          <cell r="K961" t="str">
            <v>bundle</v>
          </cell>
        </row>
        <row r="962">
          <cell r="A962" t="str">
            <v>8BUNDCS</v>
          </cell>
          <cell r="B962" t="str">
            <v>KOREA18</v>
          </cell>
          <cell r="C962" t="str">
            <v>8BUNDCSKOREA18</v>
          </cell>
          <cell r="D962" t="str">
            <v>US$</v>
          </cell>
          <cell r="E962">
            <v>0</v>
          </cell>
          <cell r="F962" t="str">
            <v>US$/ton</v>
          </cell>
          <cell r="G962" t="str">
            <v>Yes</v>
          </cell>
          <cell r="H962" t="str">
            <v>see 8bundtrsp</v>
          </cell>
          <cell r="K962" t="str">
            <v>bundle</v>
          </cell>
        </row>
        <row r="963">
          <cell r="A963" t="str">
            <v>8BUNDCS</v>
          </cell>
          <cell r="B963" t="str">
            <v>SUNGJIN</v>
          </cell>
          <cell r="C963" t="str">
            <v>8BUNDCSSUNGJIN</v>
          </cell>
          <cell r="D963" t="str">
            <v>US$</v>
          </cell>
          <cell r="E963">
            <v>0</v>
          </cell>
          <cell r="F963" t="str">
            <v>US$/pcs</v>
          </cell>
          <cell r="G963" t="str">
            <v>Yes</v>
          </cell>
          <cell r="H963" t="str">
            <v>see 8harptrsp</v>
          </cell>
          <cell r="K963" t="str">
            <v>harp</v>
          </cell>
        </row>
        <row r="964">
          <cell r="A964" t="str">
            <v>8BUNDFPCS</v>
          </cell>
          <cell r="B964" t="str">
            <v>ABB MSET</v>
          </cell>
          <cell r="C964" t="str">
            <v>8BUNDFPCSABB MSET</v>
          </cell>
          <cell r="D964" t="str">
            <v>EUR</v>
          </cell>
          <cell r="E964">
            <v>69.650000000000006</v>
          </cell>
          <cell r="F964" t="str">
            <v>EUR/pcs</v>
          </cell>
          <cell r="G964" t="str">
            <v>No</v>
          </cell>
          <cell r="H964" t="str">
            <v>Agreement 99/007, inl. riskprod.gaps!, excl. ship ladders+FP 10.65</v>
          </cell>
          <cell r="K964" t="str">
            <v>bundle</v>
          </cell>
        </row>
        <row r="965">
          <cell r="A965" t="str">
            <v>8BUNDFPCS</v>
          </cell>
          <cell r="B965" t="str">
            <v>CBC BRA</v>
          </cell>
          <cell r="C965" t="str">
            <v>8BUNDFPCSCBC BRA</v>
          </cell>
          <cell r="D965" t="str">
            <v>US$</v>
          </cell>
          <cell r="E965">
            <v>90</v>
          </cell>
          <cell r="F965" t="str">
            <v>US$/pcs</v>
          </cell>
          <cell r="G965" t="str">
            <v>No</v>
          </cell>
          <cell r="H965" t="str">
            <v>acc.PO RIO NOGALIS  22.27 fob + 64 fabr</v>
          </cell>
          <cell r="K965" t="str">
            <v>bundle</v>
          </cell>
        </row>
        <row r="966">
          <cell r="A966" t="str">
            <v>8BUNDFPCS</v>
          </cell>
          <cell r="B966" t="str">
            <v>DB INDIA</v>
          </cell>
          <cell r="C966" t="str">
            <v>8BUNDFPCSDB INDIA</v>
          </cell>
          <cell r="D966" t="str">
            <v>US$</v>
          </cell>
          <cell r="E966">
            <v>30.3</v>
          </cell>
          <cell r="F966" t="str">
            <v>US$/pcs</v>
          </cell>
          <cell r="G966" t="str">
            <v>No</v>
          </cell>
          <cell r="H966" t="str">
            <v>21.66/tube + 1.50 weld consumables + 5.22 assembly</v>
          </cell>
          <cell r="K966" t="str">
            <v>bundle</v>
          </cell>
        </row>
        <row r="967">
          <cell r="A967" t="str">
            <v>8BUNDFPCS</v>
          </cell>
          <cell r="B967" t="str">
            <v>GANZ</v>
          </cell>
          <cell r="C967" t="str">
            <v>8BUNDFPCSGANZ</v>
          </cell>
          <cell r="D967" t="str">
            <v>EUR</v>
          </cell>
          <cell r="E967">
            <v>0</v>
          </cell>
          <cell r="F967" t="str">
            <v>EUR/tube</v>
          </cell>
          <cell r="G967" t="str">
            <v>Yes</v>
          </cell>
          <cell r="H967" t="str">
            <v>base price</v>
          </cell>
          <cell r="K967" t="str">
            <v>bundle</v>
          </cell>
        </row>
        <row r="968">
          <cell r="A968" t="str">
            <v>8BUNDFPCS</v>
          </cell>
          <cell r="B968" t="str">
            <v>KOREA18</v>
          </cell>
          <cell r="C968" t="str">
            <v>8BUNDFPCSKOREA18</v>
          </cell>
          <cell r="D968" t="str">
            <v>US$</v>
          </cell>
          <cell r="E968">
            <v>0</v>
          </cell>
          <cell r="F968" t="str">
            <v>US$/ton</v>
          </cell>
          <cell r="G968" t="str">
            <v>Yes</v>
          </cell>
          <cell r="H968" t="str">
            <v>see 8bundtrsp</v>
          </cell>
          <cell r="K968" t="str">
            <v>bundle</v>
          </cell>
        </row>
        <row r="969">
          <cell r="A969" t="str">
            <v>8BUNDFPT11</v>
          </cell>
          <cell r="B969" t="str">
            <v>ABB MSET</v>
          </cell>
          <cell r="C969" t="str">
            <v>8BUNDFPT11ABB MSET</v>
          </cell>
          <cell r="D969" t="str">
            <v>EUR</v>
          </cell>
          <cell r="E969">
            <v>69.650000000000006</v>
          </cell>
          <cell r="F969" t="str">
            <v>EUR/pcs</v>
          </cell>
          <cell r="G969" t="str">
            <v>No</v>
          </cell>
          <cell r="H969" t="str">
            <v>Agreement 99/007, inl. riskprod.gaps!, excl. ship ladders+FP 10.65</v>
          </cell>
          <cell r="K969" t="str">
            <v>bundle</v>
          </cell>
        </row>
        <row r="970">
          <cell r="A970" t="str">
            <v>8BUNDFPT11</v>
          </cell>
          <cell r="B970" t="str">
            <v>CBC BRA</v>
          </cell>
          <cell r="C970" t="str">
            <v>8BUNDFPT11CBC BRA</v>
          </cell>
          <cell r="D970" t="str">
            <v>US$</v>
          </cell>
          <cell r="E970">
            <v>103.5</v>
          </cell>
          <cell r="F970" t="str">
            <v>US$/pcs</v>
          </cell>
          <cell r="G970" t="str">
            <v>No</v>
          </cell>
          <cell r="H970" t="str">
            <v>acc.PO RIO NOGALIS  22.27 fob + 64 fabr</v>
          </cell>
          <cell r="K970" t="str">
            <v>bundle</v>
          </cell>
        </row>
        <row r="971">
          <cell r="A971" t="str">
            <v>8BUNDFPT11</v>
          </cell>
          <cell r="B971" t="str">
            <v>DB INDIA</v>
          </cell>
          <cell r="C971" t="str">
            <v>8BUNDFPT11DB INDIA</v>
          </cell>
          <cell r="D971" t="str">
            <v>US$</v>
          </cell>
          <cell r="E971">
            <v>33.049999999999997</v>
          </cell>
          <cell r="F971" t="str">
            <v>US$/pcs</v>
          </cell>
          <cell r="G971" t="str">
            <v>No</v>
          </cell>
          <cell r="H971" t="str">
            <v>24.22/tube + 1.50 weld consumables + 5.22 assembly</v>
          </cell>
          <cell r="K971" t="str">
            <v>bundle</v>
          </cell>
        </row>
        <row r="972">
          <cell r="A972" t="str">
            <v>8BUNDFPT11</v>
          </cell>
          <cell r="B972" t="str">
            <v>GANZ</v>
          </cell>
          <cell r="C972" t="str">
            <v>8BUNDFPT11GANZ</v>
          </cell>
          <cell r="D972" t="str">
            <v>EUR</v>
          </cell>
          <cell r="E972">
            <v>0</v>
          </cell>
          <cell r="F972" t="str">
            <v>EUR/tube</v>
          </cell>
          <cell r="G972" t="str">
            <v>Yes</v>
          </cell>
          <cell r="H972" t="str">
            <v>base price</v>
          </cell>
          <cell r="K972" t="str">
            <v>bundle</v>
          </cell>
        </row>
        <row r="973">
          <cell r="A973" t="str">
            <v>8BUNDFPT11</v>
          </cell>
          <cell r="B973" t="str">
            <v>KOREA18</v>
          </cell>
          <cell r="C973" t="str">
            <v>8BUNDFPT11KOREA18</v>
          </cell>
          <cell r="D973" t="str">
            <v>US$</v>
          </cell>
          <cell r="E973">
            <v>0</v>
          </cell>
          <cell r="F973" t="str">
            <v>US$/ton</v>
          </cell>
          <cell r="G973" t="str">
            <v>Yes</v>
          </cell>
          <cell r="H973" t="str">
            <v>see 8bundtrsp</v>
          </cell>
          <cell r="K973" t="str">
            <v>bundle</v>
          </cell>
        </row>
        <row r="974">
          <cell r="A974" t="str">
            <v>8BUNDFPT22</v>
          </cell>
          <cell r="B974" t="str">
            <v>ABB MSET</v>
          </cell>
          <cell r="C974" t="str">
            <v>8BUNDFPT22ABB MSET</v>
          </cell>
          <cell r="D974" t="str">
            <v>EUR</v>
          </cell>
          <cell r="E974">
            <v>69.650000000000006</v>
          </cell>
          <cell r="F974" t="str">
            <v>EUR/pcs</v>
          </cell>
          <cell r="G974" t="str">
            <v>No</v>
          </cell>
          <cell r="H974" t="str">
            <v>Agreement 99/007, inl. riskprod.gaps!, excl. ship ladders+FP 10.65</v>
          </cell>
          <cell r="K974" t="str">
            <v>bundle</v>
          </cell>
        </row>
        <row r="975">
          <cell r="A975" t="str">
            <v>8BUNDFPT22</v>
          </cell>
          <cell r="B975" t="str">
            <v>CBC BRA</v>
          </cell>
          <cell r="C975" t="str">
            <v>8BUNDFPT22CBC BRA</v>
          </cell>
          <cell r="D975" t="str">
            <v>US$</v>
          </cell>
          <cell r="E975">
            <v>103.5</v>
          </cell>
          <cell r="F975" t="str">
            <v>US$/pcs</v>
          </cell>
          <cell r="G975" t="str">
            <v>No</v>
          </cell>
          <cell r="H975" t="str">
            <v>acc.PO RIO NOGALIS  22.27 fob + 64 fabr</v>
          </cell>
          <cell r="K975" t="str">
            <v>bundle</v>
          </cell>
        </row>
        <row r="976">
          <cell r="A976" t="str">
            <v>8BUNDFPT22</v>
          </cell>
          <cell r="B976" t="str">
            <v>DB INDIA</v>
          </cell>
          <cell r="C976" t="str">
            <v>8BUNDFPT22DB INDIA</v>
          </cell>
          <cell r="D976" t="str">
            <v>US$</v>
          </cell>
          <cell r="E976">
            <v>33.049999999999997</v>
          </cell>
          <cell r="F976" t="str">
            <v>US$/pcs</v>
          </cell>
          <cell r="G976" t="str">
            <v>No</v>
          </cell>
          <cell r="H976" t="str">
            <v>24.22/tube + 1.50 weld consumables + 5.22 assembly</v>
          </cell>
          <cell r="K976" t="str">
            <v>bundle</v>
          </cell>
        </row>
        <row r="977">
          <cell r="A977" t="str">
            <v>8BUNDFPT22</v>
          </cell>
          <cell r="B977" t="str">
            <v>GANZ</v>
          </cell>
          <cell r="C977" t="str">
            <v>8BUNDFPT22GANZ</v>
          </cell>
          <cell r="D977" t="str">
            <v>EUR</v>
          </cell>
          <cell r="E977">
            <v>0</v>
          </cell>
          <cell r="F977" t="str">
            <v>EUR/tube</v>
          </cell>
          <cell r="G977" t="str">
            <v>Yes</v>
          </cell>
          <cell r="H977" t="str">
            <v>base price</v>
          </cell>
          <cell r="K977" t="str">
            <v>bundle</v>
          </cell>
        </row>
        <row r="978">
          <cell r="A978" t="str">
            <v>8BUNDFPT22</v>
          </cell>
          <cell r="B978" t="str">
            <v>KOREA18</v>
          </cell>
          <cell r="C978" t="str">
            <v>8BUNDFPT22KOREA18</v>
          </cell>
          <cell r="D978" t="str">
            <v>US$</v>
          </cell>
          <cell r="E978">
            <v>0</v>
          </cell>
          <cell r="F978" t="str">
            <v>US$/ton</v>
          </cell>
          <cell r="G978" t="str">
            <v>Yes</v>
          </cell>
          <cell r="H978" t="str">
            <v>see 8bundtrsp</v>
          </cell>
          <cell r="K978" t="str">
            <v>bundle</v>
          </cell>
        </row>
        <row r="979">
          <cell r="A979" t="str">
            <v>8BUNDFPT91</v>
          </cell>
          <cell r="B979" t="str">
            <v>ABB MSET</v>
          </cell>
          <cell r="C979" t="str">
            <v>8BUNDFPT91ABB MSET</v>
          </cell>
          <cell r="D979" t="str">
            <v>EUR</v>
          </cell>
          <cell r="E979">
            <v>69.650000000000006</v>
          </cell>
          <cell r="F979" t="str">
            <v>EUR/pcs</v>
          </cell>
          <cell r="G979" t="str">
            <v>No</v>
          </cell>
          <cell r="H979" t="str">
            <v>Agreement 99/007, inl. riskprod.gaps!, excl. ship ladders+FP 10.65</v>
          </cell>
          <cell r="K979" t="str">
            <v>bundle</v>
          </cell>
        </row>
        <row r="980">
          <cell r="A980" t="str">
            <v>8BUNDFPT91</v>
          </cell>
          <cell r="B980" t="str">
            <v>CBC BRA</v>
          </cell>
          <cell r="C980" t="str">
            <v>8BUNDFPT91CBC BRA</v>
          </cell>
          <cell r="D980" t="str">
            <v>US$</v>
          </cell>
          <cell r="E980">
            <v>126.3</v>
          </cell>
          <cell r="F980" t="str">
            <v>US$/pcs</v>
          </cell>
          <cell r="G980" t="str">
            <v>No</v>
          </cell>
          <cell r="H980" t="str">
            <v>acc.PO RIO NOGALIS  22.27 fob + 64 fabr</v>
          </cell>
          <cell r="K980" t="str">
            <v>bundle</v>
          </cell>
        </row>
        <row r="981">
          <cell r="A981" t="str">
            <v>8BUNDFPT91</v>
          </cell>
          <cell r="B981" t="str">
            <v>DB INDIA</v>
          </cell>
          <cell r="C981" t="str">
            <v>8BUNDFPT91DB INDIA</v>
          </cell>
          <cell r="D981" t="str">
            <v>US$</v>
          </cell>
          <cell r="E981">
            <v>54.1</v>
          </cell>
          <cell r="F981" t="str">
            <v>US$/pcs</v>
          </cell>
          <cell r="G981" t="str">
            <v>No</v>
          </cell>
          <cell r="H981" t="str">
            <v>43.87/tube + 1.50 weld consumables + 5.22 assembly</v>
          </cell>
          <cell r="K981" t="str">
            <v>bundle</v>
          </cell>
        </row>
        <row r="982">
          <cell r="A982" t="str">
            <v>8BUNDFPT91</v>
          </cell>
          <cell r="B982" t="str">
            <v>GANZ</v>
          </cell>
          <cell r="C982" t="str">
            <v>8BUNDFPT91GANZ</v>
          </cell>
          <cell r="D982" t="str">
            <v>EUR</v>
          </cell>
          <cell r="E982">
            <v>61</v>
          </cell>
          <cell r="F982" t="str">
            <v>EUR/tube</v>
          </cell>
          <cell r="G982" t="str">
            <v>Yes</v>
          </cell>
          <cell r="H982" t="str">
            <v>price adder to get Euro 10000 extra</v>
          </cell>
          <cell r="K982" t="str">
            <v>bundle</v>
          </cell>
        </row>
        <row r="983">
          <cell r="A983" t="str">
            <v>8BUNDFPT91</v>
          </cell>
          <cell r="B983" t="str">
            <v>KOREA18</v>
          </cell>
          <cell r="C983" t="str">
            <v>8BUNDFPT91KOREA18</v>
          </cell>
          <cell r="D983" t="str">
            <v>US$</v>
          </cell>
          <cell r="E983">
            <v>0</v>
          </cell>
          <cell r="F983" t="str">
            <v>US$/ton</v>
          </cell>
          <cell r="G983" t="str">
            <v>Yes</v>
          </cell>
          <cell r="H983" t="str">
            <v>see 8bundtrsp</v>
          </cell>
          <cell r="K983" t="str">
            <v>bundle</v>
          </cell>
        </row>
        <row r="984">
          <cell r="A984" t="str">
            <v>8BUNDPI</v>
          </cell>
          <cell r="B984" t="str">
            <v>ABB MSET</v>
          </cell>
          <cell r="C984" t="str">
            <v>8BUNDPIABB MSET</v>
          </cell>
          <cell r="D984" t="str">
            <v>EUR</v>
          </cell>
          <cell r="E984">
            <v>0</v>
          </cell>
          <cell r="F984" t="str">
            <v>EUR/t</v>
          </cell>
          <cell r="G984" t="str">
            <v>No</v>
          </cell>
          <cell r="H984" t="str">
            <v>INCLUDED IN BUNDLE RATE</v>
          </cell>
          <cell r="K984" t="str">
            <v>bundle</v>
          </cell>
        </row>
        <row r="985">
          <cell r="A985" t="str">
            <v>8BUNDPI</v>
          </cell>
          <cell r="B985" t="str">
            <v>CBC BRA</v>
          </cell>
          <cell r="C985" t="str">
            <v>8BUNDPICBC BRA</v>
          </cell>
          <cell r="D985" t="str">
            <v>US$</v>
          </cell>
          <cell r="E985">
            <v>1896</v>
          </cell>
          <cell r="F985" t="str">
            <v>US$/t</v>
          </cell>
          <cell r="G985" t="str">
            <v>No</v>
          </cell>
          <cell r="H985" t="str">
            <v xml:space="preserve">acc.PO RIO NOGALIS </v>
          </cell>
          <cell r="K985" t="str">
            <v>bundle</v>
          </cell>
        </row>
        <row r="986">
          <cell r="A986" t="str">
            <v>8BUNDPI</v>
          </cell>
          <cell r="B986" t="str">
            <v>DB INDIA</v>
          </cell>
          <cell r="C986" t="str">
            <v>8BUNDPIDB INDIA</v>
          </cell>
          <cell r="D986" t="str">
            <v>US$</v>
          </cell>
          <cell r="E986">
            <v>985.32</v>
          </cell>
          <cell r="F986" t="str">
            <v>US$/t</v>
          </cell>
          <cell r="G986" t="str">
            <v>No</v>
          </cell>
          <cell r="K986" t="str">
            <v>bundle</v>
          </cell>
        </row>
        <row r="987">
          <cell r="A987" t="str">
            <v>8BUNDPI</v>
          </cell>
          <cell r="B987" t="str">
            <v>KOREA17</v>
          </cell>
          <cell r="C987" t="str">
            <v>8BUNDPIKOREA17</v>
          </cell>
          <cell r="D987" t="str">
            <v>US$</v>
          </cell>
          <cell r="E987">
            <v>1700</v>
          </cell>
          <cell r="F987" t="str">
            <v>US$/t</v>
          </cell>
          <cell r="G987" t="str">
            <v>Yes</v>
          </cell>
          <cell r="H987" t="str">
            <v>SAME AS BUNDLE RATE</v>
          </cell>
          <cell r="K987" t="str">
            <v>bundle</v>
          </cell>
        </row>
        <row r="988">
          <cell r="A988" t="str">
            <v>8BUNDPI</v>
          </cell>
          <cell r="B988" t="str">
            <v>KOREA18</v>
          </cell>
          <cell r="C988" t="str">
            <v>8BUNDPIKOREA18</v>
          </cell>
          <cell r="D988" t="str">
            <v>US$</v>
          </cell>
          <cell r="E988">
            <v>1800</v>
          </cell>
          <cell r="F988" t="str">
            <v>US$/t</v>
          </cell>
          <cell r="G988" t="str">
            <v>Yes</v>
          </cell>
          <cell r="H988" t="str">
            <v>SAME AS BUNDLE RATE</v>
          </cell>
          <cell r="K988" t="str">
            <v>bundle</v>
          </cell>
        </row>
        <row r="989">
          <cell r="A989" t="str">
            <v>8BUNDPI</v>
          </cell>
          <cell r="B989" t="str">
            <v>Korea19</v>
          </cell>
          <cell r="C989" t="str">
            <v>8BUNDPIKorea19</v>
          </cell>
          <cell r="D989" t="str">
            <v>US$</v>
          </cell>
          <cell r="E989">
            <v>1900</v>
          </cell>
          <cell r="F989" t="str">
            <v>US$/t</v>
          </cell>
          <cell r="G989" t="str">
            <v>Yes</v>
          </cell>
          <cell r="H989" t="str">
            <v>same as BUNDLE FABR.</v>
          </cell>
          <cell r="K989" t="str">
            <v>bundle piping</v>
          </cell>
        </row>
        <row r="990">
          <cell r="A990" t="str">
            <v>8BUNDPI</v>
          </cell>
          <cell r="B990" t="str">
            <v>Korea20</v>
          </cell>
          <cell r="C990" t="str">
            <v>8BUNDPIKorea20</v>
          </cell>
          <cell r="D990" t="str">
            <v>US$</v>
          </cell>
          <cell r="E990">
            <v>2000</v>
          </cell>
          <cell r="F990" t="str">
            <v>US$/t</v>
          </cell>
          <cell r="G990" t="str">
            <v>Yes</v>
          </cell>
          <cell r="H990" t="str">
            <v>same as BUNDLE FABR.</v>
          </cell>
          <cell r="K990" t="str">
            <v>bundle piping</v>
          </cell>
        </row>
        <row r="991">
          <cell r="A991" t="str">
            <v>8BUNDPI</v>
          </cell>
          <cell r="B991" t="str">
            <v>Korea21</v>
          </cell>
          <cell r="C991" t="str">
            <v>8BUNDPIKorea21</v>
          </cell>
          <cell r="D991" t="str">
            <v>US$</v>
          </cell>
          <cell r="E991">
            <v>2100</v>
          </cell>
          <cell r="F991" t="str">
            <v>US$/t</v>
          </cell>
          <cell r="G991" t="str">
            <v>Yes</v>
          </cell>
          <cell r="H991" t="str">
            <v>same as BUNDLE FABR.</v>
          </cell>
          <cell r="K991" t="str">
            <v>bundle piping</v>
          </cell>
        </row>
        <row r="992">
          <cell r="A992" t="str">
            <v>8BUNDPI</v>
          </cell>
          <cell r="B992" t="str">
            <v>Korea22</v>
          </cell>
          <cell r="C992" t="str">
            <v>8BUNDPIKorea22</v>
          </cell>
          <cell r="D992" t="str">
            <v>US$</v>
          </cell>
          <cell r="E992">
            <v>2200</v>
          </cell>
          <cell r="F992" t="str">
            <v>US$/t</v>
          </cell>
          <cell r="G992" t="str">
            <v>Yes</v>
          </cell>
          <cell r="H992" t="str">
            <v>same as BUNDLE FABR.</v>
          </cell>
          <cell r="K992" t="str">
            <v>bundle piping</v>
          </cell>
        </row>
        <row r="993">
          <cell r="A993" t="str">
            <v>8BUNDPI</v>
          </cell>
          <cell r="B993" t="str">
            <v>SUNGJIN</v>
          </cell>
          <cell r="C993" t="str">
            <v>8BUNDPISUNGJIN</v>
          </cell>
          <cell r="D993" t="str">
            <v>US$</v>
          </cell>
          <cell r="E993">
            <v>1715</v>
          </cell>
          <cell r="F993" t="str">
            <v>US$/t</v>
          </cell>
          <cell r="G993" t="str">
            <v>Yes</v>
          </cell>
          <cell r="H993" t="str">
            <v>same as BUNDLE FABR.</v>
          </cell>
          <cell r="K993" t="str">
            <v>bundle piping</v>
          </cell>
        </row>
        <row r="994">
          <cell r="A994" t="str">
            <v>8BUNDTRSP</v>
          </cell>
          <cell r="B994" t="str">
            <v>ABB MSET</v>
          </cell>
          <cell r="C994" t="str">
            <v>8BUNDTRSPABB MSET</v>
          </cell>
          <cell r="D994" t="str">
            <v>EUR</v>
          </cell>
          <cell r="E994">
            <v>0</v>
          </cell>
          <cell r="F994" t="str">
            <v>EUR/ton</v>
          </cell>
          <cell r="G994" t="str">
            <v>No</v>
          </cell>
          <cell r="H994" t="str">
            <v>Included</v>
          </cell>
          <cell r="K994" t="str">
            <v>bundle</v>
          </cell>
        </row>
        <row r="995">
          <cell r="A995" t="str">
            <v>8BUNDTRSP</v>
          </cell>
          <cell r="B995" t="str">
            <v>CBC BRA</v>
          </cell>
          <cell r="C995" t="str">
            <v>8BUNDTRSPCBC BRA</v>
          </cell>
          <cell r="D995" t="str">
            <v>US$</v>
          </cell>
          <cell r="E995">
            <v>0</v>
          </cell>
          <cell r="F995" t="str">
            <v>US$/ton</v>
          </cell>
          <cell r="G995" t="str">
            <v>no</v>
          </cell>
          <cell r="H995" t="str">
            <v>Included</v>
          </cell>
          <cell r="K995" t="str">
            <v>bundle</v>
          </cell>
        </row>
        <row r="996">
          <cell r="A996" t="str">
            <v>8BUNDTRSP</v>
          </cell>
          <cell r="B996" t="str">
            <v>DB INDIA</v>
          </cell>
          <cell r="C996" t="str">
            <v>8BUNDTRSPDB INDIA</v>
          </cell>
          <cell r="D996" t="str">
            <v>US$</v>
          </cell>
          <cell r="E996">
            <v>117.81</v>
          </cell>
          <cell r="F996" t="str">
            <v>US$/ton</v>
          </cell>
          <cell r="G996" t="str">
            <v>Yes</v>
          </cell>
          <cell r="H996" t="str">
            <v>trsp free issue mat's 50/t, trsp mod's 60/t, portch. 0/t</v>
          </cell>
          <cell r="K996" t="str">
            <v>bundle</v>
          </cell>
        </row>
        <row r="997">
          <cell r="A997" t="str">
            <v>8BUNDTRSP</v>
          </cell>
          <cell r="B997" t="str">
            <v>GANZ</v>
          </cell>
          <cell r="C997" t="str">
            <v>8BUNDTRSPGANZ</v>
          </cell>
          <cell r="D997" t="str">
            <v>EUR</v>
          </cell>
          <cell r="E997">
            <v>2250</v>
          </cell>
          <cell r="F997" t="str">
            <v>EUR/ton</v>
          </cell>
          <cell r="G997" t="str">
            <v>Yes</v>
          </cell>
          <cell r="H997" t="str">
            <v>Fabr. 1450/t rest = mat, NO T91 !!</v>
          </cell>
          <cell r="K997" t="str">
            <v>bundle</v>
          </cell>
        </row>
        <row r="998">
          <cell r="A998" t="str">
            <v>8BUNDTRSP</v>
          </cell>
          <cell r="B998" t="str">
            <v>KOREA17</v>
          </cell>
          <cell r="C998" t="str">
            <v>8BUNDTRSPKOREA17</v>
          </cell>
          <cell r="D998" t="str">
            <v>US$</v>
          </cell>
          <cell r="E998">
            <v>1700</v>
          </cell>
          <cell r="F998" t="str">
            <v>US$/t</v>
          </cell>
          <cell r="G998" t="str">
            <v>Yes</v>
          </cell>
          <cell r="K998" t="str">
            <v>bundle</v>
          </cell>
        </row>
        <row r="999">
          <cell r="A999" t="str">
            <v>8BUNDTRSP</v>
          </cell>
          <cell r="B999" t="str">
            <v>KOREA18</v>
          </cell>
          <cell r="C999" t="str">
            <v>8BUNDTRSPKOREA18</v>
          </cell>
          <cell r="D999" t="str">
            <v>US$</v>
          </cell>
          <cell r="E999">
            <v>1800</v>
          </cell>
          <cell r="F999" t="str">
            <v>US$/ton</v>
          </cell>
          <cell r="G999" t="str">
            <v>Yes</v>
          </cell>
          <cell r="K999" t="str">
            <v>bundle</v>
          </cell>
        </row>
        <row r="1000">
          <cell r="A1000" t="str">
            <v>8BUNDTRSP</v>
          </cell>
          <cell r="B1000" t="str">
            <v>KOREA19</v>
          </cell>
          <cell r="C1000" t="str">
            <v>8BUNDTRSPKOREA19</v>
          </cell>
          <cell r="D1000" t="str">
            <v>US$</v>
          </cell>
          <cell r="E1000">
            <v>1900</v>
          </cell>
          <cell r="F1000" t="str">
            <v>US$/ton</v>
          </cell>
          <cell r="G1000" t="str">
            <v>Yes</v>
          </cell>
          <cell r="K1000" t="str">
            <v>bundle</v>
          </cell>
        </row>
        <row r="1001">
          <cell r="A1001" t="str">
            <v>8BUNDTRSP</v>
          </cell>
          <cell r="B1001" t="str">
            <v>KOREA20</v>
          </cell>
          <cell r="C1001" t="str">
            <v>8BUNDTRSPKOREA20</v>
          </cell>
          <cell r="D1001" t="str">
            <v>US$</v>
          </cell>
          <cell r="E1001">
            <v>2000</v>
          </cell>
          <cell r="F1001" t="str">
            <v>US$/ton</v>
          </cell>
          <cell r="G1001" t="str">
            <v>Yes</v>
          </cell>
          <cell r="K1001" t="str">
            <v>bundle</v>
          </cell>
        </row>
        <row r="1002">
          <cell r="A1002" t="str">
            <v>8BUNDTRSP</v>
          </cell>
          <cell r="B1002" t="str">
            <v>KOREA21</v>
          </cell>
          <cell r="C1002" t="str">
            <v>8BUNDTRSPKOREA21</v>
          </cell>
          <cell r="D1002" t="str">
            <v>US$</v>
          </cell>
          <cell r="E1002">
            <v>2100</v>
          </cell>
          <cell r="F1002" t="str">
            <v>US$/ton</v>
          </cell>
          <cell r="G1002" t="str">
            <v>Yes</v>
          </cell>
          <cell r="K1002" t="str">
            <v>bundle</v>
          </cell>
        </row>
        <row r="1003">
          <cell r="A1003" t="str">
            <v>8BUNDTRSP</v>
          </cell>
          <cell r="B1003" t="str">
            <v>KOREA22</v>
          </cell>
          <cell r="C1003" t="str">
            <v>8BUNDTRSPKOREA22</v>
          </cell>
          <cell r="D1003" t="str">
            <v>US$</v>
          </cell>
          <cell r="E1003">
            <v>2200</v>
          </cell>
          <cell r="F1003" t="str">
            <v>US$/ton</v>
          </cell>
          <cell r="G1003" t="str">
            <v>Yes</v>
          </cell>
          <cell r="K1003" t="str">
            <v>bundle</v>
          </cell>
        </row>
        <row r="1004">
          <cell r="A1004" t="str">
            <v>8BUNDTRSP</v>
          </cell>
          <cell r="B1004" t="str">
            <v>SUNGJIN</v>
          </cell>
          <cell r="C1004" t="str">
            <v>8BUNDTRSPSUNGJIN</v>
          </cell>
          <cell r="D1004" t="str">
            <v>US$</v>
          </cell>
          <cell r="E1004">
            <v>1715</v>
          </cell>
          <cell r="F1004" t="str">
            <v>US$/ton</v>
          </cell>
          <cell r="G1004" t="str">
            <v>Yes</v>
          </cell>
          <cell r="H1004" t="str">
            <v>agreem. 09/003 r.1,+ seaw.packing, del. FCA</v>
          </cell>
          <cell r="K1004" t="str">
            <v>bundle</v>
          </cell>
        </row>
        <row r="1005">
          <cell r="A1005" t="str">
            <v>8CA10CS</v>
          </cell>
          <cell r="B1005" t="str">
            <v>FERMSTAL</v>
          </cell>
          <cell r="C1005" t="str">
            <v>8CA10CSFERMSTAL</v>
          </cell>
          <cell r="D1005" t="str">
            <v>EUR</v>
          </cell>
          <cell r="E1005">
            <v>1069</v>
          </cell>
          <cell r="F1005" t="str">
            <v>EUR/t</v>
          </cell>
          <cell r="G1005" t="str">
            <v>Yes</v>
          </cell>
          <cell r="H1005" t="str">
            <v>agreem. 09/003 r.1,+ seaw.packing, del. FCA</v>
          </cell>
          <cell r="K1005" t="str">
            <v>casing</v>
          </cell>
        </row>
        <row r="1006">
          <cell r="A1006" t="str">
            <v>8CA10CS</v>
          </cell>
          <cell r="B1006" t="str">
            <v>VIPCO</v>
          </cell>
          <cell r="C1006" t="str">
            <v>8CA10CSVIPCO</v>
          </cell>
          <cell r="D1006" t="str">
            <v>US$</v>
          </cell>
          <cell r="E1006">
            <v>980</v>
          </cell>
          <cell r="F1006" t="str">
            <v>US$/ton</v>
          </cell>
          <cell r="G1006" t="str">
            <v>Yes</v>
          </cell>
          <cell r="H1006" t="str">
            <v>agreem. 09/003 r.1,+ seaw.packing, del. FCA</v>
          </cell>
          <cell r="K1006" t="str">
            <v>casing</v>
          </cell>
        </row>
        <row r="1007">
          <cell r="A1007" t="str">
            <v>8CA5CS</v>
          </cell>
          <cell r="B1007" t="str">
            <v>FERMSTAL</v>
          </cell>
          <cell r="C1007" t="str">
            <v>8CA5CSFERMSTAL</v>
          </cell>
          <cell r="D1007" t="str">
            <v>EUR</v>
          </cell>
          <cell r="E1007">
            <v>1244</v>
          </cell>
          <cell r="F1007" t="str">
            <v>EUR/t</v>
          </cell>
          <cell r="G1007" t="str">
            <v>Yes</v>
          </cell>
          <cell r="H1007" t="str">
            <v>agreem. 09/003 r.1,+ seaw.packing, del. FCA</v>
          </cell>
          <cell r="K1007" t="str">
            <v>casing</v>
          </cell>
        </row>
        <row r="1008">
          <cell r="A1008" t="str">
            <v>8CA6CS</v>
          </cell>
          <cell r="B1008" t="str">
            <v>ABB MSET</v>
          </cell>
          <cell r="C1008" t="str">
            <v>8CA6CSABB MSET</v>
          </cell>
          <cell r="D1008" t="str">
            <v>EUR</v>
          </cell>
          <cell r="E1008">
            <v>1370</v>
          </cell>
          <cell r="F1008" t="str">
            <v>EUR/t</v>
          </cell>
          <cell r="G1008" t="str">
            <v>Yes</v>
          </cell>
          <cell r="H1008" t="str">
            <v>PO 25961-11.1, EXCL. INSUL.MAT'L</v>
          </cell>
          <cell r="K1008" t="str">
            <v>casing</v>
          </cell>
        </row>
        <row r="1009">
          <cell r="A1009" t="str">
            <v>8CA6CS</v>
          </cell>
          <cell r="B1009" t="str">
            <v>BRAND</v>
          </cell>
          <cell r="C1009" t="str">
            <v>8CA6CSBRAND</v>
          </cell>
          <cell r="D1009" t="str">
            <v>EUR</v>
          </cell>
          <cell r="E1009">
            <v>1050</v>
          </cell>
          <cell r="F1009" t="str">
            <v>EUR/t</v>
          </cell>
          <cell r="G1009" t="str">
            <v>Yes</v>
          </cell>
          <cell r="H1009" t="str">
            <v>1000 for mat'l &amp; fabr + 50 trsp FOB</v>
          </cell>
          <cell r="K1009" t="str">
            <v>casing</v>
          </cell>
        </row>
        <row r="1010">
          <cell r="A1010" t="str">
            <v>8CA6CS</v>
          </cell>
          <cell r="B1010" t="str">
            <v>BRANDR</v>
          </cell>
          <cell r="C1010" t="str">
            <v>8CA6CSBRANDR</v>
          </cell>
          <cell r="D1010" t="str">
            <v>EUR</v>
          </cell>
          <cell r="E1010">
            <v>1050</v>
          </cell>
          <cell r="F1010" t="str">
            <v>EUR/t</v>
          </cell>
          <cell r="G1010" t="str">
            <v>Yes</v>
          </cell>
          <cell r="H1010" t="str">
            <v>1000 for mat'l &amp; fabr + 50 trsp FOB</v>
          </cell>
          <cell r="K1010" t="str">
            <v>casing</v>
          </cell>
        </row>
        <row r="1011">
          <cell r="A1011" t="str">
            <v>8CA6CS</v>
          </cell>
          <cell r="B1011" t="str">
            <v>CBC BRA</v>
          </cell>
          <cell r="C1011" t="str">
            <v>8CA6CSCBC BRA</v>
          </cell>
          <cell r="D1011" t="str">
            <v>US$</v>
          </cell>
          <cell r="E1011">
            <v>1884</v>
          </cell>
          <cell r="F1011" t="str">
            <v>US$/t</v>
          </cell>
          <cell r="G1011" t="str">
            <v>Yes</v>
          </cell>
          <cell r="K1011" t="str">
            <v>casing</v>
          </cell>
        </row>
        <row r="1012">
          <cell r="A1012" t="str">
            <v>8CA6CS</v>
          </cell>
          <cell r="B1012" t="str">
            <v>DB INDIA</v>
          </cell>
          <cell r="C1012" t="str">
            <v>8CA6CSDB INDIA</v>
          </cell>
          <cell r="D1012" t="str">
            <v>US$</v>
          </cell>
          <cell r="E1012">
            <v>1070</v>
          </cell>
          <cell r="F1012" t="str">
            <v>US$/t</v>
          </cell>
          <cell r="G1012" t="str">
            <v>Yes</v>
          </cell>
          <cell r="H1012" t="str">
            <v>agreem. 09/003 r.1,+ seaw.packing, del. FCA</v>
          </cell>
          <cell r="K1012" t="str">
            <v>steelstr</v>
          </cell>
        </row>
        <row r="1013">
          <cell r="A1013" t="str">
            <v>8CA6CS</v>
          </cell>
          <cell r="B1013" t="str">
            <v>FERMSTAL</v>
          </cell>
          <cell r="C1013" t="str">
            <v>8CA6CSFERMSTAL</v>
          </cell>
          <cell r="D1013" t="str">
            <v>EUR</v>
          </cell>
          <cell r="E1013">
            <v>1157</v>
          </cell>
          <cell r="F1013" t="str">
            <v>EUR/t</v>
          </cell>
          <cell r="G1013" t="str">
            <v>Yes</v>
          </cell>
          <cell r="H1013" t="str">
            <v>agreem. 09/003 r.1,+ seaw.packing, del. FCA</v>
          </cell>
          <cell r="K1013" t="str">
            <v>casing</v>
          </cell>
        </row>
        <row r="1014">
          <cell r="A1014" t="str">
            <v>8CA6CS</v>
          </cell>
          <cell r="B1014" t="str">
            <v>GANZ</v>
          </cell>
          <cell r="C1014" t="str">
            <v>8CA6CSGANZ</v>
          </cell>
          <cell r="D1014" t="str">
            <v>EUR</v>
          </cell>
          <cell r="E1014">
            <v>2250</v>
          </cell>
          <cell r="F1014" t="str">
            <v>EUR/ton</v>
          </cell>
          <cell r="G1014" t="str">
            <v>Yes</v>
          </cell>
          <cell r="H1014" t="str">
            <v>Fabr. 1450/t rest = mat, NO T91 !!</v>
          </cell>
          <cell r="K1014" t="str">
            <v>bundle</v>
          </cell>
        </row>
        <row r="1015">
          <cell r="A1015" t="str">
            <v>8CA6CS</v>
          </cell>
          <cell r="B1015" t="str">
            <v>KOREA17</v>
          </cell>
          <cell r="C1015" t="str">
            <v>8CA6CSKOREA17</v>
          </cell>
          <cell r="D1015" t="str">
            <v>US$</v>
          </cell>
          <cell r="E1015">
            <v>1700</v>
          </cell>
          <cell r="F1015" t="str">
            <v>US$/t</v>
          </cell>
          <cell r="G1015" t="str">
            <v>Yes</v>
          </cell>
          <cell r="K1015" t="str">
            <v>bundle</v>
          </cell>
        </row>
        <row r="1016">
          <cell r="A1016" t="str">
            <v>8CA6CS</v>
          </cell>
          <cell r="B1016" t="str">
            <v>KOREA18</v>
          </cell>
          <cell r="C1016" t="str">
            <v>8CA6CSKOREA18</v>
          </cell>
          <cell r="D1016" t="str">
            <v>US$</v>
          </cell>
          <cell r="E1016">
            <v>1800</v>
          </cell>
          <cell r="F1016" t="str">
            <v>US$/t</v>
          </cell>
          <cell r="G1016" t="str">
            <v>Yes</v>
          </cell>
          <cell r="K1016" t="str">
            <v>casing</v>
          </cell>
        </row>
        <row r="1017">
          <cell r="A1017" t="str">
            <v>8CA6CS</v>
          </cell>
          <cell r="B1017" t="str">
            <v>KOREA19</v>
          </cell>
          <cell r="C1017" t="str">
            <v>8CA6CSKOREA19</v>
          </cell>
          <cell r="D1017" t="str">
            <v>US$</v>
          </cell>
          <cell r="E1017">
            <v>1900</v>
          </cell>
          <cell r="F1017" t="str">
            <v>US$/t</v>
          </cell>
          <cell r="G1017" t="str">
            <v>Yes</v>
          </cell>
          <cell r="K1017" t="str">
            <v>casing</v>
          </cell>
        </row>
        <row r="1018">
          <cell r="A1018" t="str">
            <v>8CA6CS</v>
          </cell>
          <cell r="B1018" t="str">
            <v>KOREA20</v>
          </cell>
          <cell r="C1018" t="str">
            <v>8CA6CSKOREA20</v>
          </cell>
          <cell r="D1018" t="str">
            <v>US$</v>
          </cell>
          <cell r="E1018">
            <v>2000</v>
          </cell>
          <cell r="F1018" t="str">
            <v>US$/t</v>
          </cell>
          <cell r="G1018" t="str">
            <v>Yes</v>
          </cell>
          <cell r="K1018" t="str">
            <v>casing</v>
          </cell>
        </row>
        <row r="1019">
          <cell r="A1019" t="str">
            <v>8CA6CS</v>
          </cell>
          <cell r="B1019" t="str">
            <v>KOREA21</v>
          </cell>
          <cell r="C1019" t="str">
            <v>8CA6CSKOREA21</v>
          </cell>
          <cell r="D1019" t="str">
            <v>US$</v>
          </cell>
          <cell r="E1019">
            <v>2100</v>
          </cell>
          <cell r="F1019" t="str">
            <v>US$/t</v>
          </cell>
          <cell r="G1019" t="str">
            <v>Yes</v>
          </cell>
          <cell r="K1019" t="str">
            <v>casing</v>
          </cell>
        </row>
        <row r="1020">
          <cell r="A1020" t="str">
            <v>8CA6CS</v>
          </cell>
          <cell r="B1020" t="str">
            <v>KOREA22</v>
          </cell>
          <cell r="C1020" t="str">
            <v>8CA6CSKOREA22</v>
          </cell>
          <cell r="D1020" t="str">
            <v>US$</v>
          </cell>
          <cell r="E1020">
            <v>2200</v>
          </cell>
          <cell r="F1020" t="str">
            <v>US$/t</v>
          </cell>
          <cell r="G1020" t="str">
            <v>Yes</v>
          </cell>
          <cell r="K1020" t="str">
            <v>casing</v>
          </cell>
        </row>
        <row r="1021">
          <cell r="A1021" t="str">
            <v>8CA6CS</v>
          </cell>
          <cell r="B1021" t="str">
            <v>RHODES</v>
          </cell>
          <cell r="C1021" t="str">
            <v>8CA6CSRHODES</v>
          </cell>
          <cell r="D1021" t="str">
            <v>GBP</v>
          </cell>
          <cell r="E1021">
            <v>783.3</v>
          </cell>
          <cell r="F1021" t="str">
            <v>GBP/t</v>
          </cell>
          <cell r="G1021" t="str">
            <v>Yes</v>
          </cell>
          <cell r="K1021" t="str">
            <v>casing</v>
          </cell>
        </row>
        <row r="1022">
          <cell r="A1022" t="str">
            <v>8CA6CS</v>
          </cell>
          <cell r="B1022" t="str">
            <v>SUNGJIN</v>
          </cell>
          <cell r="C1022" t="str">
            <v>8CA6CSSUNGJIN</v>
          </cell>
          <cell r="D1022" t="str">
            <v>US$</v>
          </cell>
          <cell r="E1022">
            <v>1715</v>
          </cell>
          <cell r="F1022" t="str">
            <v>US$/t</v>
          </cell>
          <cell r="G1022" t="str">
            <v>Yes</v>
          </cell>
          <cell r="K1022" t="str">
            <v>casing</v>
          </cell>
        </row>
        <row r="1023">
          <cell r="A1023" t="str">
            <v>8CA6CS</v>
          </cell>
          <cell r="B1023" t="str">
            <v>VIPCO</v>
          </cell>
          <cell r="C1023" t="str">
            <v>8CA6CSVIPCO</v>
          </cell>
          <cell r="D1023" t="str">
            <v>US$</v>
          </cell>
          <cell r="E1023">
            <v>1000</v>
          </cell>
          <cell r="F1023" t="str">
            <v>US$/ton</v>
          </cell>
          <cell r="G1023" t="str">
            <v>Yes</v>
          </cell>
          <cell r="H1023" t="str">
            <v>ESTIMATE</v>
          </cell>
          <cell r="K1023" t="str">
            <v>casing</v>
          </cell>
        </row>
        <row r="1024">
          <cell r="A1024" t="str">
            <v>8CA6CS</v>
          </cell>
          <cell r="B1024" t="str">
            <v>WI-USA</v>
          </cell>
          <cell r="C1024" t="str">
            <v>8CA6CSWI-USA</v>
          </cell>
          <cell r="D1024" t="str">
            <v>US$</v>
          </cell>
          <cell r="E1024">
            <v>1925</v>
          </cell>
          <cell r="F1024" t="str">
            <v>US$/t</v>
          </cell>
          <cell r="G1024" t="str">
            <v>Yes</v>
          </cell>
          <cell r="H1024" t="str">
            <v>ESTIMATE</v>
          </cell>
          <cell r="K1024" t="str">
            <v>casing</v>
          </cell>
        </row>
        <row r="1025">
          <cell r="A1025" t="str">
            <v>8CA8CS</v>
          </cell>
          <cell r="B1025" t="str">
            <v>ABB MSET</v>
          </cell>
          <cell r="C1025" t="str">
            <v>8CA8CSABB MSET</v>
          </cell>
          <cell r="D1025" t="str">
            <v>US$</v>
          </cell>
          <cell r="E1025">
            <v>1490</v>
          </cell>
          <cell r="F1025" t="str">
            <v>US$/ton</v>
          </cell>
          <cell r="G1025" t="str">
            <v>Yes</v>
          </cell>
          <cell r="H1025" t="str">
            <v>1000 for mat'l &amp; fabr + 50 trsp FOB</v>
          </cell>
          <cell r="K1025" t="str">
            <v>casing</v>
          </cell>
        </row>
        <row r="1026">
          <cell r="A1026" t="str">
            <v>8CA8CS</v>
          </cell>
          <cell r="B1026" t="str">
            <v>BRAND</v>
          </cell>
          <cell r="C1026" t="str">
            <v>8CA8CSBRAND</v>
          </cell>
          <cell r="D1026" t="str">
            <v>EUR</v>
          </cell>
          <cell r="E1026">
            <v>1050</v>
          </cell>
          <cell r="F1026" t="str">
            <v>EUR/t</v>
          </cell>
          <cell r="G1026" t="str">
            <v>Yes</v>
          </cell>
          <cell r="H1026" t="str">
            <v>1000 for mat'l &amp; fabr + 50 trsp FOB</v>
          </cell>
          <cell r="K1026" t="str">
            <v>casing</v>
          </cell>
        </row>
        <row r="1027">
          <cell r="A1027" t="str">
            <v>8CA8CS</v>
          </cell>
          <cell r="B1027" t="str">
            <v>BRANDR</v>
          </cell>
          <cell r="C1027" t="str">
            <v>8CA8CSBRANDR</v>
          </cell>
          <cell r="D1027" t="str">
            <v>EUR</v>
          </cell>
          <cell r="E1027">
            <v>1050</v>
          </cell>
          <cell r="F1027" t="str">
            <v>EUR/t</v>
          </cell>
          <cell r="G1027" t="str">
            <v>Yes</v>
          </cell>
          <cell r="H1027" t="str">
            <v>1000 for mat'l &amp; fabr + 50 trsp FOB</v>
          </cell>
          <cell r="K1027" t="str">
            <v>casing</v>
          </cell>
        </row>
        <row r="1028">
          <cell r="A1028" t="str">
            <v>8CA8CS</v>
          </cell>
          <cell r="B1028" t="str">
            <v>FERMSTAL</v>
          </cell>
          <cell r="C1028" t="str">
            <v>8CA8CSFERMSTAL</v>
          </cell>
          <cell r="D1028" t="str">
            <v>EUR</v>
          </cell>
          <cell r="E1028">
            <v>1107</v>
          </cell>
          <cell r="F1028" t="str">
            <v>EUR/t</v>
          </cell>
          <cell r="G1028" t="str">
            <v>Yes</v>
          </cell>
          <cell r="H1028" t="str">
            <v>agreem. 09/003 r.1,+ seaw.packing, del. FCA</v>
          </cell>
          <cell r="K1028" t="str">
            <v>casing</v>
          </cell>
        </row>
        <row r="1029">
          <cell r="A1029" t="str">
            <v>8CA8CS</v>
          </cell>
          <cell r="B1029" t="str">
            <v>GANZ</v>
          </cell>
          <cell r="C1029" t="str">
            <v>8CA8CSGANZ</v>
          </cell>
          <cell r="D1029" t="str">
            <v>EUR</v>
          </cell>
          <cell r="E1029">
            <v>2250</v>
          </cell>
          <cell r="F1029" t="str">
            <v>EUR/ton</v>
          </cell>
          <cell r="G1029" t="str">
            <v>Yes</v>
          </cell>
          <cell r="H1029" t="str">
            <v>Fabr. 1450/t rest = mat, NO T91 !!</v>
          </cell>
          <cell r="K1029" t="str">
            <v>bundle</v>
          </cell>
        </row>
        <row r="1030">
          <cell r="A1030" t="str">
            <v>8CA8CS</v>
          </cell>
          <cell r="B1030" t="str">
            <v>RHODES</v>
          </cell>
          <cell r="C1030" t="str">
            <v>8CA8CSRHODES</v>
          </cell>
          <cell r="D1030" t="str">
            <v>GBP</v>
          </cell>
          <cell r="E1030">
            <v>783.3</v>
          </cell>
          <cell r="F1030" t="str">
            <v>GBP/t</v>
          </cell>
          <cell r="G1030" t="str">
            <v>Yes</v>
          </cell>
          <cell r="K1030" t="str">
            <v>casing</v>
          </cell>
        </row>
        <row r="1031">
          <cell r="A1031" t="str">
            <v>8CA8CS</v>
          </cell>
          <cell r="B1031" t="str">
            <v>VIPCO</v>
          </cell>
          <cell r="C1031" t="str">
            <v>8CA8CSVIPCO</v>
          </cell>
          <cell r="D1031" t="str">
            <v>US$</v>
          </cell>
          <cell r="E1031">
            <v>990</v>
          </cell>
          <cell r="F1031" t="str">
            <v>US$/ton</v>
          </cell>
          <cell r="G1031" t="str">
            <v>Yes</v>
          </cell>
          <cell r="H1031" t="str">
            <v>CS 915/T(insul) + packing 90/t</v>
          </cell>
          <cell r="K1031" t="str">
            <v>casing</v>
          </cell>
        </row>
        <row r="1032">
          <cell r="A1032" t="str">
            <v>8CACS</v>
          </cell>
          <cell r="B1032" t="str">
            <v>HUTNI</v>
          </cell>
          <cell r="C1032" t="str">
            <v>8CACSHUTNI</v>
          </cell>
          <cell r="D1032" t="str">
            <v>EUR</v>
          </cell>
          <cell r="E1032">
            <v>1005</v>
          </cell>
          <cell r="F1032" t="str">
            <v>EUR/t</v>
          </cell>
          <cell r="G1032" t="str">
            <v>Yes</v>
          </cell>
          <cell r="H1032" t="str">
            <v>CS 915/T(insul) + packing 90/t</v>
          </cell>
          <cell r="K1032" t="str">
            <v>baffles</v>
          </cell>
        </row>
        <row r="1033">
          <cell r="A1033" t="str">
            <v>8CAH II</v>
          </cell>
          <cell r="B1033" t="str">
            <v>HUTNI</v>
          </cell>
          <cell r="C1033" t="str">
            <v>8CAH IIHUTNI</v>
          </cell>
          <cell r="D1033" t="str">
            <v>EUR</v>
          </cell>
          <cell r="E1033">
            <v>1105</v>
          </cell>
          <cell r="F1033" t="str">
            <v>EUR/t</v>
          </cell>
          <cell r="G1033" t="str">
            <v>Yes</v>
          </cell>
          <cell r="H1033" t="str">
            <v>CS 915/T(insul) + packing 90/t + HII €100</v>
          </cell>
          <cell r="K1033" t="str">
            <v>baffles</v>
          </cell>
        </row>
        <row r="1034">
          <cell r="A1034" t="str">
            <v>8DR&lt;100</v>
          </cell>
          <cell r="B1034" t="str">
            <v>ABB PBS</v>
          </cell>
          <cell r="C1034" t="str">
            <v>8DR&lt;100ABB PBS</v>
          </cell>
          <cell r="D1034" t="str">
            <v>EUR</v>
          </cell>
          <cell r="E1034">
            <v>3.39</v>
          </cell>
          <cell r="F1034" t="str">
            <v>EUR/kg</v>
          </cell>
          <cell r="G1034" t="str">
            <v>Yes</v>
          </cell>
          <cell r="H1034" t="str">
            <v>fca Antwerp</v>
          </cell>
          <cell r="K1034" t="str">
            <v>drums &lt;100t</v>
          </cell>
        </row>
        <row r="1035">
          <cell r="A1035" t="str">
            <v>8DR&lt;100</v>
          </cell>
          <cell r="B1035" t="str">
            <v>CBC BRA</v>
          </cell>
          <cell r="C1035" t="str">
            <v>8DR&lt;100CBC BRA</v>
          </cell>
          <cell r="D1035" t="str">
            <v>US$</v>
          </cell>
          <cell r="E1035">
            <v>3.42</v>
          </cell>
          <cell r="F1035" t="str">
            <v>US$/kg</v>
          </cell>
          <cell r="G1035" t="str">
            <v>Yes</v>
          </cell>
          <cell r="H1035" t="str">
            <v>acc.PO RIO NOGALIS</v>
          </cell>
          <cell r="K1035" t="str">
            <v>drums &lt;100t</v>
          </cell>
        </row>
        <row r="1036">
          <cell r="A1036" t="str">
            <v>8DR&lt;100</v>
          </cell>
          <cell r="B1036" t="str">
            <v>GRIRO</v>
          </cell>
          <cell r="C1036" t="str">
            <v>8DR&lt;100GRIRO</v>
          </cell>
          <cell r="D1036" t="str">
            <v>US$</v>
          </cell>
          <cell r="E1036">
            <v>2.35</v>
          </cell>
          <cell r="F1036" t="str">
            <v>US$/kg</v>
          </cell>
          <cell r="G1036" t="str">
            <v>Yes</v>
          </cell>
          <cell r="H1036" t="str">
            <v>coop agr. 99/006, del. FOB Constanza</v>
          </cell>
          <cell r="K1036" t="str">
            <v>drums &lt;100t</v>
          </cell>
        </row>
        <row r="1037">
          <cell r="A1037" t="str">
            <v>8DR&lt;100</v>
          </cell>
          <cell r="B1037" t="str">
            <v>RAYTHEON R</v>
          </cell>
          <cell r="C1037" t="str">
            <v>8DR&lt;100RAYTHEON R</v>
          </cell>
          <cell r="D1037" t="str">
            <v>US$</v>
          </cell>
          <cell r="E1037">
            <v>2.7</v>
          </cell>
          <cell r="F1037" t="str">
            <v>US$/kg</v>
          </cell>
          <cell r="G1037" t="str">
            <v>Yes</v>
          </cell>
          <cell r="H1037" t="str">
            <v>coop agr. 99/006, del. FOB Constanza</v>
          </cell>
          <cell r="K1037" t="str">
            <v>drums &lt;100t</v>
          </cell>
        </row>
        <row r="1038">
          <cell r="A1038" t="str">
            <v>8DR&lt;100</v>
          </cell>
          <cell r="B1038" t="str">
            <v>SUNGJIN</v>
          </cell>
          <cell r="C1038" t="str">
            <v>8DR&lt;100SUNGJIN</v>
          </cell>
          <cell r="D1038" t="str">
            <v>US$</v>
          </cell>
          <cell r="E1038">
            <v>2.2000000000000002</v>
          </cell>
          <cell r="F1038" t="str">
            <v>US$/kg</v>
          </cell>
          <cell r="G1038" t="str">
            <v>Yes</v>
          </cell>
          <cell r="H1038" t="str">
            <v>Frame agreement 2001/14</v>
          </cell>
          <cell r="K1038" t="str">
            <v>drums &lt;100t</v>
          </cell>
        </row>
        <row r="1039">
          <cell r="A1039" t="str">
            <v>8DR&lt;100</v>
          </cell>
          <cell r="B1039" t="str">
            <v>V TEC</v>
          </cell>
          <cell r="C1039" t="str">
            <v>8DR&lt;100V TEC</v>
          </cell>
          <cell r="D1039" t="str">
            <v>US$</v>
          </cell>
          <cell r="E1039">
            <v>2.73</v>
          </cell>
          <cell r="F1039" t="str">
            <v>US$/kg</v>
          </cell>
          <cell r="G1039" t="str">
            <v>No</v>
          </cell>
          <cell r="H1039" t="str">
            <v>Quote 0101-210 Dominion</v>
          </cell>
          <cell r="K1039" t="str">
            <v>drums &gt;100t</v>
          </cell>
        </row>
        <row r="1040">
          <cell r="A1040" t="str">
            <v>8DR&lt;100</v>
          </cell>
          <cell r="B1040" t="str">
            <v>VITCOVICE</v>
          </cell>
          <cell r="C1040" t="str">
            <v>8DR&lt;100VITCOVICE</v>
          </cell>
          <cell r="D1040" t="str">
            <v>US$</v>
          </cell>
          <cell r="E1040">
            <v>3.18</v>
          </cell>
          <cell r="F1040" t="str">
            <v>US$/kg</v>
          </cell>
          <cell r="G1040" t="str">
            <v>Yes</v>
          </cell>
          <cell r="H1040" t="str">
            <v>coop agr. 09/001 rev 2, del. FOB (Hamburg)</v>
          </cell>
          <cell r="K1040" t="str">
            <v>drums &lt;100t</v>
          </cell>
        </row>
        <row r="1041">
          <cell r="A1041" t="str">
            <v>8DR&lt;20</v>
          </cell>
          <cell r="B1041" t="str">
            <v>ABB PBS</v>
          </cell>
          <cell r="C1041" t="str">
            <v>8DR&lt;20ABB PBS</v>
          </cell>
          <cell r="D1041" t="str">
            <v>EUR</v>
          </cell>
          <cell r="E1041">
            <v>4.1900000000000004</v>
          </cell>
          <cell r="F1041" t="str">
            <v>EUR/kg</v>
          </cell>
          <cell r="G1041" t="str">
            <v>Yes</v>
          </cell>
          <cell r="H1041" t="str">
            <v>fca Antwerp</v>
          </cell>
          <cell r="K1041" t="str">
            <v>drums &lt;20t</v>
          </cell>
        </row>
        <row r="1042">
          <cell r="A1042" t="str">
            <v>8DR&lt;20</v>
          </cell>
          <cell r="B1042" t="str">
            <v>CBC BRA</v>
          </cell>
          <cell r="C1042" t="str">
            <v>8DR&lt;20CBC BRA</v>
          </cell>
          <cell r="D1042" t="str">
            <v>US$</v>
          </cell>
          <cell r="E1042">
            <v>3.42</v>
          </cell>
          <cell r="F1042" t="str">
            <v>US$/kg</v>
          </cell>
          <cell r="G1042" t="str">
            <v>Yes</v>
          </cell>
          <cell r="H1042" t="str">
            <v>acc.PO RIO NOGALIS</v>
          </cell>
          <cell r="K1042" t="str">
            <v>drums &lt;20t</v>
          </cell>
        </row>
        <row r="1043">
          <cell r="A1043" t="str">
            <v>8DR&lt;20</v>
          </cell>
          <cell r="B1043" t="str">
            <v>GRIRO</v>
          </cell>
          <cell r="C1043" t="str">
            <v>8DR&lt;20GRIRO</v>
          </cell>
          <cell r="D1043" t="str">
            <v>US$</v>
          </cell>
          <cell r="E1043">
            <v>2.2000000000000002</v>
          </cell>
          <cell r="F1043" t="str">
            <v>US$/kg</v>
          </cell>
          <cell r="G1043" t="str">
            <v>Yes</v>
          </cell>
          <cell r="H1043" t="str">
            <v>coop agr. 99/006, del. FOB Constanza</v>
          </cell>
          <cell r="K1043" t="str">
            <v>drums &lt;20t</v>
          </cell>
        </row>
        <row r="1044">
          <cell r="A1044" t="str">
            <v>8DR&lt;20</v>
          </cell>
          <cell r="B1044" t="str">
            <v>RAYTHEON R</v>
          </cell>
          <cell r="C1044" t="str">
            <v>8DR&lt;20RAYTHEON R</v>
          </cell>
          <cell r="D1044" t="str">
            <v>US$</v>
          </cell>
          <cell r="E1044">
            <v>2.62</v>
          </cell>
          <cell r="F1044" t="str">
            <v>US$/kg</v>
          </cell>
          <cell r="G1044" t="str">
            <v>Yes</v>
          </cell>
          <cell r="H1044" t="str">
            <v>coop agr. 99/006, del. FOB Constanza</v>
          </cell>
          <cell r="K1044" t="str">
            <v>drums &lt;20t</v>
          </cell>
        </row>
        <row r="1045">
          <cell r="A1045" t="str">
            <v>8DR&lt;20</v>
          </cell>
          <cell r="B1045" t="str">
            <v>SUNGJIN</v>
          </cell>
          <cell r="C1045" t="str">
            <v>8DR&lt;20SUNGJIN</v>
          </cell>
          <cell r="D1045" t="str">
            <v>US$</v>
          </cell>
          <cell r="E1045">
            <v>2.2000000000000002</v>
          </cell>
          <cell r="F1045" t="str">
            <v>US$/kg</v>
          </cell>
          <cell r="G1045" t="str">
            <v>Yes</v>
          </cell>
          <cell r="H1045" t="str">
            <v>Frame agreement 2001/14</v>
          </cell>
          <cell r="K1045" t="str">
            <v>drums &lt;100t</v>
          </cell>
        </row>
        <row r="1046">
          <cell r="A1046" t="str">
            <v>8DR&lt;20</v>
          </cell>
          <cell r="B1046" t="str">
            <v>V TEC</v>
          </cell>
          <cell r="C1046" t="str">
            <v>8DR&lt;20V TEC</v>
          </cell>
          <cell r="D1046" t="str">
            <v>US$</v>
          </cell>
          <cell r="E1046">
            <v>4.05</v>
          </cell>
          <cell r="F1046" t="str">
            <v>US$/kg</v>
          </cell>
          <cell r="G1046" t="str">
            <v>No</v>
          </cell>
          <cell r="H1046" t="str">
            <v>Quote 0101-210 Dominion</v>
          </cell>
          <cell r="K1046" t="str">
            <v>drums &gt;100t</v>
          </cell>
        </row>
        <row r="1047">
          <cell r="A1047" t="str">
            <v>8DR&gt;100</v>
          </cell>
          <cell r="B1047" t="str">
            <v>ABB PBS</v>
          </cell>
          <cell r="C1047" t="str">
            <v>8DR&gt;100ABB PBS</v>
          </cell>
          <cell r="D1047" t="str">
            <v>EUR</v>
          </cell>
          <cell r="E1047" t="str">
            <v>na</v>
          </cell>
          <cell r="F1047" t="str">
            <v>EUR/kg</v>
          </cell>
          <cell r="G1047" t="str">
            <v>No</v>
          </cell>
          <cell r="H1047" t="str">
            <v>not in prod. range</v>
          </cell>
          <cell r="K1047" t="str">
            <v>drums &gt;100t</v>
          </cell>
        </row>
        <row r="1048">
          <cell r="A1048" t="str">
            <v>8DR&gt;100</v>
          </cell>
          <cell r="B1048" t="str">
            <v>CBC BRA</v>
          </cell>
          <cell r="C1048" t="str">
            <v>8DR&gt;100CBC BRA</v>
          </cell>
          <cell r="D1048" t="str">
            <v>US$</v>
          </cell>
          <cell r="E1048">
            <v>3.42</v>
          </cell>
          <cell r="F1048" t="str">
            <v>US$/kg</v>
          </cell>
          <cell r="G1048" t="str">
            <v>Yes</v>
          </cell>
          <cell r="H1048" t="str">
            <v>acc.PO RIO NOGALIS</v>
          </cell>
          <cell r="K1048" t="str">
            <v>drums &gt;100t</v>
          </cell>
        </row>
        <row r="1049">
          <cell r="A1049" t="str">
            <v>8DR&gt;100</v>
          </cell>
          <cell r="B1049" t="str">
            <v>GRIRO</v>
          </cell>
          <cell r="C1049" t="str">
            <v>8DR&gt;100GRIRO</v>
          </cell>
          <cell r="D1049" t="str">
            <v>US$</v>
          </cell>
          <cell r="E1049">
            <v>2.4</v>
          </cell>
          <cell r="F1049" t="str">
            <v>US$/kg</v>
          </cell>
          <cell r="G1049" t="str">
            <v>Yes</v>
          </cell>
          <cell r="H1049" t="str">
            <v>coop agr. 99/006, del. FOB Constanza</v>
          </cell>
          <cell r="K1049" t="str">
            <v>drums &gt;100t</v>
          </cell>
        </row>
        <row r="1050">
          <cell r="A1050" t="str">
            <v>8DR&gt;100</v>
          </cell>
          <cell r="B1050" t="str">
            <v>RAYTHEON R</v>
          </cell>
          <cell r="C1050" t="str">
            <v>8DR&gt;100RAYTHEON R</v>
          </cell>
          <cell r="D1050" t="str">
            <v>US$</v>
          </cell>
          <cell r="E1050">
            <v>3</v>
          </cell>
          <cell r="F1050" t="str">
            <v>US$/kg</v>
          </cell>
          <cell r="G1050" t="str">
            <v>Yes</v>
          </cell>
          <cell r="H1050" t="str">
            <v>coop agr. 99/006, del. FOB Constanza</v>
          </cell>
          <cell r="K1050" t="str">
            <v>drums &gt;100t</v>
          </cell>
        </row>
        <row r="1051">
          <cell r="A1051" t="str">
            <v>8DR&gt;100</v>
          </cell>
          <cell r="B1051" t="str">
            <v>SUNGJIN</v>
          </cell>
          <cell r="C1051" t="str">
            <v>8DR&gt;100SUNGJIN</v>
          </cell>
          <cell r="D1051" t="str">
            <v>US$</v>
          </cell>
          <cell r="E1051">
            <v>2.35</v>
          </cell>
          <cell r="F1051" t="str">
            <v>US$/kg</v>
          </cell>
          <cell r="G1051" t="str">
            <v>Yes</v>
          </cell>
          <cell r="H1051" t="str">
            <v>Frame agreement 2001/14</v>
          </cell>
          <cell r="K1051" t="str">
            <v>drums &gt;100t</v>
          </cell>
        </row>
        <row r="1052">
          <cell r="A1052" t="str">
            <v>8DR&gt;100</v>
          </cell>
          <cell r="B1052" t="str">
            <v>V TEC</v>
          </cell>
          <cell r="C1052" t="str">
            <v>8DR&gt;100V TEC</v>
          </cell>
          <cell r="D1052" t="str">
            <v>US$</v>
          </cell>
          <cell r="E1052">
            <v>2.7730000000000001</v>
          </cell>
          <cell r="F1052" t="str">
            <v>US$/kg</v>
          </cell>
          <cell r="G1052" t="str">
            <v>No</v>
          </cell>
          <cell r="H1052" t="str">
            <v>Quote 0101-210 Dominion</v>
          </cell>
          <cell r="K1052" t="str">
            <v>drums &gt;100t</v>
          </cell>
        </row>
        <row r="1053">
          <cell r="A1053" t="str">
            <v>8DR&gt;100</v>
          </cell>
          <cell r="B1053" t="str">
            <v>VITCOVICE</v>
          </cell>
          <cell r="C1053" t="str">
            <v>8DR&gt;100VITCOVICE</v>
          </cell>
          <cell r="D1053" t="str">
            <v>US$</v>
          </cell>
          <cell r="E1053">
            <v>3.18</v>
          </cell>
          <cell r="F1053" t="str">
            <v>US$/kg</v>
          </cell>
          <cell r="G1053" t="str">
            <v>Yes</v>
          </cell>
          <cell r="H1053" t="str">
            <v>fca Antwerp</v>
          </cell>
          <cell r="K1053" t="str">
            <v>drums &gt;100t</v>
          </cell>
        </row>
        <row r="1054">
          <cell r="A1054" t="str">
            <v>8DRWB36</v>
          </cell>
          <cell r="B1054" t="str">
            <v>ABB PBS</v>
          </cell>
          <cell r="C1054" t="str">
            <v>8DRWB36ABB PBS</v>
          </cell>
          <cell r="D1054" t="str">
            <v>EUR</v>
          </cell>
          <cell r="E1054">
            <v>1.47</v>
          </cell>
          <cell r="F1054" t="str">
            <v>EUR/kg</v>
          </cell>
          <cell r="G1054" t="str">
            <v>No</v>
          </cell>
          <cell r="H1054" t="str">
            <v>fca Antwerp</v>
          </cell>
          <cell r="K1054" t="str">
            <v>drums &gt;20t</v>
          </cell>
        </row>
        <row r="1055">
          <cell r="A1055" t="str">
            <v>8DW0CS</v>
          </cell>
          <cell r="B1055">
            <v>0</v>
          </cell>
          <cell r="C1055" t="str">
            <v>8DW0CS</v>
          </cell>
          <cell r="D1055" t="str">
            <v>EUR</v>
          </cell>
          <cell r="E1055">
            <v>0</v>
          </cell>
          <cell r="F1055" t="str">
            <v>EUR/t</v>
          </cell>
          <cell r="G1055" t="str">
            <v>Yes</v>
          </cell>
          <cell r="H1055" t="str">
            <v>agreem. 09/003 r.1,+ seaw.packing, del. FCA</v>
          </cell>
          <cell r="K1055" t="str">
            <v>ducting</v>
          </cell>
        </row>
        <row r="1056">
          <cell r="A1056" t="str">
            <v>8DW10CS</v>
          </cell>
          <cell r="B1056" t="str">
            <v>FERMSTAL</v>
          </cell>
          <cell r="C1056" t="str">
            <v>8DW10CSFERMSTAL</v>
          </cell>
          <cell r="D1056" t="str">
            <v>EUR</v>
          </cell>
          <cell r="E1056">
            <v>1023</v>
          </cell>
          <cell r="F1056" t="str">
            <v>EUR/t</v>
          </cell>
          <cell r="G1056" t="str">
            <v>Yes</v>
          </cell>
          <cell r="H1056" t="str">
            <v>agreem. 09/003 r.1,+ seaw.packing, del. FCA</v>
          </cell>
          <cell r="K1056" t="str">
            <v>ducting</v>
          </cell>
        </row>
        <row r="1057">
          <cell r="A1057" t="str">
            <v>8DW10CS</v>
          </cell>
          <cell r="B1057" t="str">
            <v>VIPCO</v>
          </cell>
          <cell r="C1057" t="str">
            <v>8DW10CSVIPCO</v>
          </cell>
          <cell r="D1057" t="str">
            <v>US$</v>
          </cell>
          <cell r="E1057">
            <v>980</v>
          </cell>
          <cell r="F1057" t="str">
            <v>US$/ton</v>
          </cell>
          <cell r="G1057" t="str">
            <v>Yes</v>
          </cell>
          <cell r="H1057" t="str">
            <v>ESTIMATE</v>
          </cell>
          <cell r="K1057" t="str">
            <v>ducting</v>
          </cell>
        </row>
        <row r="1058">
          <cell r="A1058" t="str">
            <v>8DW10CS</v>
          </cell>
          <cell r="B1058" t="str">
            <v>WI-USA</v>
          </cell>
          <cell r="C1058" t="str">
            <v>8DW10CSWI-USA</v>
          </cell>
          <cell r="D1058" t="str">
            <v>US$</v>
          </cell>
          <cell r="E1058">
            <v>2000</v>
          </cell>
          <cell r="F1058" t="str">
            <v>US$/t</v>
          </cell>
          <cell r="G1058" t="str">
            <v>Yes</v>
          </cell>
          <cell r="H1058" t="str">
            <v>ESTIMATE</v>
          </cell>
          <cell r="K1058" t="str">
            <v>ducting</v>
          </cell>
        </row>
        <row r="1059">
          <cell r="A1059" t="str">
            <v>8DW13CrMo44</v>
          </cell>
          <cell r="B1059" t="str">
            <v>FERMSTAL</v>
          </cell>
          <cell r="C1059" t="str">
            <v>8DW13CrMo44FERMSTAL</v>
          </cell>
          <cell r="D1059" t="str">
            <v>EUR</v>
          </cell>
          <cell r="E1059">
            <v>1943</v>
          </cell>
          <cell r="F1059" t="str">
            <v>EUR/t</v>
          </cell>
          <cell r="G1059" t="str">
            <v>Yes</v>
          </cell>
          <cell r="H1059" t="str">
            <v>agreem. 09/003 r.1,+ seaw.packing, del. FCA</v>
          </cell>
          <cell r="K1059" t="str">
            <v>ducting</v>
          </cell>
        </row>
        <row r="1060">
          <cell r="A1060" t="str">
            <v>8DW16 Mo 3</v>
          </cell>
          <cell r="B1060" t="str">
            <v>FERMSTAL</v>
          </cell>
          <cell r="C1060" t="str">
            <v>8DW16 Mo 3FERMSTAL</v>
          </cell>
          <cell r="D1060" t="str">
            <v>EUR</v>
          </cell>
          <cell r="E1060">
            <v>1253</v>
          </cell>
          <cell r="F1060" t="str">
            <v>EUR/t</v>
          </cell>
          <cell r="G1060" t="str">
            <v>Yes</v>
          </cell>
          <cell r="H1060" t="str">
            <v>agreem. 09/003 r.1,+ seaw.packing, del. FCA</v>
          </cell>
          <cell r="K1060" t="str">
            <v>ducting</v>
          </cell>
        </row>
        <row r="1061">
          <cell r="A1061" t="str">
            <v>8DW513CrMo44</v>
          </cell>
          <cell r="B1061" t="str">
            <v>FERMSTAL</v>
          </cell>
          <cell r="C1061" t="str">
            <v>8DW513CrMo44FERMSTAL</v>
          </cell>
          <cell r="D1061" t="str">
            <v>EUR</v>
          </cell>
          <cell r="E1061">
            <v>2077</v>
          </cell>
          <cell r="F1061" t="str">
            <v>EUR/t</v>
          </cell>
          <cell r="G1061" t="str">
            <v>Yes</v>
          </cell>
          <cell r="H1061" t="str">
            <v>agreem. 09/003 r.1,+ seaw.packing, del. FCA</v>
          </cell>
          <cell r="K1061" t="str">
            <v>ducting</v>
          </cell>
        </row>
        <row r="1062">
          <cell r="A1062" t="str">
            <v>8DW516 Mo 3</v>
          </cell>
          <cell r="B1062" t="str">
            <v>FERMSTAL</v>
          </cell>
          <cell r="C1062" t="str">
            <v>8DW516 Mo 3FERMSTAL</v>
          </cell>
          <cell r="D1062" t="str">
            <v>EUR</v>
          </cell>
          <cell r="E1062">
            <v>1387</v>
          </cell>
          <cell r="F1062" t="str">
            <v>EUR/t</v>
          </cell>
          <cell r="G1062" t="str">
            <v>Yes</v>
          </cell>
          <cell r="H1062" t="str">
            <v>agreem. 09/003 r.1,+ seaw.packing, del. FCA</v>
          </cell>
          <cell r="K1062" t="str">
            <v>ducting</v>
          </cell>
        </row>
        <row r="1063">
          <cell r="A1063" t="str">
            <v>8DW5CS</v>
          </cell>
          <cell r="B1063" t="str">
            <v>FERMSTAL</v>
          </cell>
          <cell r="C1063" t="str">
            <v>8DW5CSFERMSTAL</v>
          </cell>
          <cell r="D1063" t="str">
            <v>EUR</v>
          </cell>
          <cell r="E1063">
            <v>1157</v>
          </cell>
          <cell r="F1063" t="str">
            <v>EUR/t</v>
          </cell>
          <cell r="G1063" t="str">
            <v>Yes</v>
          </cell>
          <cell r="H1063" t="str">
            <v>agreem. 09/003 r.1,+ seaw.packing, del. FCA</v>
          </cell>
          <cell r="K1063" t="str">
            <v>ducting</v>
          </cell>
        </row>
        <row r="1064">
          <cell r="A1064" t="str">
            <v>8DW613CrMo44</v>
          </cell>
          <cell r="B1064" t="str">
            <v>FERMSTAL</v>
          </cell>
          <cell r="C1064" t="str">
            <v>8DW613CrMo44FERMSTAL</v>
          </cell>
          <cell r="D1064" t="str">
            <v>EUR</v>
          </cell>
          <cell r="E1064">
            <v>2020</v>
          </cell>
          <cell r="F1064" t="str">
            <v>EUR/t</v>
          </cell>
          <cell r="G1064" t="str">
            <v>Yes</v>
          </cell>
          <cell r="H1064" t="str">
            <v>agreem. 09/003 r.1,+ seaw.packing, del. FCA</v>
          </cell>
          <cell r="K1064" t="str">
            <v>ducting</v>
          </cell>
        </row>
        <row r="1065">
          <cell r="A1065" t="str">
            <v>8DW616 Mo 3</v>
          </cell>
          <cell r="B1065" t="str">
            <v>FERMSTAL</v>
          </cell>
          <cell r="C1065" t="str">
            <v>8DW616 Mo 3FERMSTAL</v>
          </cell>
          <cell r="D1065" t="str">
            <v>EUR</v>
          </cell>
          <cell r="E1065">
            <v>1330</v>
          </cell>
          <cell r="F1065" t="str">
            <v>EUR/t</v>
          </cell>
          <cell r="G1065" t="str">
            <v>Yes</v>
          </cell>
          <cell r="H1065" t="str">
            <v>agreem. 09/003 r.1,+ seaw.packing, del. FCA</v>
          </cell>
          <cell r="K1065" t="str">
            <v>ducting</v>
          </cell>
        </row>
        <row r="1066">
          <cell r="A1066" t="str">
            <v>8DW6</v>
          </cell>
          <cell r="B1066" t="str">
            <v>CBC BRA</v>
          </cell>
          <cell r="C1066" t="str">
            <v>8DW6CBC BRA</v>
          </cell>
          <cell r="D1066" t="str">
            <v>US$</v>
          </cell>
          <cell r="E1066">
            <v>1884</v>
          </cell>
          <cell r="F1066" t="str">
            <v>US$/t</v>
          </cell>
          <cell r="G1066" t="str">
            <v>No</v>
          </cell>
          <cell r="H1066" t="str">
            <v>1000 for mat'l &amp; fabr + 50 trsp FOB</v>
          </cell>
          <cell r="K1066" t="str">
            <v>ducting</v>
          </cell>
        </row>
        <row r="1067">
          <cell r="A1067" t="str">
            <v>8DW6CS</v>
          </cell>
          <cell r="B1067" t="str">
            <v>BRAND</v>
          </cell>
          <cell r="C1067" t="str">
            <v>8DW6CSBRAND</v>
          </cell>
          <cell r="D1067" t="str">
            <v>EUR</v>
          </cell>
          <cell r="E1067">
            <v>1050</v>
          </cell>
          <cell r="F1067" t="str">
            <v>EUR/t</v>
          </cell>
          <cell r="G1067" t="str">
            <v>Yes</v>
          </cell>
          <cell r="H1067" t="str">
            <v>1000 for mat'l &amp; fabr + 50 trsp FOB</v>
          </cell>
          <cell r="K1067" t="str">
            <v>ducting</v>
          </cell>
        </row>
        <row r="1068">
          <cell r="A1068" t="str">
            <v>8DW6CS</v>
          </cell>
          <cell r="B1068" t="str">
            <v>BRANDR</v>
          </cell>
          <cell r="C1068" t="str">
            <v>8DW6CSBRANDR</v>
          </cell>
          <cell r="D1068" t="str">
            <v>EUR</v>
          </cell>
          <cell r="E1068">
            <v>1050</v>
          </cell>
          <cell r="F1068" t="str">
            <v>EUR/t</v>
          </cell>
          <cell r="G1068" t="str">
            <v>Yes</v>
          </cell>
          <cell r="H1068" t="str">
            <v>1000 for mat'l &amp; fabr + 50 trsp FOB</v>
          </cell>
          <cell r="K1068" t="str">
            <v>ducting</v>
          </cell>
        </row>
        <row r="1069">
          <cell r="A1069" t="str">
            <v>8DW6CS</v>
          </cell>
          <cell r="B1069" t="str">
            <v>FERMSTAL</v>
          </cell>
          <cell r="C1069" t="str">
            <v>8DW6CSFERMSTAL</v>
          </cell>
          <cell r="D1069" t="str">
            <v>EUR</v>
          </cell>
          <cell r="E1069">
            <v>1100</v>
          </cell>
          <cell r="F1069" t="str">
            <v>EUR/t</v>
          </cell>
          <cell r="G1069" t="str">
            <v>Yes</v>
          </cell>
          <cell r="H1069" t="str">
            <v>agreem. 09/003 r.1,+ seaw.packing, del. FCA</v>
          </cell>
          <cell r="K1069" t="str">
            <v>ducting</v>
          </cell>
        </row>
        <row r="1070">
          <cell r="A1070" t="str">
            <v>8DW6CS</v>
          </cell>
          <cell r="B1070" t="str">
            <v>RHODES</v>
          </cell>
          <cell r="C1070" t="str">
            <v>8DW6CSRHODES</v>
          </cell>
          <cell r="D1070" t="str">
            <v>GBP</v>
          </cell>
          <cell r="E1070">
            <v>783.3</v>
          </cell>
          <cell r="F1070" t="str">
            <v>GBP/ton</v>
          </cell>
          <cell r="G1070" t="str">
            <v>Yes</v>
          </cell>
          <cell r="K1070" t="str">
            <v>ducting</v>
          </cell>
        </row>
        <row r="1071">
          <cell r="A1071" t="str">
            <v>8DW6CS</v>
          </cell>
          <cell r="B1071" t="str">
            <v>VIPCO</v>
          </cell>
          <cell r="C1071" t="str">
            <v>8DW6CSVIPCO</v>
          </cell>
          <cell r="D1071" t="str">
            <v>US$</v>
          </cell>
          <cell r="E1071">
            <v>1000</v>
          </cell>
          <cell r="F1071" t="str">
            <v>US$/ton</v>
          </cell>
          <cell r="G1071" t="str">
            <v>Yes</v>
          </cell>
          <cell r="H1071" t="str">
            <v>ESTIMATE</v>
          </cell>
          <cell r="K1071" t="str">
            <v>ducting</v>
          </cell>
        </row>
        <row r="1072">
          <cell r="A1072" t="str">
            <v>8DW6CS</v>
          </cell>
          <cell r="B1072" t="str">
            <v>WI-USA</v>
          </cell>
          <cell r="C1072" t="str">
            <v>8DW6CSWI-USA</v>
          </cell>
          <cell r="D1072" t="str">
            <v>US$</v>
          </cell>
          <cell r="E1072">
            <v>2000</v>
          </cell>
          <cell r="F1072" t="str">
            <v>US$/t</v>
          </cell>
          <cell r="G1072" t="str">
            <v>Yes</v>
          </cell>
          <cell r="H1072" t="str">
            <v>ESTIMATE</v>
          </cell>
          <cell r="K1072" t="str">
            <v>ducting</v>
          </cell>
        </row>
        <row r="1073">
          <cell r="A1073" t="str">
            <v>8DW813CrMo44</v>
          </cell>
          <cell r="B1073" t="str">
            <v>FERMSTAL</v>
          </cell>
          <cell r="C1073" t="str">
            <v>8DW813CrMo44FERMSTAL</v>
          </cell>
          <cell r="D1073" t="str">
            <v>EUR</v>
          </cell>
          <cell r="E1073">
            <v>1966</v>
          </cell>
          <cell r="F1073" t="str">
            <v>EUR/t</v>
          </cell>
          <cell r="G1073" t="str">
            <v>Yes</v>
          </cell>
          <cell r="H1073" t="str">
            <v>agreem. 09/003 r.1,+ seaw.packing, del. FCA</v>
          </cell>
          <cell r="K1073" t="str">
            <v>ducting</v>
          </cell>
        </row>
        <row r="1074">
          <cell r="A1074" t="str">
            <v>8DW813CrMo44</v>
          </cell>
          <cell r="B1074" t="str">
            <v>RHODES</v>
          </cell>
          <cell r="C1074" t="str">
            <v>8DW813CrMo44RHODES</v>
          </cell>
          <cell r="D1074" t="str">
            <v>GBP</v>
          </cell>
          <cell r="E1074">
            <v>1338.3</v>
          </cell>
          <cell r="F1074" t="str">
            <v>GBP/ton</v>
          </cell>
          <cell r="G1074" t="str">
            <v>Yes</v>
          </cell>
          <cell r="H1074" t="str">
            <v>add. 0.55/kg</v>
          </cell>
          <cell r="K1074" t="str">
            <v>ducting</v>
          </cell>
        </row>
        <row r="1075">
          <cell r="A1075" t="str">
            <v>8DW816 Mo 3</v>
          </cell>
          <cell r="B1075" t="str">
            <v>FERMSTAL</v>
          </cell>
          <cell r="C1075" t="str">
            <v>8DW816 Mo 3FERMSTAL</v>
          </cell>
          <cell r="D1075" t="str">
            <v>EUR</v>
          </cell>
          <cell r="E1075">
            <v>1276</v>
          </cell>
          <cell r="F1075" t="str">
            <v>EUR/t</v>
          </cell>
          <cell r="G1075" t="str">
            <v>Yes</v>
          </cell>
          <cell r="H1075" t="str">
            <v>agreem. 09/003 r.1,+ seaw.packing, del. FCA</v>
          </cell>
          <cell r="K1075" t="str">
            <v>ducting</v>
          </cell>
        </row>
        <row r="1076">
          <cell r="A1076" t="str">
            <v>8DW8CS</v>
          </cell>
          <cell r="B1076" t="str">
            <v>BRAND</v>
          </cell>
          <cell r="C1076" t="str">
            <v>8DW8CSBRAND</v>
          </cell>
          <cell r="D1076" t="str">
            <v>EUR</v>
          </cell>
          <cell r="E1076">
            <v>1221.8399999999999</v>
          </cell>
          <cell r="F1076" t="str">
            <v>EUR/t</v>
          </cell>
          <cell r="G1076" t="str">
            <v>Yes</v>
          </cell>
          <cell r="H1076" t="str">
            <v>DEM 2292/t (stack) + Eur 50 trsp FOB</v>
          </cell>
          <cell r="K1076" t="str">
            <v>ducting</v>
          </cell>
        </row>
        <row r="1077">
          <cell r="A1077" t="str">
            <v>8DW8CS</v>
          </cell>
          <cell r="B1077" t="str">
            <v>BRAND</v>
          </cell>
          <cell r="C1077" t="str">
            <v>8DW8CSBRAND</v>
          </cell>
          <cell r="D1077" t="str">
            <v>EUR</v>
          </cell>
          <cell r="E1077">
            <v>1050</v>
          </cell>
          <cell r="F1077" t="str">
            <v>EUR/t</v>
          </cell>
          <cell r="G1077" t="str">
            <v>Yes</v>
          </cell>
          <cell r="H1077" t="str">
            <v>1000 for mat'l &amp; fabr + 50 trsp FOB</v>
          </cell>
          <cell r="K1077" t="str">
            <v>ducting</v>
          </cell>
        </row>
        <row r="1078">
          <cell r="A1078" t="str">
            <v>8DW8CS</v>
          </cell>
          <cell r="B1078" t="str">
            <v>BRAND</v>
          </cell>
          <cell r="C1078" t="str">
            <v>8DW8CSBRAND</v>
          </cell>
          <cell r="D1078" t="str">
            <v>EUR</v>
          </cell>
          <cell r="E1078">
            <v>1548.55</v>
          </cell>
          <cell r="F1078" t="str">
            <v>EUR/t</v>
          </cell>
          <cell r="G1078" t="str">
            <v>Yes</v>
          </cell>
          <cell r="H1078" t="str">
            <v>DEM 2931/t + Euro 50/t trsp FOB</v>
          </cell>
          <cell r="K1078" t="str">
            <v>ducting</v>
          </cell>
        </row>
        <row r="1079">
          <cell r="A1079" t="str">
            <v>8DW8CS</v>
          </cell>
          <cell r="B1079" t="str">
            <v>BRANDR</v>
          </cell>
          <cell r="C1079" t="str">
            <v>8DW8CSBRANDR</v>
          </cell>
          <cell r="D1079" t="str">
            <v>EUR</v>
          </cell>
          <cell r="E1079">
            <v>1050</v>
          </cell>
          <cell r="F1079" t="str">
            <v>EUR/t</v>
          </cell>
          <cell r="G1079" t="str">
            <v>Yes</v>
          </cell>
          <cell r="H1079" t="str">
            <v>1000 for mat'l &amp; fabr + 50 trsp FOB</v>
          </cell>
          <cell r="K1079" t="str">
            <v>ducting</v>
          </cell>
        </row>
        <row r="1080">
          <cell r="A1080" t="str">
            <v>8DW8CS</v>
          </cell>
          <cell r="B1080" t="str">
            <v>FERMSTAL</v>
          </cell>
          <cell r="C1080" t="str">
            <v>8DW8CSFERMSTAL</v>
          </cell>
          <cell r="D1080" t="str">
            <v>EUR</v>
          </cell>
          <cell r="E1080">
            <v>1046</v>
          </cell>
          <cell r="F1080" t="str">
            <v>EUR/t</v>
          </cell>
          <cell r="G1080" t="str">
            <v>Yes</v>
          </cell>
          <cell r="H1080" t="str">
            <v>agreem. 09/003 r.1,+ seaw.packing, del. FCA</v>
          </cell>
          <cell r="K1080" t="str">
            <v>ducting</v>
          </cell>
        </row>
        <row r="1081">
          <cell r="A1081" t="str">
            <v>8DW8CS</v>
          </cell>
          <cell r="B1081" t="str">
            <v>RHODES</v>
          </cell>
          <cell r="C1081" t="str">
            <v>8DW8CSRHODES</v>
          </cell>
          <cell r="D1081" t="str">
            <v>GBP</v>
          </cell>
          <cell r="E1081">
            <v>783.3</v>
          </cell>
          <cell r="F1081" t="str">
            <v>GBP/ton</v>
          </cell>
          <cell r="G1081" t="str">
            <v>Yes</v>
          </cell>
          <cell r="K1081" t="str">
            <v>ducting</v>
          </cell>
        </row>
        <row r="1082">
          <cell r="A1082" t="str">
            <v>8DW8CS</v>
          </cell>
          <cell r="B1082" t="str">
            <v>VIPCO</v>
          </cell>
          <cell r="C1082" t="str">
            <v>8DW8CSVIPCO</v>
          </cell>
          <cell r="D1082" t="str">
            <v>US$</v>
          </cell>
          <cell r="E1082">
            <v>990</v>
          </cell>
          <cell r="F1082" t="str">
            <v>US$/ton</v>
          </cell>
          <cell r="G1082" t="str">
            <v>Yes</v>
          </cell>
          <cell r="H1082" t="str">
            <v>ASSEMBLED SECTIONS 12M</v>
          </cell>
          <cell r="K1082" t="str">
            <v>ducting</v>
          </cell>
        </row>
        <row r="1083">
          <cell r="A1083" t="str">
            <v>8DW8CS</v>
          </cell>
          <cell r="B1083" t="str">
            <v>WI-USA</v>
          </cell>
          <cell r="C1083" t="str">
            <v>8DW8CSWI-USA</v>
          </cell>
          <cell r="D1083" t="str">
            <v>US$</v>
          </cell>
          <cell r="E1083">
            <v>2980</v>
          </cell>
          <cell r="F1083" t="str">
            <v>US$/t</v>
          </cell>
          <cell r="G1083" t="str">
            <v>Yes</v>
          </cell>
          <cell r="H1083" t="str">
            <v>ASSEMBLED SECTIONS 12M</v>
          </cell>
          <cell r="K1083" t="str">
            <v>ducting</v>
          </cell>
        </row>
        <row r="1084">
          <cell r="A1084" t="str">
            <v>8DWBU15 Mo 3</v>
          </cell>
          <cell r="B1084" t="str">
            <v>HUTNI</v>
          </cell>
          <cell r="C1084" t="str">
            <v>8DWBU15 Mo 3HUTNI</v>
          </cell>
          <cell r="D1084" t="str">
            <v>EUR</v>
          </cell>
          <cell r="E1084">
            <v>1685</v>
          </cell>
          <cell r="F1084" t="str">
            <v>EUR/t</v>
          </cell>
          <cell r="G1084" t="str">
            <v>Yes</v>
          </cell>
          <cell r="H1084" t="str">
            <v>CS 1000 (insul) + packing 100/t + 15Mo3 €585</v>
          </cell>
          <cell r="K1084" t="str">
            <v>baffles</v>
          </cell>
        </row>
        <row r="1085">
          <cell r="A1085" t="str">
            <v>8DWBUCS</v>
          </cell>
          <cell r="B1085" t="str">
            <v>HUTNI</v>
          </cell>
          <cell r="C1085" t="str">
            <v>8DWBUCSHUTNI</v>
          </cell>
          <cell r="D1085" t="str">
            <v>EUR</v>
          </cell>
          <cell r="E1085">
            <v>1100</v>
          </cell>
          <cell r="F1085" t="str">
            <v>EUR/t</v>
          </cell>
          <cell r="G1085" t="str">
            <v>Yes</v>
          </cell>
          <cell r="H1085" t="str">
            <v xml:space="preserve">CS 1000 (insul) + packing 100/t </v>
          </cell>
          <cell r="K1085" t="str">
            <v>baffles</v>
          </cell>
        </row>
        <row r="1086">
          <cell r="A1086" t="str">
            <v>8DWBUCS</v>
          </cell>
          <cell r="B1086" t="str">
            <v>ZVU</v>
          </cell>
          <cell r="C1086" t="str">
            <v>8DWBUCSZVU</v>
          </cell>
          <cell r="D1086" t="str">
            <v>EUR</v>
          </cell>
          <cell r="E1086">
            <v>1320</v>
          </cell>
          <cell r="F1086" t="str">
            <v>EUR/t</v>
          </cell>
          <cell r="G1086" t="str">
            <v>Yes</v>
          </cell>
          <cell r="H1086" t="str">
            <v>PO Brush 22003 00020.1 Euro 1270/t Ex works</v>
          </cell>
          <cell r="K1086" t="str">
            <v>ducting</v>
          </cell>
        </row>
        <row r="1087">
          <cell r="A1087" t="str">
            <v>8DWBUH II</v>
          </cell>
          <cell r="B1087" t="str">
            <v>HUTNI</v>
          </cell>
          <cell r="C1087" t="str">
            <v>8DWBUH IIHUTNI</v>
          </cell>
          <cell r="D1087" t="str">
            <v>EUR</v>
          </cell>
          <cell r="E1087">
            <v>1200</v>
          </cell>
          <cell r="F1087" t="str">
            <v>EUR/t</v>
          </cell>
          <cell r="G1087" t="str">
            <v>Yes</v>
          </cell>
          <cell r="H1087" t="str">
            <v>CS 1000 (insul) + packing 100/t +HII €100</v>
          </cell>
          <cell r="K1087" t="str">
            <v>baffles</v>
          </cell>
        </row>
        <row r="1088">
          <cell r="A1088" t="str">
            <v>8DWIN15 Mo 3</v>
          </cell>
          <cell r="B1088" t="str">
            <v>HUTNI</v>
          </cell>
          <cell r="C1088" t="str">
            <v>8DWIN15 Mo 3HUTNI</v>
          </cell>
          <cell r="D1088" t="str">
            <v>EUR</v>
          </cell>
          <cell r="E1088">
            <v>1700</v>
          </cell>
          <cell r="F1088" t="str">
            <v>EUR/t</v>
          </cell>
          <cell r="G1088" t="str">
            <v>Yes</v>
          </cell>
          <cell r="H1088" t="str">
            <v>CS 1015 (insul) + packing 100/t + 15Mo3 €585</v>
          </cell>
          <cell r="K1088" t="str">
            <v>baffles</v>
          </cell>
        </row>
        <row r="1089">
          <cell r="A1089" t="str">
            <v>8DWINCS</v>
          </cell>
          <cell r="B1089" t="str">
            <v>BRAND</v>
          </cell>
          <cell r="C1089" t="str">
            <v>8DWINCSBRAND</v>
          </cell>
          <cell r="D1089" t="str">
            <v>EUR</v>
          </cell>
          <cell r="E1089">
            <v>1548.55</v>
          </cell>
          <cell r="F1089" t="str">
            <v>EUR/t</v>
          </cell>
          <cell r="G1089" t="str">
            <v>Yes</v>
          </cell>
          <cell r="H1089" t="str">
            <v>DEM 2931/t + Euro 50/t trsp FOB</v>
          </cell>
          <cell r="K1089" t="str">
            <v>ducting</v>
          </cell>
        </row>
        <row r="1090">
          <cell r="A1090" t="str">
            <v>8DWINCS</v>
          </cell>
          <cell r="B1090" t="str">
            <v>HUTNI</v>
          </cell>
          <cell r="C1090" t="str">
            <v>8DWINCSHUTNI</v>
          </cell>
          <cell r="D1090" t="str">
            <v>EUR</v>
          </cell>
          <cell r="E1090">
            <v>1115</v>
          </cell>
          <cell r="F1090" t="str">
            <v>EUR/t</v>
          </cell>
          <cell r="G1090" t="str">
            <v>Yes</v>
          </cell>
          <cell r="H1090" t="str">
            <v xml:space="preserve">CS 1015 (insul) + packing 100/t </v>
          </cell>
          <cell r="K1090" t="str">
            <v>baffles</v>
          </cell>
        </row>
        <row r="1091">
          <cell r="A1091" t="str">
            <v>8DWINCS</v>
          </cell>
          <cell r="B1091" t="str">
            <v>ZVU</v>
          </cell>
          <cell r="C1091" t="str">
            <v>8DWINCSZVU</v>
          </cell>
          <cell r="D1091" t="str">
            <v>EUR</v>
          </cell>
          <cell r="E1091">
            <v>1320</v>
          </cell>
          <cell r="F1091" t="str">
            <v>EUR/t</v>
          </cell>
          <cell r="G1091" t="str">
            <v>Yes</v>
          </cell>
          <cell r="H1091" t="str">
            <v>PO Brush 22003 00020.1 Euro 1270/t Ex works</v>
          </cell>
          <cell r="K1091" t="str">
            <v>ducting</v>
          </cell>
        </row>
        <row r="1092">
          <cell r="A1092" t="str">
            <v>8DWINH II</v>
          </cell>
          <cell r="B1092" t="str">
            <v>HUTNI</v>
          </cell>
          <cell r="C1092" t="str">
            <v>8DWINH IIHUTNI</v>
          </cell>
          <cell r="D1092" t="str">
            <v>EUR</v>
          </cell>
          <cell r="E1092">
            <v>1215</v>
          </cell>
          <cell r="F1092" t="str">
            <v>EUR/t</v>
          </cell>
          <cell r="G1092" t="str">
            <v>Yes</v>
          </cell>
          <cell r="H1092" t="str">
            <v>CS 1015 (insul) + packing 100/t +HII €100</v>
          </cell>
          <cell r="K1092" t="str">
            <v>baffles</v>
          </cell>
        </row>
        <row r="1093">
          <cell r="A1093" t="str">
            <v>8DWOUCorten A-242</v>
          </cell>
          <cell r="B1093" t="str">
            <v>HUTNI</v>
          </cell>
          <cell r="C1093" t="str">
            <v>8DWOUCorten A-242HUTNI</v>
          </cell>
          <cell r="D1093" t="str">
            <v>EUR</v>
          </cell>
          <cell r="E1093">
            <v>1555</v>
          </cell>
          <cell r="F1093" t="str">
            <v>EUR/t</v>
          </cell>
          <cell r="G1093" t="str">
            <v>Yes</v>
          </cell>
          <cell r="H1093" t="str">
            <v>CS 885/T + packing 70/t +Corten :600/t guest.</v>
          </cell>
          <cell r="K1093" t="str">
            <v>baffles</v>
          </cell>
        </row>
        <row r="1094">
          <cell r="A1094" t="str">
            <v>8DWOUCS</v>
          </cell>
          <cell r="B1094" t="str">
            <v>BRAND</v>
          </cell>
          <cell r="C1094" t="str">
            <v>8DWOUCSBRAND</v>
          </cell>
          <cell r="D1094" t="str">
            <v>EUR</v>
          </cell>
          <cell r="E1094">
            <v>1230.5</v>
          </cell>
          <cell r="F1094" t="str">
            <v>EUR/t</v>
          </cell>
          <cell r="G1094" t="str">
            <v>Yes</v>
          </cell>
          <cell r="H1094" t="str">
            <v>1100+50 FOB +7% risk (CDA)</v>
          </cell>
          <cell r="K1094" t="str">
            <v>ducting</v>
          </cell>
        </row>
        <row r="1095">
          <cell r="A1095" t="str">
            <v>8DWOUCS</v>
          </cell>
          <cell r="B1095" t="str">
            <v>BRANDR</v>
          </cell>
          <cell r="C1095" t="str">
            <v>8DWOUCSBRANDR</v>
          </cell>
          <cell r="D1095" t="str">
            <v>EUR</v>
          </cell>
          <cell r="E1095">
            <v>1230.5</v>
          </cell>
          <cell r="F1095" t="str">
            <v>EUR/t</v>
          </cell>
          <cell r="G1095" t="str">
            <v>Yes</v>
          </cell>
          <cell r="H1095" t="str">
            <v>1100+50 FOB +7% risk (CDA)</v>
          </cell>
          <cell r="K1095" t="str">
            <v>ducting</v>
          </cell>
        </row>
        <row r="1096">
          <cell r="A1096" t="str">
            <v>8DWOUCS</v>
          </cell>
          <cell r="B1096" t="str">
            <v>HUTNI</v>
          </cell>
          <cell r="C1096" t="str">
            <v>8DWOUCSHUTNI</v>
          </cell>
          <cell r="D1096" t="str">
            <v>EUR</v>
          </cell>
          <cell r="E1096">
            <v>955</v>
          </cell>
          <cell r="F1096" t="str">
            <v>EUR/t</v>
          </cell>
          <cell r="G1096" t="str">
            <v>Yes</v>
          </cell>
          <cell r="H1096" t="str">
            <v>CS 885/T + packing 70/t</v>
          </cell>
          <cell r="K1096" t="str">
            <v>baffles</v>
          </cell>
        </row>
        <row r="1097">
          <cell r="A1097" t="str">
            <v>8DWOUCS</v>
          </cell>
          <cell r="B1097" t="str">
            <v>ZVU</v>
          </cell>
          <cell r="C1097" t="str">
            <v>8DWOUCSZVU</v>
          </cell>
          <cell r="D1097" t="str">
            <v>EUR</v>
          </cell>
          <cell r="E1097">
            <v>1320</v>
          </cell>
          <cell r="F1097" t="str">
            <v>EUR/t</v>
          </cell>
          <cell r="G1097" t="str">
            <v>Yes</v>
          </cell>
          <cell r="H1097" t="str">
            <v>PO Brush 22003 00020.1 Euro 1270/t Ex works</v>
          </cell>
          <cell r="K1097" t="str">
            <v>ducting</v>
          </cell>
        </row>
        <row r="1098">
          <cell r="A1098" t="str">
            <v>8DWSKAISI 304</v>
          </cell>
          <cell r="B1098" t="str">
            <v>BRAND</v>
          </cell>
          <cell r="C1098" t="str">
            <v>8DWSKAISI 304BRAND</v>
          </cell>
          <cell r="D1098" t="str">
            <v>EUR</v>
          </cell>
          <cell r="E1098">
            <v>4608</v>
          </cell>
          <cell r="F1098" t="str">
            <v>EUR/t</v>
          </cell>
          <cell r="G1098" t="str">
            <v>Yes</v>
          </cell>
          <cell r="H1098" t="str">
            <v>Ref 3286, dated 8 may 2001, 2500 mm sections</v>
          </cell>
          <cell r="K1098" t="str">
            <v>stack</v>
          </cell>
        </row>
        <row r="1099">
          <cell r="A1099" t="str">
            <v>8DWSKAISI 304</v>
          </cell>
          <cell r="B1099" t="str">
            <v>BRANDR</v>
          </cell>
          <cell r="C1099" t="str">
            <v>8DWSKAISI 304BRANDR</v>
          </cell>
          <cell r="D1099" t="str">
            <v>EUR</v>
          </cell>
          <cell r="E1099">
            <v>4608</v>
          </cell>
          <cell r="F1099" t="str">
            <v>EUR/t</v>
          </cell>
          <cell r="G1099" t="str">
            <v>Yes</v>
          </cell>
          <cell r="H1099" t="str">
            <v>Ref 3286, dated 8 may 2001, 2500 mm sections</v>
          </cell>
          <cell r="K1099" t="str">
            <v>stack</v>
          </cell>
        </row>
        <row r="1100">
          <cell r="A1100" t="str">
            <v>8DWSKCorten A-242</v>
          </cell>
          <cell r="B1100" t="str">
            <v>BRAND</v>
          </cell>
          <cell r="C1100" t="str">
            <v>8DWSKCorten A-242BRAND</v>
          </cell>
          <cell r="D1100" t="str">
            <v>EUR</v>
          </cell>
          <cell r="E1100">
            <v>1556</v>
          </cell>
          <cell r="F1100" t="str">
            <v>EUR/t</v>
          </cell>
          <cell r="G1100" t="str">
            <v>Yes</v>
          </cell>
          <cell r="H1100" t="str">
            <v>Ref 3286, dated 8 may 2001</v>
          </cell>
          <cell r="K1100" t="str">
            <v>stack</v>
          </cell>
        </row>
        <row r="1101">
          <cell r="A1101" t="str">
            <v>8DWSKCorten A-242</v>
          </cell>
          <cell r="B1101" t="str">
            <v>BRANDR</v>
          </cell>
          <cell r="C1101" t="str">
            <v>8DWSKCorten A-242BRANDR</v>
          </cell>
          <cell r="D1101" t="str">
            <v>EUR</v>
          </cell>
          <cell r="E1101">
            <v>1556</v>
          </cell>
          <cell r="F1101" t="str">
            <v>EUR/t</v>
          </cell>
          <cell r="G1101" t="str">
            <v>Yes</v>
          </cell>
          <cell r="H1101" t="str">
            <v>Ref 3286, dated 8 may 2001</v>
          </cell>
          <cell r="K1101" t="str">
            <v>stack</v>
          </cell>
        </row>
        <row r="1102">
          <cell r="A1102" t="str">
            <v>8DWSKCorten A-242</v>
          </cell>
          <cell r="B1102" t="str">
            <v>HUTNI</v>
          </cell>
          <cell r="C1102" t="str">
            <v>8DWSKCorten A-242HUTNI</v>
          </cell>
          <cell r="D1102" t="str">
            <v>EUR</v>
          </cell>
          <cell r="E1102">
            <v>1670</v>
          </cell>
          <cell r="F1102" t="str">
            <v>EUR/t</v>
          </cell>
          <cell r="G1102" t="str">
            <v>Yes</v>
          </cell>
          <cell r="H1102" t="str">
            <v>CS1000/T + packing 70/t + corten ca. 600</v>
          </cell>
          <cell r="K1102" t="str">
            <v>baffles</v>
          </cell>
        </row>
        <row r="1103">
          <cell r="A1103" t="str">
            <v>8DWSKCS</v>
          </cell>
          <cell r="B1103" t="str">
            <v>BRAND</v>
          </cell>
          <cell r="C1103" t="str">
            <v>8DWSKCSBRAND</v>
          </cell>
          <cell r="D1103" t="str">
            <v>EUR</v>
          </cell>
          <cell r="E1103">
            <v>1230.5</v>
          </cell>
          <cell r="F1103" t="str">
            <v>EUR/t</v>
          </cell>
          <cell r="G1103" t="str">
            <v>Yes</v>
          </cell>
          <cell r="H1103" t="str">
            <v>1100+50 FOB +7% risk (CDA)</v>
          </cell>
          <cell r="K1103" t="str">
            <v>stack</v>
          </cell>
        </row>
        <row r="1104">
          <cell r="A1104" t="str">
            <v>8DWSKCS</v>
          </cell>
          <cell r="B1104" t="str">
            <v>BRANDR</v>
          </cell>
          <cell r="C1104" t="str">
            <v>8DWSKCSBRANDR</v>
          </cell>
          <cell r="D1104" t="str">
            <v>EUR</v>
          </cell>
          <cell r="E1104">
            <v>1230.5</v>
          </cell>
          <cell r="F1104" t="str">
            <v>EUR/t</v>
          </cell>
          <cell r="G1104" t="str">
            <v>Yes</v>
          </cell>
          <cell r="H1104" t="str">
            <v>1100+50 FOB +7% risk (CDA)</v>
          </cell>
          <cell r="K1104" t="str">
            <v>stack</v>
          </cell>
        </row>
        <row r="1105">
          <cell r="A1105" t="str">
            <v>8DWSKCS</v>
          </cell>
          <cell r="B1105" t="str">
            <v>HUTNI</v>
          </cell>
          <cell r="C1105" t="str">
            <v>8DWSKCSHUTNI</v>
          </cell>
          <cell r="D1105" t="str">
            <v>EUR</v>
          </cell>
          <cell r="E1105">
            <v>1070</v>
          </cell>
          <cell r="F1105" t="str">
            <v>EUR/t</v>
          </cell>
          <cell r="G1105" t="str">
            <v>Yes</v>
          </cell>
          <cell r="H1105" t="str">
            <v>CS 1000/T + packing 70/t</v>
          </cell>
          <cell r="K1105" t="str">
            <v>baffles</v>
          </cell>
        </row>
        <row r="1106">
          <cell r="A1106" t="str">
            <v>8DWSKCS</v>
          </cell>
          <cell r="B1106" t="str">
            <v>ZVU</v>
          </cell>
          <cell r="C1106" t="str">
            <v>8DWSKCSZVU</v>
          </cell>
          <cell r="D1106" t="str">
            <v>EUR</v>
          </cell>
          <cell r="E1106">
            <v>1320</v>
          </cell>
          <cell r="F1106" t="str">
            <v>EUR/t</v>
          </cell>
          <cell r="G1106" t="str">
            <v>Yes</v>
          </cell>
          <cell r="H1106" t="str">
            <v>PO Brush 22003 00020.1 Euro 1270/t Ex works</v>
          </cell>
          <cell r="K1106" t="str">
            <v>ducting</v>
          </cell>
        </row>
        <row r="1107">
          <cell r="A1107" t="str">
            <v>8GPBS235</v>
          </cell>
          <cell r="B1107" t="str">
            <v>FERMSTAL</v>
          </cell>
          <cell r="C1107" t="str">
            <v>8GPBS235FERMSTAL</v>
          </cell>
          <cell r="D1107" t="str">
            <v>EUR</v>
          </cell>
          <cell r="E1107" t="str">
            <v>na</v>
          </cell>
          <cell r="F1107" t="str">
            <v>EUR/t</v>
          </cell>
          <cell r="G1107" t="str">
            <v>Yes</v>
          </cell>
          <cell r="H1107" t="str">
            <v>agreement 09/003 rev.1, no rate</v>
          </cell>
          <cell r="K1107" t="str">
            <v>steelstr</v>
          </cell>
        </row>
        <row r="1108">
          <cell r="A1108" t="str">
            <v>8GPBS235</v>
          </cell>
          <cell r="B1108" t="str">
            <v>HUTNI</v>
          </cell>
          <cell r="C1108" t="str">
            <v>8GPBS235HUTNI</v>
          </cell>
          <cell r="D1108" t="str">
            <v>EUR</v>
          </cell>
          <cell r="E1108">
            <v>1040</v>
          </cell>
          <cell r="F1108" t="str">
            <v>EUR/t</v>
          </cell>
          <cell r="G1108" t="str">
            <v>Yes</v>
          </cell>
          <cell r="H1108" t="str">
            <v>GP bolted 990 +  50, L=&gt; 24 m</v>
          </cell>
          <cell r="K1108" t="str">
            <v>baffles</v>
          </cell>
        </row>
        <row r="1109">
          <cell r="A1109" t="str">
            <v>8GPBS235</v>
          </cell>
          <cell r="B1109" t="str">
            <v>KESZ</v>
          </cell>
          <cell r="C1109" t="str">
            <v>8GPBS235KESZ</v>
          </cell>
          <cell r="D1109" t="str">
            <v>EUR</v>
          </cell>
          <cell r="E1109">
            <v>1050</v>
          </cell>
          <cell r="F1109" t="str">
            <v>EUR/t</v>
          </cell>
          <cell r="G1109" t="str">
            <v>Yes</v>
          </cell>
          <cell r="H1109" t="str">
            <v>mainsteel rate &gt;300 mm + 61.88 trsp &gt;18m</v>
          </cell>
          <cell r="K1109" t="str">
            <v>steelstr</v>
          </cell>
        </row>
        <row r="1110">
          <cell r="A1110" t="str">
            <v>8GPBS235</v>
          </cell>
          <cell r="B1110" t="str">
            <v>WI-USA</v>
          </cell>
          <cell r="C1110" t="str">
            <v>8GPBS235WI-USA</v>
          </cell>
          <cell r="D1110" t="str">
            <v>US$</v>
          </cell>
          <cell r="E1110">
            <v>1375</v>
          </cell>
          <cell r="F1110" t="str">
            <v>US$/t</v>
          </cell>
          <cell r="G1110" t="str">
            <v>Yes</v>
          </cell>
          <cell r="H1110" t="str">
            <v>ESTIMATE</v>
          </cell>
          <cell r="K1110" t="str">
            <v>steelstr</v>
          </cell>
        </row>
        <row r="1111">
          <cell r="A1111" t="str">
            <v>8GPBS235</v>
          </cell>
          <cell r="B1111" t="str">
            <v>ZNS</v>
          </cell>
          <cell r="C1111" t="str">
            <v>8GPBS235ZNS</v>
          </cell>
          <cell r="D1111" t="str">
            <v>EUR</v>
          </cell>
          <cell r="E1111">
            <v>1080</v>
          </cell>
          <cell r="F1111" t="str">
            <v>EUR/t</v>
          </cell>
          <cell r="G1111" t="str">
            <v>Yes</v>
          </cell>
          <cell r="H1111" t="str">
            <v>ZNS REF P98-1329 4 DEC 98</v>
          </cell>
          <cell r="K1111" t="str">
            <v>steelstr</v>
          </cell>
        </row>
        <row r="1112">
          <cell r="A1112" t="str">
            <v>8GPBS355</v>
          </cell>
          <cell r="B1112" t="str">
            <v>FERMSTAL</v>
          </cell>
          <cell r="C1112" t="str">
            <v>8GPBS355FERMSTAL</v>
          </cell>
          <cell r="D1112" t="str">
            <v>EUR</v>
          </cell>
          <cell r="E1112" t="str">
            <v>na</v>
          </cell>
          <cell r="F1112" t="str">
            <v>EUR/t</v>
          </cell>
          <cell r="G1112" t="str">
            <v>Yes</v>
          </cell>
          <cell r="H1112" t="str">
            <v>agreement 09/003 rev.1, no rate</v>
          </cell>
          <cell r="K1112" t="str">
            <v>steelstr</v>
          </cell>
        </row>
        <row r="1113">
          <cell r="A1113" t="str">
            <v>8GPBS355</v>
          </cell>
          <cell r="B1113" t="str">
            <v>HUTNI</v>
          </cell>
          <cell r="C1113" t="str">
            <v>8GPBS355HUTNI</v>
          </cell>
          <cell r="D1113" t="str">
            <v>EUR</v>
          </cell>
          <cell r="E1113">
            <v>1100</v>
          </cell>
          <cell r="F1113" t="str">
            <v>EUR/t</v>
          </cell>
          <cell r="G1113" t="str">
            <v>Yes</v>
          </cell>
          <cell r="H1113" t="str">
            <v>GP bolted 990 + S355 : 60 + length &gt;24 : 50</v>
          </cell>
          <cell r="K1113" t="str">
            <v>baffles</v>
          </cell>
        </row>
        <row r="1114">
          <cell r="A1114" t="str">
            <v>8GPBS355</v>
          </cell>
          <cell r="B1114" t="str">
            <v>KESZ</v>
          </cell>
          <cell r="C1114" t="str">
            <v>8GPBS355KESZ</v>
          </cell>
          <cell r="D1114" t="str">
            <v>EUR</v>
          </cell>
          <cell r="E1114">
            <v>1091.5</v>
          </cell>
          <cell r="F1114" t="str">
            <v>EUR/t</v>
          </cell>
          <cell r="G1114" t="str">
            <v>Yes</v>
          </cell>
          <cell r="H1114" t="str">
            <v>mainsteel rate &gt;300 mm + 61.88 trsp &gt;18m</v>
          </cell>
          <cell r="K1114" t="str">
            <v>steelstr</v>
          </cell>
        </row>
        <row r="1115">
          <cell r="A1115" t="str">
            <v>8GPBS355</v>
          </cell>
          <cell r="B1115" t="str">
            <v>WI-USA</v>
          </cell>
          <cell r="C1115" t="str">
            <v>8GPBS355WI-USA</v>
          </cell>
          <cell r="D1115" t="str">
            <v>US$</v>
          </cell>
          <cell r="E1115">
            <v>1425</v>
          </cell>
          <cell r="F1115" t="str">
            <v>US$/t</v>
          </cell>
          <cell r="G1115" t="str">
            <v>Yes</v>
          </cell>
          <cell r="H1115" t="str">
            <v>mainsteel rate agr. 99/009 FCA</v>
          </cell>
          <cell r="K1115" t="str">
            <v>steelstr</v>
          </cell>
        </row>
        <row r="1116">
          <cell r="A1116" t="str">
            <v>8GPBS355</v>
          </cell>
          <cell r="B1116" t="str">
            <v>ZNS</v>
          </cell>
          <cell r="C1116" t="str">
            <v>8GPBS355ZNS</v>
          </cell>
          <cell r="D1116" t="str">
            <v>EUR</v>
          </cell>
          <cell r="E1116">
            <v>1080</v>
          </cell>
          <cell r="F1116" t="str">
            <v>EUR/t</v>
          </cell>
          <cell r="G1116" t="str">
            <v>Yes</v>
          </cell>
          <cell r="H1116" t="str">
            <v>mainsteel rate agr. 99/009 FCA</v>
          </cell>
          <cell r="K1116" t="str">
            <v>steelstr</v>
          </cell>
        </row>
        <row r="1117">
          <cell r="A1117" t="str">
            <v>8GPWS235</v>
          </cell>
          <cell r="B1117" t="str">
            <v>BRAND</v>
          </cell>
          <cell r="C1117" t="str">
            <v>8GPWS235BRAND</v>
          </cell>
          <cell r="D1117" t="str">
            <v>EUR</v>
          </cell>
          <cell r="E1117">
            <v>1497.93</v>
          </cell>
          <cell r="F1117" t="str">
            <v>EUR/t</v>
          </cell>
          <cell r="G1117" t="str">
            <v>Yes</v>
          </cell>
          <cell r="H1117" t="str">
            <v>DEM 2832/t + Euro 50/t FOB</v>
          </cell>
          <cell r="K1117" t="str">
            <v>platforms</v>
          </cell>
        </row>
        <row r="1118">
          <cell r="A1118" t="str">
            <v>8GPWS235</v>
          </cell>
          <cell r="B1118" t="str">
            <v>BRAND</v>
          </cell>
          <cell r="C1118" t="str">
            <v>8GPWS235BRAND</v>
          </cell>
          <cell r="D1118" t="str">
            <v>EUR</v>
          </cell>
          <cell r="E1118">
            <v>1150</v>
          </cell>
          <cell r="F1118" t="str">
            <v>EUR/t</v>
          </cell>
          <cell r="G1118" t="str">
            <v>Yes</v>
          </cell>
          <cell r="H1118" t="str">
            <v>1100 for mat'l &amp; fabr + 50 trsp FOB</v>
          </cell>
          <cell r="K1118" t="str">
            <v>steelstr</v>
          </cell>
        </row>
        <row r="1119">
          <cell r="A1119" t="str">
            <v>8GPWS235</v>
          </cell>
          <cell r="B1119" t="str">
            <v>BRANDR</v>
          </cell>
          <cell r="C1119" t="str">
            <v>8GPWS235BRANDR</v>
          </cell>
          <cell r="D1119" t="str">
            <v>EUR</v>
          </cell>
          <cell r="E1119">
            <v>1150</v>
          </cell>
          <cell r="F1119" t="str">
            <v>EUR/t</v>
          </cell>
          <cell r="G1119" t="str">
            <v>Yes</v>
          </cell>
          <cell r="H1119" t="str">
            <v>1100 for mat'l &amp; fabr + 50 trsp FOB</v>
          </cell>
          <cell r="K1119" t="str">
            <v>steelstr</v>
          </cell>
        </row>
        <row r="1120">
          <cell r="A1120" t="str">
            <v>8GPWS235</v>
          </cell>
          <cell r="B1120" t="str">
            <v>FERMSTAL</v>
          </cell>
          <cell r="C1120" t="str">
            <v>8GPWS235FERMSTAL</v>
          </cell>
          <cell r="D1120" t="str">
            <v>EUR</v>
          </cell>
          <cell r="E1120">
            <v>1132</v>
          </cell>
          <cell r="F1120" t="str">
            <v>EUR/t</v>
          </cell>
          <cell r="G1120" t="str">
            <v>Yes</v>
          </cell>
          <cell r="H1120" t="str">
            <v>agreem. 09/003 r.1,+ seaw.packing, del. FCA</v>
          </cell>
          <cell r="K1120" t="str">
            <v>steelstr</v>
          </cell>
        </row>
        <row r="1121">
          <cell r="A1121" t="str">
            <v>8GPWS235</v>
          </cell>
          <cell r="B1121" t="str">
            <v>HUTNI</v>
          </cell>
          <cell r="C1121" t="str">
            <v>8GPWS235HUTNI</v>
          </cell>
          <cell r="D1121" t="str">
            <v>EUR</v>
          </cell>
          <cell r="E1121">
            <v>955</v>
          </cell>
          <cell r="F1121" t="str">
            <v>EUR/t</v>
          </cell>
          <cell r="G1121" t="str">
            <v>Yes</v>
          </cell>
          <cell r="H1121" t="str">
            <v>GP welded 930 + 25 L&gt;18 m &lt; 24 m</v>
          </cell>
          <cell r="K1121" t="str">
            <v>baffles</v>
          </cell>
        </row>
        <row r="1122">
          <cell r="A1122" t="str">
            <v>8GPWS235</v>
          </cell>
          <cell r="B1122" t="str">
            <v>KESZ</v>
          </cell>
          <cell r="C1122" t="str">
            <v>8GPWS235KESZ</v>
          </cell>
          <cell r="D1122" t="str">
            <v>EUR</v>
          </cell>
          <cell r="E1122">
            <v>1050</v>
          </cell>
          <cell r="F1122" t="str">
            <v>EUR/t</v>
          </cell>
          <cell r="G1122" t="str">
            <v>Yes</v>
          </cell>
          <cell r="H1122" t="str">
            <v>mainsteel rate &gt;300 mm + 61.88 trsp &gt;18m</v>
          </cell>
          <cell r="K1122" t="str">
            <v>steelstr</v>
          </cell>
        </row>
        <row r="1123">
          <cell r="A1123" t="str">
            <v>8GPWS235</v>
          </cell>
          <cell r="B1123" t="str">
            <v>WI-USA</v>
          </cell>
          <cell r="C1123" t="str">
            <v>8GPWS235WI-USA</v>
          </cell>
          <cell r="D1123" t="str">
            <v>US$</v>
          </cell>
          <cell r="E1123">
            <v>1250</v>
          </cell>
          <cell r="F1123" t="str">
            <v>US$/t</v>
          </cell>
          <cell r="G1123" t="str">
            <v>Yes</v>
          </cell>
          <cell r="H1123" t="str">
            <v>mainsteel rate agr. 99/009 FCA</v>
          </cell>
          <cell r="K1123" t="str">
            <v>steelstr</v>
          </cell>
        </row>
        <row r="1124">
          <cell r="A1124" t="str">
            <v>8GPWS235</v>
          </cell>
          <cell r="B1124" t="str">
            <v>ZNS</v>
          </cell>
          <cell r="C1124" t="str">
            <v>8GPWS235ZNS</v>
          </cell>
          <cell r="D1124" t="str">
            <v>EUR</v>
          </cell>
          <cell r="E1124">
            <v>1080</v>
          </cell>
          <cell r="F1124" t="str">
            <v>EUR/t</v>
          </cell>
          <cell r="G1124" t="str">
            <v>Yes</v>
          </cell>
          <cell r="H1124" t="str">
            <v>mainsteel rate agr. 99/009 FCA</v>
          </cell>
          <cell r="K1124" t="str">
            <v>steelstr</v>
          </cell>
        </row>
        <row r="1125">
          <cell r="A1125" t="str">
            <v>8GPWS355</v>
          </cell>
          <cell r="B1125" t="str">
            <v>FERMSTAL</v>
          </cell>
          <cell r="C1125" t="str">
            <v>8GPWS355FERMSTAL</v>
          </cell>
          <cell r="D1125" t="str">
            <v>EUR</v>
          </cell>
          <cell r="E1125" t="str">
            <v>na</v>
          </cell>
          <cell r="F1125" t="str">
            <v>EUR/t</v>
          </cell>
          <cell r="G1125" t="str">
            <v>Yes</v>
          </cell>
          <cell r="H1125" t="str">
            <v>agreement 09/003 rev.1, no rate</v>
          </cell>
          <cell r="K1125" t="str">
            <v>steelstr</v>
          </cell>
        </row>
        <row r="1126">
          <cell r="A1126" t="str">
            <v>8GPWS355</v>
          </cell>
          <cell r="B1126" t="str">
            <v>HUTNI</v>
          </cell>
          <cell r="C1126" t="str">
            <v>8GPWS355HUTNI</v>
          </cell>
          <cell r="D1126" t="str">
            <v>EUR</v>
          </cell>
          <cell r="E1126">
            <v>1040</v>
          </cell>
          <cell r="F1126" t="str">
            <v>EUR/t</v>
          </cell>
          <cell r="G1126" t="str">
            <v>Yes</v>
          </cell>
          <cell r="H1126" t="str">
            <v>GP welded 930 + S355 : 60 + length &gt;24 : 50</v>
          </cell>
          <cell r="K1126" t="str">
            <v>baffles</v>
          </cell>
        </row>
        <row r="1127">
          <cell r="A1127" t="str">
            <v>8GPWS355</v>
          </cell>
          <cell r="B1127" t="str">
            <v>KESZ</v>
          </cell>
          <cell r="C1127" t="str">
            <v>8GPWS355KESZ</v>
          </cell>
          <cell r="D1127" t="str">
            <v>EUR</v>
          </cell>
          <cell r="E1127">
            <v>1091.5</v>
          </cell>
          <cell r="F1127" t="str">
            <v>EUR/t</v>
          </cell>
          <cell r="G1127" t="str">
            <v>Yes</v>
          </cell>
          <cell r="H1127" t="str">
            <v>mainsteel rate &gt;300 mm + 61.88 trsp &gt;18m</v>
          </cell>
          <cell r="K1127" t="str">
            <v>steelstr</v>
          </cell>
        </row>
        <row r="1128">
          <cell r="A1128" t="str">
            <v>8GPWS355</v>
          </cell>
          <cell r="B1128" t="str">
            <v>WI-USA</v>
          </cell>
          <cell r="C1128" t="str">
            <v>8GPWS355WI-USA</v>
          </cell>
          <cell r="D1128" t="str">
            <v>US$</v>
          </cell>
          <cell r="E1128">
            <v>1300</v>
          </cell>
          <cell r="F1128" t="str">
            <v>US$/t</v>
          </cell>
          <cell r="G1128" t="str">
            <v>Yes</v>
          </cell>
          <cell r="H1128" t="str">
            <v>ESTIMATE</v>
          </cell>
          <cell r="K1128" t="str">
            <v>steelstr</v>
          </cell>
        </row>
        <row r="1129">
          <cell r="A1129" t="str">
            <v>8GPWS355</v>
          </cell>
          <cell r="B1129" t="str">
            <v>ZNS</v>
          </cell>
          <cell r="C1129" t="str">
            <v>8GPWS355ZNS</v>
          </cell>
          <cell r="D1129" t="str">
            <v>EUR</v>
          </cell>
          <cell r="E1129">
            <v>1080</v>
          </cell>
          <cell r="F1129" t="str">
            <v>EUR/t</v>
          </cell>
          <cell r="G1129" t="str">
            <v>Yes</v>
          </cell>
          <cell r="H1129" t="str">
            <v>ZNS REF P98-1329 4 DEC 98</v>
          </cell>
          <cell r="K1129" t="str">
            <v>steelstr</v>
          </cell>
        </row>
        <row r="1130">
          <cell r="A1130" t="str">
            <v>8GRARS235</v>
          </cell>
          <cell r="B1130" t="str">
            <v>KESZ</v>
          </cell>
          <cell r="C1130" t="str">
            <v>8GRARS235KESZ</v>
          </cell>
          <cell r="D1130" t="str">
            <v>EUR</v>
          </cell>
          <cell r="E1130">
            <v>2430</v>
          </cell>
          <cell r="F1130" t="str">
            <v>EUR/t</v>
          </cell>
          <cell r="G1130" t="str">
            <v>Yes</v>
          </cell>
          <cell r="H1130" t="str">
            <v>68/M2 &amp; 28 kg/m2   del.FCA, round platforms</v>
          </cell>
          <cell r="K1130" t="str">
            <v>steelstr</v>
          </cell>
        </row>
        <row r="1131">
          <cell r="A1131" t="str">
            <v>8GRAS235</v>
          </cell>
          <cell r="B1131" t="str">
            <v>BRAND</v>
          </cell>
          <cell r="C1131" t="str">
            <v>8GRAS235BRAND</v>
          </cell>
          <cell r="D1131" t="str">
            <v>EUR</v>
          </cell>
          <cell r="E1131">
            <v>2040.32</v>
          </cell>
          <cell r="F1131" t="str">
            <v>EUR/t</v>
          </cell>
          <cell r="G1131" t="str">
            <v>Yes</v>
          </cell>
          <cell r="H1131" t="str">
            <v>dem 109/m2 /28kg/m2</v>
          </cell>
          <cell r="K1131" t="str">
            <v>ladder</v>
          </cell>
        </row>
        <row r="1132">
          <cell r="A1132" t="str">
            <v>8GRAS235</v>
          </cell>
          <cell r="B1132" t="str">
            <v>FERMSTAL</v>
          </cell>
          <cell r="C1132" t="str">
            <v>8GRAS235FERMSTAL</v>
          </cell>
          <cell r="D1132" t="str">
            <v>EUR</v>
          </cell>
          <cell r="E1132">
            <v>1604</v>
          </cell>
          <cell r="F1132" t="str">
            <v>EUR/t</v>
          </cell>
          <cell r="G1132" t="str">
            <v>Yes</v>
          </cell>
          <cell r="H1132" t="str">
            <v>agreem. 09/003 r.1,+ seaw.packing, del. FCA,1062+301+37+51+95+58</v>
          </cell>
          <cell r="K1132" t="str">
            <v>steelstr</v>
          </cell>
        </row>
        <row r="1133">
          <cell r="A1133" t="str">
            <v>8GRAS235</v>
          </cell>
          <cell r="B1133" t="str">
            <v>HUTNI</v>
          </cell>
          <cell r="C1133" t="str">
            <v>8GRAS235HUTNI</v>
          </cell>
          <cell r="D1133" t="str">
            <v>EUR</v>
          </cell>
          <cell r="E1133">
            <v>47</v>
          </cell>
          <cell r="F1133" t="str">
            <v>EUR/m2</v>
          </cell>
          <cell r="G1133" t="str">
            <v>Yes</v>
          </cell>
          <cell r="H1133" t="str">
            <v>28 kg/m2 =&gt; 1680/t +50 for packing</v>
          </cell>
          <cell r="K1133" t="str">
            <v>baffles</v>
          </cell>
        </row>
        <row r="1134">
          <cell r="A1134" t="str">
            <v>8GRAS235</v>
          </cell>
          <cell r="B1134" t="str">
            <v>HUTNI</v>
          </cell>
          <cell r="C1134" t="str">
            <v>8GRAS235HUTNI</v>
          </cell>
          <cell r="D1134" t="str">
            <v>EUR</v>
          </cell>
          <cell r="E1134">
            <v>1730</v>
          </cell>
          <cell r="F1134" t="str">
            <v>EUR/t</v>
          </cell>
          <cell r="G1134" t="str">
            <v>Yes</v>
          </cell>
          <cell r="H1134" t="str">
            <v>28 kg/m2 =&gt; 1680/t +50 for packing</v>
          </cell>
          <cell r="K1134" t="str">
            <v>baffles</v>
          </cell>
        </row>
        <row r="1135">
          <cell r="A1135" t="str">
            <v>8GRAS235</v>
          </cell>
          <cell r="B1135" t="str">
            <v>KESZ</v>
          </cell>
          <cell r="C1135" t="str">
            <v>8GRAS235KESZ</v>
          </cell>
          <cell r="D1135" t="str">
            <v>EUR</v>
          </cell>
          <cell r="E1135">
            <v>47</v>
          </cell>
          <cell r="F1135" t="str">
            <v>EUR/m2</v>
          </cell>
          <cell r="G1135" t="str">
            <v>Yes</v>
          </cell>
          <cell r="H1135" t="str">
            <v>Ultra 30x30x3 slip safe</v>
          </cell>
          <cell r="K1135" t="str">
            <v>steelstr</v>
          </cell>
        </row>
        <row r="1136">
          <cell r="A1136" t="str">
            <v>8GRAS235</v>
          </cell>
          <cell r="B1136" t="str">
            <v>KESZ</v>
          </cell>
          <cell r="C1136" t="str">
            <v>8GRAS235KESZ</v>
          </cell>
          <cell r="D1136" t="str">
            <v>EUR</v>
          </cell>
          <cell r="E1136">
            <v>1680</v>
          </cell>
          <cell r="F1136" t="str">
            <v>EUR/t</v>
          </cell>
          <cell r="G1136" t="str">
            <v>Yes</v>
          </cell>
          <cell r="H1136" t="str">
            <v>47/M2 &amp; 28 kg/m2   del.FCA</v>
          </cell>
          <cell r="K1136" t="str">
            <v>steelstr</v>
          </cell>
        </row>
        <row r="1137">
          <cell r="A1137" t="str">
            <v>8GRAS235</v>
          </cell>
          <cell r="B1137" t="str">
            <v>WI-USA</v>
          </cell>
          <cell r="C1137" t="str">
            <v>8GRAS235WI-USA</v>
          </cell>
          <cell r="D1137" t="str">
            <v>US$</v>
          </cell>
          <cell r="E1137">
            <v>85</v>
          </cell>
          <cell r="F1137" t="str">
            <v>US$/m2</v>
          </cell>
          <cell r="G1137" t="str">
            <v>Yes</v>
          </cell>
          <cell r="H1137" t="str">
            <v>ESTIMATE</v>
          </cell>
          <cell r="K1137" t="str">
            <v>steelstr</v>
          </cell>
        </row>
        <row r="1138">
          <cell r="A1138" t="str">
            <v>8GRAS235</v>
          </cell>
          <cell r="B1138" t="str">
            <v>WI-USA</v>
          </cell>
          <cell r="C1138" t="str">
            <v>8GRAS235WI-USA</v>
          </cell>
          <cell r="D1138" t="str">
            <v>US$</v>
          </cell>
          <cell r="E1138">
            <v>2950</v>
          </cell>
          <cell r="F1138" t="str">
            <v>US$/t</v>
          </cell>
          <cell r="G1138" t="str">
            <v>Yes</v>
          </cell>
          <cell r="H1138" t="str">
            <v>ESTIMATE</v>
          </cell>
          <cell r="K1138" t="str">
            <v>steelstr</v>
          </cell>
        </row>
        <row r="1139">
          <cell r="A1139" t="str">
            <v>8HARP</v>
          </cell>
          <cell r="B1139" t="str">
            <v>ABB MSET</v>
          </cell>
          <cell r="C1139" t="str">
            <v>8HARPABB MSET</v>
          </cell>
          <cell r="D1139" t="str">
            <v>EUR</v>
          </cell>
          <cell r="E1139">
            <v>34.979999999999997</v>
          </cell>
          <cell r="F1139" t="str">
            <v>EUR/pcs</v>
          </cell>
          <cell r="G1139" t="str">
            <v>No</v>
          </cell>
          <cell r="H1139" t="str">
            <v>Excl. wraparounds, excl. sound absorberpl., excl. bafflepla., excl. packing wood</v>
          </cell>
          <cell r="K1139" t="str">
            <v>harp</v>
          </cell>
        </row>
        <row r="1140">
          <cell r="A1140" t="str">
            <v>8HARP</v>
          </cell>
          <cell r="B1140" t="str">
            <v>CBC BRA</v>
          </cell>
          <cell r="C1140" t="str">
            <v>8HARPCBC BRA</v>
          </cell>
          <cell r="D1140" t="str">
            <v>US$</v>
          </cell>
          <cell r="E1140">
            <v>82.39</v>
          </cell>
          <cell r="F1140" t="str">
            <v>US$/pcs</v>
          </cell>
          <cell r="G1140" t="str">
            <v>No</v>
          </cell>
          <cell r="H1140" t="str">
            <v>$ 61.59+  seals $ 7.07, acc. PO Westbrook</v>
          </cell>
          <cell r="K1140" t="str">
            <v>harp</v>
          </cell>
        </row>
        <row r="1141">
          <cell r="A1141" t="str">
            <v>8HARP</v>
          </cell>
          <cell r="B1141" t="str">
            <v>CHENGCHENG</v>
          </cell>
          <cell r="C1141" t="str">
            <v>8HARPCHENGCHENG</v>
          </cell>
          <cell r="D1141" t="str">
            <v>US$</v>
          </cell>
          <cell r="E1141">
            <v>70</v>
          </cell>
          <cell r="F1141" t="str">
            <v>US$/pcs</v>
          </cell>
          <cell r="G1141" t="str">
            <v>No</v>
          </cell>
          <cell r="H1141" t="str">
            <v>Agreement 99/007, inl. riskprod.gaps!, excl. ship ladders</v>
          </cell>
          <cell r="K1141" t="str">
            <v>harp</v>
          </cell>
        </row>
        <row r="1142">
          <cell r="A1142" t="str">
            <v>8HARPCS</v>
          </cell>
          <cell r="B1142" t="str">
            <v>ABB MSET</v>
          </cell>
          <cell r="C1142" t="str">
            <v>8HARPCSABB MSET</v>
          </cell>
          <cell r="D1142" t="str">
            <v>EUR</v>
          </cell>
          <cell r="E1142">
            <v>45.4</v>
          </cell>
          <cell r="F1142" t="str">
            <v>EUR/pcs</v>
          </cell>
          <cell r="G1142" t="str">
            <v>No</v>
          </cell>
          <cell r="H1142" t="str">
            <v>Agreement 99/007, inl. riskprod.gaps!, excl. ship ladders</v>
          </cell>
          <cell r="K1142" t="str">
            <v>harp</v>
          </cell>
        </row>
        <row r="1143">
          <cell r="A1143" t="str">
            <v>8HARPCS</v>
          </cell>
          <cell r="B1143" t="str">
            <v>CBC BRA</v>
          </cell>
          <cell r="C1143" t="str">
            <v>8HARPCSCBC BRA</v>
          </cell>
          <cell r="D1143" t="str">
            <v>US$</v>
          </cell>
          <cell r="E1143">
            <v>79.5</v>
          </cell>
          <cell r="F1143" t="str">
            <v>US$/pcs</v>
          </cell>
          <cell r="G1143" t="str">
            <v>No</v>
          </cell>
          <cell r="H1143" t="str">
            <v>acc.PO RIO NOGALIS  22.27 fob + 44 fabr</v>
          </cell>
          <cell r="K1143" t="str">
            <v>harp</v>
          </cell>
        </row>
        <row r="1144">
          <cell r="A1144" t="str">
            <v>8HARPCS</v>
          </cell>
          <cell r="B1144" t="str">
            <v>CHENGCHENG</v>
          </cell>
          <cell r="C1144" t="str">
            <v>8HARPCSCHENGCHENG</v>
          </cell>
          <cell r="D1144" t="str">
            <v>US$</v>
          </cell>
          <cell r="E1144">
            <v>70</v>
          </cell>
          <cell r="F1144" t="str">
            <v>US$/pcs</v>
          </cell>
          <cell r="G1144" t="str">
            <v>No</v>
          </cell>
          <cell r="H1144" t="str">
            <v xml:space="preserve">21.66/tube + 1.50 weld consumables </v>
          </cell>
          <cell r="K1144" t="str">
            <v>harp</v>
          </cell>
        </row>
        <row r="1145">
          <cell r="A1145" t="str">
            <v>8HARPCS</v>
          </cell>
          <cell r="B1145" t="str">
            <v>DB INDIA</v>
          </cell>
          <cell r="C1145" t="str">
            <v>8HARPCSDB INDIA</v>
          </cell>
          <cell r="D1145" t="str">
            <v>US$</v>
          </cell>
          <cell r="E1145">
            <v>24.7</v>
          </cell>
          <cell r="F1145" t="str">
            <v>US$/pcs</v>
          </cell>
          <cell r="G1145" t="str">
            <v>No</v>
          </cell>
          <cell r="H1145" t="str">
            <v xml:space="preserve">21.66/tube + 1.50 weld consumables </v>
          </cell>
          <cell r="K1145" t="str">
            <v>harp</v>
          </cell>
        </row>
        <row r="1146">
          <cell r="A1146" t="str">
            <v>8HARPCS</v>
          </cell>
          <cell r="B1146" t="str">
            <v>SUNGJIN</v>
          </cell>
          <cell r="C1146" t="str">
            <v>8HARPCSSUNGJIN</v>
          </cell>
          <cell r="D1146" t="str">
            <v>US$</v>
          </cell>
          <cell r="E1146">
            <v>0</v>
          </cell>
          <cell r="F1146" t="str">
            <v>US$/pcs</v>
          </cell>
          <cell r="G1146" t="str">
            <v>Yes</v>
          </cell>
          <cell r="H1146" t="str">
            <v>see 8harptrsp</v>
          </cell>
          <cell r="K1146" t="str">
            <v>harp</v>
          </cell>
        </row>
        <row r="1147">
          <cell r="A1147" t="str">
            <v>8HARPFPCS</v>
          </cell>
          <cell r="B1147" t="str">
            <v>ABB MSET</v>
          </cell>
          <cell r="C1147" t="str">
            <v>8HARPFPCSABB MSET</v>
          </cell>
          <cell r="D1147" t="str">
            <v>EUR</v>
          </cell>
          <cell r="E1147">
            <v>56.05</v>
          </cell>
          <cell r="F1147" t="str">
            <v>EUR/pcs</v>
          </cell>
          <cell r="G1147" t="str">
            <v>No</v>
          </cell>
          <cell r="H1147" t="str">
            <v>Agreement 99/007, inl. riskprod.gaps!, excl. ship ladders+FP 10.65</v>
          </cell>
          <cell r="K1147" t="str">
            <v>harp</v>
          </cell>
        </row>
        <row r="1148">
          <cell r="A1148" t="str">
            <v>8HARPFPCS</v>
          </cell>
          <cell r="B1148" t="str">
            <v>CBC BRA</v>
          </cell>
          <cell r="C1148" t="str">
            <v>8HARPFPCSCBC BRA</v>
          </cell>
          <cell r="D1148" t="str">
            <v>US$</v>
          </cell>
          <cell r="E1148">
            <v>90</v>
          </cell>
          <cell r="F1148" t="str">
            <v>US$/pcs</v>
          </cell>
          <cell r="G1148" t="str">
            <v>No</v>
          </cell>
          <cell r="H1148" t="str">
            <v>questimate for FP bundles</v>
          </cell>
          <cell r="K1148" t="str">
            <v>harp</v>
          </cell>
        </row>
        <row r="1149">
          <cell r="A1149" t="str">
            <v>8HARPFPCS</v>
          </cell>
          <cell r="B1149" t="str">
            <v>CHENGCHENG</v>
          </cell>
          <cell r="C1149" t="str">
            <v>8HARPFPCSCHENGCHENG</v>
          </cell>
          <cell r="D1149" t="str">
            <v>US$</v>
          </cell>
          <cell r="E1149">
            <v>70</v>
          </cell>
          <cell r="F1149" t="str">
            <v>US$/pcs</v>
          </cell>
          <cell r="G1149" t="str">
            <v>No</v>
          </cell>
          <cell r="H1149">
            <v>0</v>
          </cell>
          <cell r="K1149" t="str">
            <v>harp</v>
          </cell>
        </row>
        <row r="1150">
          <cell r="A1150" t="str">
            <v>8HARPFPCS</v>
          </cell>
          <cell r="B1150" t="str">
            <v>DB INDIA</v>
          </cell>
          <cell r="C1150" t="str">
            <v>8HARPFPCSDB INDIA</v>
          </cell>
          <cell r="D1150" t="str">
            <v>US$</v>
          </cell>
          <cell r="E1150">
            <v>24.7</v>
          </cell>
          <cell r="F1150" t="str">
            <v>US$/pcs</v>
          </cell>
          <cell r="G1150" t="str">
            <v>No</v>
          </cell>
          <cell r="H1150">
            <v>0</v>
          </cell>
          <cell r="K1150" t="str">
            <v>harp</v>
          </cell>
        </row>
        <row r="1151">
          <cell r="A1151" t="str">
            <v>8HARPFPT11</v>
          </cell>
          <cell r="B1151" t="str">
            <v>ABB MSET</v>
          </cell>
          <cell r="C1151" t="str">
            <v>8HARPFPT11ABB MSET</v>
          </cell>
          <cell r="D1151" t="str">
            <v>EUR</v>
          </cell>
          <cell r="E1151">
            <v>56.05</v>
          </cell>
          <cell r="F1151" t="str">
            <v>EUR/pcs</v>
          </cell>
          <cell r="G1151" t="str">
            <v>No</v>
          </cell>
          <cell r="H1151" t="str">
            <v>Agreement 99/007, inl. riskprod.gaps!, excl. ship ladders+FP 10.65</v>
          </cell>
          <cell r="K1151" t="str">
            <v>harp</v>
          </cell>
        </row>
        <row r="1152">
          <cell r="A1152" t="str">
            <v>8HARPFPT11</v>
          </cell>
          <cell r="B1152" t="str">
            <v>CBC BRA</v>
          </cell>
          <cell r="C1152" t="str">
            <v>8HARPFPT11CBC BRA</v>
          </cell>
          <cell r="D1152" t="str">
            <v>US$</v>
          </cell>
          <cell r="E1152">
            <v>103.5</v>
          </cell>
          <cell r="F1152" t="str">
            <v>US$/pcs</v>
          </cell>
          <cell r="G1152" t="str">
            <v>No</v>
          </cell>
          <cell r="H1152" t="str">
            <v>acc.PO RIO NOGALIS  22.27 fob + 64 fabr</v>
          </cell>
          <cell r="K1152" t="str">
            <v>harp</v>
          </cell>
        </row>
        <row r="1153">
          <cell r="A1153" t="str">
            <v>8HARPFPT11</v>
          </cell>
          <cell r="B1153" t="str">
            <v>CHENGCHENG</v>
          </cell>
          <cell r="C1153" t="str">
            <v>8HARPFPT11CHENGCHENG</v>
          </cell>
          <cell r="D1153" t="str">
            <v>US$</v>
          </cell>
          <cell r="E1153">
            <v>70</v>
          </cell>
          <cell r="F1153" t="str">
            <v>US$/pcs</v>
          </cell>
          <cell r="G1153" t="str">
            <v>No</v>
          </cell>
          <cell r="H1153" t="str">
            <v xml:space="preserve">24.22/tube + 1.50 weld consumables </v>
          </cell>
          <cell r="K1153" t="str">
            <v>harp</v>
          </cell>
        </row>
        <row r="1154">
          <cell r="A1154" t="str">
            <v>8HARPFPT11</v>
          </cell>
          <cell r="B1154" t="str">
            <v>DB INDIA</v>
          </cell>
          <cell r="C1154" t="str">
            <v>8HARPFPT11DB INDIA</v>
          </cell>
          <cell r="D1154" t="str">
            <v>US$</v>
          </cell>
          <cell r="E1154">
            <v>27.45</v>
          </cell>
          <cell r="F1154" t="str">
            <v>US$/pcs</v>
          </cell>
          <cell r="G1154" t="str">
            <v>No</v>
          </cell>
          <cell r="H1154" t="str">
            <v xml:space="preserve">24.22/tube + 1.50 weld consumables </v>
          </cell>
          <cell r="K1154" t="str">
            <v>harp</v>
          </cell>
        </row>
        <row r="1155">
          <cell r="A1155" t="str">
            <v>8HARPFPT22</v>
          </cell>
          <cell r="B1155" t="str">
            <v>ABB MSET</v>
          </cell>
          <cell r="C1155" t="str">
            <v>8HARPFPT22ABB MSET</v>
          </cell>
          <cell r="D1155" t="str">
            <v>EUR</v>
          </cell>
          <cell r="E1155">
            <v>56.05</v>
          </cell>
          <cell r="F1155" t="str">
            <v>EUR/pcs</v>
          </cell>
          <cell r="G1155" t="str">
            <v>No</v>
          </cell>
          <cell r="H1155" t="str">
            <v>Agreement 99/007, inl. riskprod.gaps!, excl. ship ladders+FP 10.65</v>
          </cell>
          <cell r="K1155" t="str">
            <v>harp</v>
          </cell>
        </row>
        <row r="1156">
          <cell r="A1156" t="str">
            <v>8HARPFPT22</v>
          </cell>
          <cell r="B1156" t="str">
            <v>CBC BRA</v>
          </cell>
          <cell r="C1156" t="str">
            <v>8HARPFPT22CBC BRA</v>
          </cell>
          <cell r="D1156" t="str">
            <v>US$</v>
          </cell>
          <cell r="E1156">
            <v>103.5</v>
          </cell>
          <cell r="F1156" t="str">
            <v>US$/pcs</v>
          </cell>
          <cell r="G1156" t="str">
            <v>No</v>
          </cell>
          <cell r="H1156" t="str">
            <v>acc.PO RIO NOGALIS  22.27 fob + 64 fabr</v>
          </cell>
          <cell r="K1156" t="str">
            <v>harp</v>
          </cell>
        </row>
        <row r="1157">
          <cell r="A1157" t="str">
            <v>8HARPFPT22</v>
          </cell>
          <cell r="B1157" t="str">
            <v>CHENGCHENG</v>
          </cell>
          <cell r="C1157" t="str">
            <v>8HARPFPT22CHENGCHENG</v>
          </cell>
          <cell r="D1157" t="str">
            <v>US$</v>
          </cell>
          <cell r="E1157">
            <v>70</v>
          </cell>
          <cell r="F1157" t="str">
            <v>US$/pcs</v>
          </cell>
          <cell r="G1157" t="str">
            <v>No</v>
          </cell>
          <cell r="H1157" t="str">
            <v xml:space="preserve">24.22/tube + 1.50 weld consumables </v>
          </cell>
          <cell r="K1157" t="str">
            <v>harp</v>
          </cell>
        </row>
        <row r="1158">
          <cell r="A1158" t="str">
            <v>8HARPFPT22</v>
          </cell>
          <cell r="B1158" t="str">
            <v>DB INDIA</v>
          </cell>
          <cell r="C1158" t="str">
            <v>8HARPFPT22DB INDIA</v>
          </cell>
          <cell r="D1158" t="str">
            <v>US$</v>
          </cell>
          <cell r="E1158">
            <v>27.45</v>
          </cell>
          <cell r="F1158" t="str">
            <v>US$/pcs</v>
          </cell>
          <cell r="G1158" t="str">
            <v>No</v>
          </cell>
          <cell r="H1158" t="str">
            <v xml:space="preserve">24.22/tube + 1.50 weld consumables </v>
          </cell>
          <cell r="K1158" t="str">
            <v>harp</v>
          </cell>
        </row>
        <row r="1159">
          <cell r="A1159" t="str">
            <v>8HARPFPT91</v>
          </cell>
          <cell r="B1159" t="str">
            <v>ABB MSET</v>
          </cell>
          <cell r="C1159" t="str">
            <v>8HARPFPT91ABB MSET</v>
          </cell>
          <cell r="D1159" t="str">
            <v>EUR</v>
          </cell>
          <cell r="E1159">
            <v>56.05</v>
          </cell>
          <cell r="F1159" t="str">
            <v>EUR/pcs</v>
          </cell>
          <cell r="G1159" t="str">
            <v>No</v>
          </cell>
          <cell r="H1159" t="str">
            <v>Agreement 99/007, inl. riskprod.gaps!, excl. ship ladders+FP 10.65</v>
          </cell>
          <cell r="K1159" t="str">
            <v>harp</v>
          </cell>
        </row>
        <row r="1160">
          <cell r="A1160" t="str">
            <v>8HARPFPT91</v>
          </cell>
          <cell r="B1160" t="str">
            <v>CBC BRA</v>
          </cell>
          <cell r="C1160" t="str">
            <v>8HARPFPT91CBC BRA</v>
          </cell>
          <cell r="D1160" t="str">
            <v>US$</v>
          </cell>
          <cell r="E1160">
            <v>126.3</v>
          </cell>
          <cell r="F1160" t="str">
            <v>US$/pcs</v>
          </cell>
          <cell r="G1160" t="str">
            <v>No</v>
          </cell>
          <cell r="H1160" t="str">
            <v>acc.PO RIO NOGALIS  22.27 fob + 83 fabr</v>
          </cell>
          <cell r="K1160" t="str">
            <v>harp</v>
          </cell>
        </row>
        <row r="1161">
          <cell r="A1161" t="str">
            <v>8HARPFPT91</v>
          </cell>
          <cell r="B1161" t="str">
            <v>CHENGCHENG</v>
          </cell>
          <cell r="C1161" t="str">
            <v>8HARPFPT91CHENGCHENG</v>
          </cell>
          <cell r="D1161" t="str">
            <v>US$</v>
          </cell>
          <cell r="E1161">
            <v>70</v>
          </cell>
          <cell r="F1161" t="str">
            <v>US$/pcs</v>
          </cell>
          <cell r="G1161" t="str">
            <v>No</v>
          </cell>
          <cell r="H1161" t="str">
            <v xml:space="preserve">43.87/tube + 1.50 weld consumables </v>
          </cell>
          <cell r="K1161" t="str">
            <v>harp</v>
          </cell>
        </row>
        <row r="1162">
          <cell r="A1162" t="str">
            <v>8HARPFPT91</v>
          </cell>
          <cell r="B1162" t="str">
            <v>DB INDIA</v>
          </cell>
          <cell r="C1162" t="str">
            <v>8HARPFPT91DB INDIA</v>
          </cell>
          <cell r="D1162" t="str">
            <v>US$</v>
          </cell>
          <cell r="E1162">
            <v>48.5</v>
          </cell>
          <cell r="F1162" t="str">
            <v>EUR/t</v>
          </cell>
          <cell r="G1162" t="str">
            <v>No</v>
          </cell>
          <cell r="H1162" t="str">
            <v>included in rates</v>
          </cell>
          <cell r="K1162" t="str">
            <v>harp</v>
          </cell>
        </row>
        <row r="1163">
          <cell r="A1163" t="str">
            <v>8HARPTRSP</v>
          </cell>
          <cell r="B1163" t="str">
            <v>ABB MSET</v>
          </cell>
          <cell r="C1163" t="str">
            <v>8HARPTRSPABB MSET</v>
          </cell>
          <cell r="D1163" t="str">
            <v>EUR</v>
          </cell>
          <cell r="F1163" t="str">
            <v>EUR/t</v>
          </cell>
          <cell r="G1163" t="str">
            <v>No</v>
          </cell>
          <cell r="H1163" t="str">
            <v>included in rates</v>
          </cell>
          <cell r="K1163" t="str">
            <v>harp</v>
          </cell>
        </row>
        <row r="1164">
          <cell r="A1164" t="str">
            <v>8HARPTRSP</v>
          </cell>
          <cell r="B1164" t="str">
            <v>CBC BRA</v>
          </cell>
          <cell r="C1164" t="str">
            <v>8HARPTRSPCBC BRA</v>
          </cell>
          <cell r="D1164" t="str">
            <v>US$</v>
          </cell>
          <cell r="E1164">
            <v>0</v>
          </cell>
          <cell r="F1164" t="str">
            <v>US$/t</v>
          </cell>
          <cell r="G1164" t="str">
            <v>No</v>
          </cell>
          <cell r="H1164" t="str">
            <v>included in rates</v>
          </cell>
          <cell r="K1164" t="str">
            <v>harp</v>
          </cell>
        </row>
        <row r="1165">
          <cell r="A1165" t="str">
            <v>8HARPTRSP</v>
          </cell>
          <cell r="B1165" t="str">
            <v>CHENGCHENG</v>
          </cell>
          <cell r="C1165" t="str">
            <v>8HARPTRSPCHENGCHENG</v>
          </cell>
          <cell r="D1165" t="str">
            <v>US$</v>
          </cell>
          <cell r="E1165">
            <v>0</v>
          </cell>
          <cell r="F1165" t="str">
            <v>US$/pcs</v>
          </cell>
          <cell r="G1165" t="str">
            <v>No</v>
          </cell>
          <cell r="H1165" t="str">
            <v>included in rates</v>
          </cell>
          <cell r="K1165" t="str">
            <v>harp</v>
          </cell>
        </row>
        <row r="1166">
          <cell r="A1166" t="str">
            <v>8HARPTRSP</v>
          </cell>
          <cell r="B1166" t="str">
            <v>DB INDIA</v>
          </cell>
          <cell r="C1166" t="str">
            <v>8HARPTRSPDB INDIA</v>
          </cell>
          <cell r="D1166" t="str">
            <v>US$</v>
          </cell>
          <cell r="E1166">
            <v>53.55</v>
          </cell>
          <cell r="F1166" t="str">
            <v>US$/t</v>
          </cell>
          <cell r="G1166" t="str">
            <v>No</v>
          </cell>
          <cell r="H1166" t="str">
            <v>trsp free issue mat's 50/t, trsp harps 0/t, portch. 0/t</v>
          </cell>
          <cell r="K1166" t="str">
            <v>harp</v>
          </cell>
        </row>
        <row r="1167">
          <cell r="A1167" t="str">
            <v>8HARPTRSP</v>
          </cell>
          <cell r="B1167" t="str">
            <v>SUNGJIN</v>
          </cell>
          <cell r="C1167" t="str">
            <v>8HARPTRSPSUNGJIN</v>
          </cell>
          <cell r="D1167" t="str">
            <v>US$</v>
          </cell>
          <cell r="E1167">
            <v>1715</v>
          </cell>
          <cell r="F1167" t="str">
            <v>US$/t</v>
          </cell>
          <cell r="G1167" t="str">
            <v>No</v>
          </cell>
          <cell r="H1167" t="str">
            <v>Incl. 3 baffleplates ( € 7.93/ea baffleplate)</v>
          </cell>
          <cell r="K1167" t="str">
            <v>harp</v>
          </cell>
        </row>
        <row r="1168">
          <cell r="A1168" t="str">
            <v>8HEADFP</v>
          </cell>
          <cell r="B1168" t="str">
            <v>ABB MSET</v>
          </cell>
          <cell r="C1168" t="str">
            <v>8HEADFPABB MSET</v>
          </cell>
          <cell r="D1168" t="str">
            <v>EUR</v>
          </cell>
          <cell r="E1168">
            <v>2324</v>
          </cell>
          <cell r="F1168" t="str">
            <v>EUR/pcs</v>
          </cell>
          <cell r="G1168" t="str">
            <v>No</v>
          </cell>
          <cell r="H1168" t="str">
            <v>Incl. 3 baffleplates ( € 7.93/ea baffleplate)</v>
          </cell>
          <cell r="K1168" t="str">
            <v>header</v>
          </cell>
        </row>
        <row r="1169">
          <cell r="A1169" t="str">
            <v>8HEADFP</v>
          </cell>
          <cell r="B1169" t="str">
            <v>BySubc</v>
          </cell>
          <cell r="C1169" t="str">
            <v>8HEADFPBySubc</v>
          </cell>
          <cell r="D1169" t="str">
            <v>EUR</v>
          </cell>
          <cell r="E1169">
            <v>0</v>
          </cell>
          <cell r="F1169" t="str">
            <v>EUR/pcs</v>
          </cell>
          <cell r="G1169" t="str">
            <v>No</v>
          </cell>
          <cell r="H1169" t="str">
            <v>included in fabr. Rates</v>
          </cell>
          <cell r="K1169" t="str">
            <v>header</v>
          </cell>
        </row>
        <row r="1170">
          <cell r="A1170" t="str">
            <v>8HEADFP</v>
          </cell>
          <cell r="B1170" t="str">
            <v>CBC BRA</v>
          </cell>
          <cell r="C1170" t="str">
            <v>8HEADFPCBC BRA</v>
          </cell>
          <cell r="D1170" t="str">
            <v>US$</v>
          </cell>
          <cell r="E1170">
            <v>2150</v>
          </cell>
          <cell r="F1170" t="str">
            <v>US$/pcs</v>
          </cell>
          <cell r="G1170" t="str">
            <v>No</v>
          </cell>
          <cell r="H1170" t="str">
            <v>Rio Nogalis $58000/27 headers)</v>
          </cell>
          <cell r="K1170" t="str">
            <v>header</v>
          </cell>
        </row>
        <row r="1171">
          <cell r="A1171" t="str">
            <v>8HEADFS</v>
          </cell>
          <cell r="B1171" t="str">
            <v>ABB MSET</v>
          </cell>
          <cell r="C1171" t="str">
            <v>8HEADFSABB MSET</v>
          </cell>
          <cell r="D1171" t="str">
            <v>EUR</v>
          </cell>
          <cell r="E1171">
            <v>1624</v>
          </cell>
          <cell r="F1171" t="str">
            <v>EUR/pcs</v>
          </cell>
          <cell r="G1171" t="str">
            <v>No</v>
          </cell>
          <cell r="H1171" t="str">
            <v>Incl. 3 baffleplates ( € 7.93/ea baffleplate)</v>
          </cell>
          <cell r="K1171" t="str">
            <v>header</v>
          </cell>
        </row>
        <row r="1172">
          <cell r="A1172" t="str">
            <v>8HEADFS</v>
          </cell>
          <cell r="B1172" t="str">
            <v>BySubc</v>
          </cell>
          <cell r="C1172" t="str">
            <v>8HEADFSBySubc</v>
          </cell>
          <cell r="D1172" t="str">
            <v>EUR</v>
          </cell>
          <cell r="E1172">
            <v>0</v>
          </cell>
          <cell r="F1172" t="str">
            <v>EUR/pcs</v>
          </cell>
          <cell r="G1172" t="str">
            <v>No</v>
          </cell>
          <cell r="H1172" t="str">
            <v>included in fabr. Rates</v>
          </cell>
          <cell r="K1172" t="str">
            <v>header</v>
          </cell>
        </row>
        <row r="1173">
          <cell r="A1173" t="str">
            <v>8HEADFS</v>
          </cell>
          <cell r="B1173" t="str">
            <v>CBC BRA</v>
          </cell>
          <cell r="C1173" t="str">
            <v>8HEADFSCBC BRA</v>
          </cell>
          <cell r="D1173" t="str">
            <v>US$</v>
          </cell>
          <cell r="E1173">
            <v>1030</v>
          </cell>
          <cell r="F1173" t="str">
            <v>US$/pcs</v>
          </cell>
          <cell r="G1173" t="str">
            <v>No</v>
          </cell>
          <cell r="H1173" t="str">
            <v>included in fabr. Rates</v>
          </cell>
          <cell r="K1173" t="str">
            <v>header</v>
          </cell>
        </row>
        <row r="1174">
          <cell r="A1174" t="str">
            <v>8INCA</v>
          </cell>
          <cell r="B1174" t="str">
            <v>ABB MSET</v>
          </cell>
          <cell r="C1174" t="str">
            <v>8INCAABB MSET</v>
          </cell>
          <cell r="D1174" t="str">
            <v>EUR</v>
          </cell>
          <cell r="E1174">
            <v>0</v>
          </cell>
          <cell r="F1174" t="str">
            <v>EUR/m2</v>
          </cell>
          <cell r="G1174" t="str">
            <v>No</v>
          </cell>
          <cell r="H1174" t="str">
            <v>INCL. IN CASINGFABR REF 25961-11.1</v>
          </cell>
          <cell r="K1174" t="str">
            <v>insul</v>
          </cell>
        </row>
        <row r="1175">
          <cell r="A1175" t="str">
            <v>8INCA</v>
          </cell>
          <cell r="B1175" t="str">
            <v>BRAND</v>
          </cell>
          <cell r="C1175" t="str">
            <v>8INCABRAND</v>
          </cell>
          <cell r="D1175" t="str">
            <v>EUR</v>
          </cell>
          <cell r="E1175">
            <v>40</v>
          </cell>
          <cell r="F1175" t="str">
            <v>EUR/m2</v>
          </cell>
          <cell r="G1175" t="str">
            <v>No</v>
          </cell>
          <cell r="H1175" t="str">
            <v>40 euro/ square meter</v>
          </cell>
          <cell r="K1175" t="str">
            <v>Insul</v>
          </cell>
        </row>
        <row r="1176">
          <cell r="A1176" t="str">
            <v>8INCA</v>
          </cell>
          <cell r="B1176" t="str">
            <v>BRANDR</v>
          </cell>
          <cell r="C1176" t="str">
            <v>8INCABRANDR</v>
          </cell>
          <cell r="D1176" t="str">
            <v>EUR</v>
          </cell>
          <cell r="E1176">
            <v>40</v>
          </cell>
          <cell r="F1176" t="str">
            <v>EUR/m2</v>
          </cell>
          <cell r="G1176" t="str">
            <v>No</v>
          </cell>
          <cell r="H1176" t="str">
            <v>40 euro/ square meter</v>
          </cell>
          <cell r="K1176" t="str">
            <v>Insul</v>
          </cell>
        </row>
        <row r="1177">
          <cell r="A1177" t="str">
            <v>8INCA</v>
          </cell>
          <cell r="B1177" t="str">
            <v>CBC BRA</v>
          </cell>
          <cell r="C1177" t="str">
            <v>8INCACBC BRA</v>
          </cell>
          <cell r="D1177" t="str">
            <v>US$</v>
          </cell>
          <cell r="E1177">
            <v>0</v>
          </cell>
          <cell r="F1177" t="str">
            <v>US$/m2</v>
          </cell>
          <cell r="G1177" t="str">
            <v>No</v>
          </cell>
          <cell r="H1177" t="str">
            <v>acc.PO Westbrook</v>
          </cell>
          <cell r="K1177" t="str">
            <v>insul</v>
          </cell>
        </row>
        <row r="1178">
          <cell r="A1178" t="str">
            <v>8INCA</v>
          </cell>
          <cell r="B1178" t="str">
            <v>DB INDIA</v>
          </cell>
          <cell r="C1178" t="str">
            <v>8INCADB INDIA</v>
          </cell>
          <cell r="D1178" t="str">
            <v>US$</v>
          </cell>
          <cell r="E1178">
            <v>0</v>
          </cell>
          <cell r="F1178" t="str">
            <v>US$/m2</v>
          </cell>
          <cell r="G1178" t="str">
            <v>Yes</v>
          </cell>
          <cell r="H1178" t="str">
            <v>agreem. 09/003 r.1,+ seaw.packing, del. FCA</v>
          </cell>
          <cell r="K1178" t="str">
            <v>steelstr</v>
          </cell>
        </row>
        <row r="1179">
          <cell r="A1179" t="str">
            <v>8INCA</v>
          </cell>
          <cell r="B1179" t="str">
            <v>FERMSTAL</v>
          </cell>
          <cell r="C1179" t="str">
            <v>8INCAFERMSTAL</v>
          </cell>
          <cell r="D1179" t="str">
            <v>EUR</v>
          </cell>
          <cell r="E1179">
            <v>25</v>
          </cell>
          <cell r="F1179" t="str">
            <v>EUR/m2</v>
          </cell>
          <cell r="G1179" t="str">
            <v>No</v>
          </cell>
          <cell r="H1179" t="str">
            <v>agreem. 09/003 r.1,+ seaw.packing, del. FCA</v>
          </cell>
          <cell r="K1179" t="str">
            <v>insul</v>
          </cell>
        </row>
        <row r="1180">
          <cell r="A1180" t="str">
            <v>8INCA</v>
          </cell>
          <cell r="B1180" t="str">
            <v>GANZ</v>
          </cell>
          <cell r="C1180" t="str">
            <v>8INCAGANZ</v>
          </cell>
          <cell r="D1180" t="str">
            <v>EUR</v>
          </cell>
          <cell r="E1180">
            <v>0</v>
          </cell>
          <cell r="F1180" t="str">
            <v>EUR/m2</v>
          </cell>
          <cell r="G1180" t="str">
            <v>Yes</v>
          </cell>
          <cell r="H1180" t="str">
            <v>see 8incatr</v>
          </cell>
          <cell r="K1180" t="str">
            <v>bundle</v>
          </cell>
        </row>
        <row r="1181">
          <cell r="A1181" t="str">
            <v>8INCA</v>
          </cell>
          <cell r="B1181" t="str">
            <v>HUTNI</v>
          </cell>
          <cell r="C1181" t="str">
            <v>8INCAHUTNI</v>
          </cell>
          <cell r="D1181" t="str">
            <v>EUR</v>
          </cell>
          <cell r="E1181">
            <v>37</v>
          </cell>
          <cell r="F1181" t="str">
            <v>EUR/m2</v>
          </cell>
          <cell r="G1181" t="str">
            <v>No</v>
          </cell>
          <cell r="H1181" t="str">
            <v>install : 37 euro/m2</v>
          </cell>
          <cell r="K1181" t="str">
            <v>baffles</v>
          </cell>
        </row>
        <row r="1182">
          <cell r="A1182" t="str">
            <v>8INCA</v>
          </cell>
          <cell r="B1182" t="str">
            <v>KOREA17</v>
          </cell>
          <cell r="C1182" t="str">
            <v>8INCAKOREA17</v>
          </cell>
          <cell r="D1182" t="str">
            <v>US$</v>
          </cell>
          <cell r="E1182">
            <v>0</v>
          </cell>
          <cell r="F1182" t="str">
            <v>US$/m2</v>
          </cell>
          <cell r="G1182" t="str">
            <v>Yes</v>
          </cell>
          <cell r="K1182" t="str">
            <v>bundle</v>
          </cell>
        </row>
        <row r="1183">
          <cell r="A1183" t="str">
            <v>8INCA</v>
          </cell>
          <cell r="B1183" t="str">
            <v>KOREA18</v>
          </cell>
          <cell r="C1183" t="str">
            <v>8INCAKOREA18</v>
          </cell>
          <cell r="D1183" t="str">
            <v>US$</v>
          </cell>
          <cell r="E1183">
            <v>0</v>
          </cell>
          <cell r="F1183" t="str">
            <v>US$/m2</v>
          </cell>
          <cell r="G1183" t="str">
            <v>Yes</v>
          </cell>
          <cell r="H1183" t="str">
            <v>see incatr</v>
          </cell>
          <cell r="K1183" t="str">
            <v>Insul</v>
          </cell>
        </row>
        <row r="1184">
          <cell r="A1184" t="str">
            <v>8INCA</v>
          </cell>
          <cell r="B1184" t="str">
            <v>KOREA19</v>
          </cell>
          <cell r="C1184" t="str">
            <v>8INCAKOREA19</v>
          </cell>
          <cell r="D1184" t="str">
            <v>US$</v>
          </cell>
          <cell r="E1184">
            <v>0</v>
          </cell>
          <cell r="F1184" t="str">
            <v>US$/m2</v>
          </cell>
          <cell r="G1184" t="str">
            <v>Yes</v>
          </cell>
          <cell r="H1184" t="str">
            <v>see incatr</v>
          </cell>
          <cell r="K1184" t="str">
            <v>Insul</v>
          </cell>
        </row>
        <row r="1185">
          <cell r="A1185" t="str">
            <v>8INCA</v>
          </cell>
          <cell r="B1185" t="str">
            <v>KOREA20</v>
          </cell>
          <cell r="C1185" t="str">
            <v>8INCAKOREA20</v>
          </cell>
          <cell r="D1185" t="str">
            <v>US$</v>
          </cell>
          <cell r="E1185">
            <v>0</v>
          </cell>
          <cell r="F1185" t="str">
            <v>US$/m2</v>
          </cell>
          <cell r="G1185" t="str">
            <v>Yes</v>
          </cell>
          <cell r="H1185" t="str">
            <v>see incatr</v>
          </cell>
          <cell r="K1185" t="str">
            <v>Insul</v>
          </cell>
        </row>
        <row r="1186">
          <cell r="A1186" t="str">
            <v>8INCA</v>
          </cell>
          <cell r="B1186" t="str">
            <v>KOREA21</v>
          </cell>
          <cell r="C1186" t="str">
            <v>8INCAKOREA21</v>
          </cell>
          <cell r="D1186" t="str">
            <v>US$</v>
          </cell>
          <cell r="E1186">
            <v>0</v>
          </cell>
          <cell r="F1186" t="str">
            <v>US$/m2</v>
          </cell>
          <cell r="G1186" t="str">
            <v>Yes</v>
          </cell>
          <cell r="H1186" t="str">
            <v>see incatr</v>
          </cell>
          <cell r="K1186" t="str">
            <v>Insul</v>
          </cell>
        </row>
        <row r="1187">
          <cell r="A1187" t="str">
            <v>8INCA</v>
          </cell>
          <cell r="B1187" t="str">
            <v>KOREA22</v>
          </cell>
          <cell r="C1187" t="str">
            <v>8INCAKOREA22</v>
          </cell>
          <cell r="D1187" t="str">
            <v>US$</v>
          </cell>
          <cell r="E1187">
            <v>0</v>
          </cell>
          <cell r="F1187" t="str">
            <v>US$/m2</v>
          </cell>
          <cell r="G1187" t="str">
            <v>Yes</v>
          </cell>
          <cell r="H1187" t="str">
            <v>see incatr</v>
          </cell>
          <cell r="K1187" t="str">
            <v>Insul</v>
          </cell>
        </row>
        <row r="1188">
          <cell r="A1188" t="str">
            <v>8INCA</v>
          </cell>
          <cell r="B1188" t="str">
            <v>RHODES</v>
          </cell>
          <cell r="C1188" t="str">
            <v>8INCARHODES</v>
          </cell>
          <cell r="D1188" t="str">
            <v>GBP</v>
          </cell>
          <cell r="E1188">
            <v>27</v>
          </cell>
          <cell r="F1188" t="str">
            <v>GBP/m2</v>
          </cell>
          <cell r="G1188" t="str">
            <v>Yes</v>
          </cell>
          <cell r="K1188" t="str">
            <v>Insul</v>
          </cell>
        </row>
        <row r="1189">
          <cell r="A1189" t="str">
            <v>8INCA</v>
          </cell>
          <cell r="B1189" t="str">
            <v>SUNGJIN</v>
          </cell>
          <cell r="C1189" t="str">
            <v>8INCASUNGJIN</v>
          </cell>
          <cell r="D1189" t="str">
            <v>US$</v>
          </cell>
          <cell r="E1189">
            <v>0</v>
          </cell>
          <cell r="F1189" t="str">
            <v>US$/m2</v>
          </cell>
          <cell r="G1189" t="str">
            <v>no</v>
          </cell>
          <cell r="H1189" t="str">
            <v>INCL. IN CASINGFABR REF 25961-11.1</v>
          </cell>
          <cell r="K1189" t="str">
            <v>Insul</v>
          </cell>
        </row>
        <row r="1190">
          <cell r="A1190" t="str">
            <v>8INCATR</v>
          </cell>
          <cell r="B1190" t="str">
            <v>ABB MSET</v>
          </cell>
          <cell r="C1190" t="str">
            <v>8INCATRABB MSET</v>
          </cell>
          <cell r="D1190" t="str">
            <v>EUR</v>
          </cell>
          <cell r="E1190">
            <v>0</v>
          </cell>
          <cell r="F1190" t="str">
            <v>EUR/ton</v>
          </cell>
          <cell r="G1190" t="str">
            <v>No</v>
          </cell>
          <cell r="H1190" t="str">
            <v>INCL. IN CASINGFABR REF 25961-11.1</v>
          </cell>
          <cell r="K1190" t="str">
            <v>insul</v>
          </cell>
        </row>
        <row r="1191">
          <cell r="A1191" t="str">
            <v>8INCATR</v>
          </cell>
          <cell r="B1191" t="str">
            <v>CBC BRA</v>
          </cell>
          <cell r="C1191" t="str">
            <v>8INCATRCBC BRA</v>
          </cell>
          <cell r="D1191" t="str">
            <v>US$</v>
          </cell>
          <cell r="E1191">
            <v>1884</v>
          </cell>
          <cell r="F1191" t="str">
            <v>US$/ton</v>
          </cell>
          <cell r="G1191" t="str">
            <v>No</v>
          </cell>
          <cell r="H1191" t="str">
            <v>acc.PO Westbrook</v>
          </cell>
          <cell r="K1191" t="str">
            <v>insul</v>
          </cell>
        </row>
        <row r="1192">
          <cell r="A1192" t="str">
            <v>8INCATR</v>
          </cell>
          <cell r="B1192" t="str">
            <v>DB INDIA</v>
          </cell>
          <cell r="C1192" t="str">
            <v>8INCATRDB INDIA</v>
          </cell>
          <cell r="D1192" t="str">
            <v>US$</v>
          </cell>
          <cell r="E1192">
            <v>1070</v>
          </cell>
          <cell r="F1192" t="str">
            <v>US$/t</v>
          </cell>
          <cell r="G1192" t="str">
            <v>Yes</v>
          </cell>
          <cell r="K1192" t="str">
            <v>steelstr</v>
          </cell>
        </row>
        <row r="1193">
          <cell r="A1193" t="str">
            <v>8INCATR</v>
          </cell>
          <cell r="B1193" t="str">
            <v>GANZ</v>
          </cell>
          <cell r="C1193" t="str">
            <v>8INCATRGANZ</v>
          </cell>
          <cell r="D1193" t="str">
            <v>EUR</v>
          </cell>
          <cell r="E1193">
            <v>2250</v>
          </cell>
          <cell r="F1193" t="str">
            <v>EUR/ton</v>
          </cell>
          <cell r="G1193" t="str">
            <v>Yes</v>
          </cell>
          <cell r="H1193" t="str">
            <v>included</v>
          </cell>
          <cell r="K1193" t="str">
            <v>insul</v>
          </cell>
        </row>
        <row r="1194">
          <cell r="A1194" t="str">
            <v>8INCATR</v>
          </cell>
          <cell r="B1194" t="str">
            <v>HUTNI</v>
          </cell>
          <cell r="C1194" t="str">
            <v>8INCATRHUTNI</v>
          </cell>
          <cell r="D1194" t="str">
            <v>EUR</v>
          </cell>
          <cell r="E1194">
            <v>0</v>
          </cell>
          <cell r="F1194" t="str">
            <v>EUR/ton</v>
          </cell>
          <cell r="G1194" t="str">
            <v>No</v>
          </cell>
          <cell r="H1194" t="str">
            <v>included</v>
          </cell>
          <cell r="K1194" t="str">
            <v>baffles</v>
          </cell>
        </row>
        <row r="1195">
          <cell r="A1195" t="str">
            <v>8INCATR</v>
          </cell>
          <cell r="B1195" t="str">
            <v>KOREA17</v>
          </cell>
          <cell r="C1195" t="str">
            <v>8INCATRKOREA17</v>
          </cell>
          <cell r="D1195" t="str">
            <v>US$</v>
          </cell>
          <cell r="E1195">
            <v>1700</v>
          </cell>
          <cell r="F1195" t="str">
            <v>US$/t</v>
          </cell>
          <cell r="G1195" t="str">
            <v>Yes</v>
          </cell>
          <cell r="K1195" t="str">
            <v>bundle</v>
          </cell>
        </row>
        <row r="1196">
          <cell r="A1196" t="str">
            <v>8INCATR</v>
          </cell>
          <cell r="B1196" t="str">
            <v>KOREA18</v>
          </cell>
          <cell r="C1196" t="str">
            <v>8INCATRKOREA18</v>
          </cell>
          <cell r="D1196" t="str">
            <v>US$</v>
          </cell>
          <cell r="E1196">
            <v>1800</v>
          </cell>
          <cell r="F1196" t="str">
            <v>US$/t</v>
          </cell>
          <cell r="G1196" t="str">
            <v>Yes</v>
          </cell>
          <cell r="K1196" t="str">
            <v>Insul</v>
          </cell>
        </row>
        <row r="1197">
          <cell r="A1197" t="str">
            <v>8INCATR</v>
          </cell>
          <cell r="B1197" t="str">
            <v>KOREA19</v>
          </cell>
          <cell r="C1197" t="str">
            <v>8INCATRKOREA19</v>
          </cell>
          <cell r="D1197" t="str">
            <v>US$</v>
          </cell>
          <cell r="E1197">
            <v>1900</v>
          </cell>
          <cell r="F1197" t="str">
            <v>US$/t</v>
          </cell>
          <cell r="G1197" t="str">
            <v>Yes</v>
          </cell>
          <cell r="K1197" t="str">
            <v>Insul</v>
          </cell>
        </row>
        <row r="1198">
          <cell r="A1198" t="str">
            <v>8INCATR</v>
          </cell>
          <cell r="B1198" t="str">
            <v>KOREA20</v>
          </cell>
          <cell r="C1198" t="str">
            <v>8INCATRKOREA20</v>
          </cell>
          <cell r="D1198" t="str">
            <v>US$</v>
          </cell>
          <cell r="E1198">
            <v>2000</v>
          </cell>
          <cell r="F1198" t="str">
            <v>US$/t</v>
          </cell>
          <cell r="G1198" t="str">
            <v>Yes</v>
          </cell>
          <cell r="K1198" t="str">
            <v>Insul</v>
          </cell>
        </row>
        <row r="1199">
          <cell r="A1199" t="str">
            <v>8INCATR</v>
          </cell>
          <cell r="B1199" t="str">
            <v>KOREA21</v>
          </cell>
          <cell r="C1199" t="str">
            <v>8INCATRKOREA21</v>
          </cell>
          <cell r="D1199" t="str">
            <v>US$</v>
          </cell>
          <cell r="E1199">
            <v>2100</v>
          </cell>
          <cell r="F1199" t="str">
            <v>US$/t</v>
          </cell>
          <cell r="G1199" t="str">
            <v>Yes</v>
          </cell>
          <cell r="K1199" t="str">
            <v>Insul</v>
          </cell>
        </row>
        <row r="1200">
          <cell r="A1200" t="str">
            <v>8INCATR</v>
          </cell>
          <cell r="B1200" t="str">
            <v>KOREA22</v>
          </cell>
          <cell r="C1200" t="str">
            <v>8INCATRKOREA22</v>
          </cell>
          <cell r="D1200" t="str">
            <v>US$</v>
          </cell>
          <cell r="E1200">
            <v>2200</v>
          </cell>
          <cell r="F1200" t="str">
            <v>US$/t</v>
          </cell>
          <cell r="G1200" t="str">
            <v>Yes</v>
          </cell>
          <cell r="K1200" t="str">
            <v>Insul</v>
          </cell>
        </row>
        <row r="1201">
          <cell r="A1201" t="str">
            <v>8INCATR</v>
          </cell>
          <cell r="B1201" t="str">
            <v>RHODES</v>
          </cell>
          <cell r="C1201" t="str">
            <v>8INCATRRHODES</v>
          </cell>
          <cell r="D1201" t="str">
            <v>GBP</v>
          </cell>
          <cell r="E1201">
            <v>783.3</v>
          </cell>
          <cell r="F1201" t="str">
            <v>GBP/ton</v>
          </cell>
          <cell r="G1201" t="str">
            <v>Yes</v>
          </cell>
          <cell r="K1201" t="str">
            <v>ducting</v>
          </cell>
        </row>
        <row r="1202">
          <cell r="A1202" t="str">
            <v>8INCATR</v>
          </cell>
          <cell r="B1202" t="str">
            <v>SUNGJIN</v>
          </cell>
          <cell r="C1202" t="str">
            <v>8INCATRSUNGJIN</v>
          </cell>
          <cell r="D1202" t="str">
            <v>US$</v>
          </cell>
          <cell r="E1202">
            <v>1715</v>
          </cell>
          <cell r="F1202" t="str">
            <v>US$/ton</v>
          </cell>
          <cell r="G1202" t="str">
            <v>No</v>
          </cell>
          <cell r="H1202" t="str">
            <v>ESTIMATE</v>
          </cell>
          <cell r="K1202" t="str">
            <v>insul</v>
          </cell>
        </row>
        <row r="1203">
          <cell r="A1203" t="str">
            <v>8INCATR</v>
          </cell>
          <cell r="B1203" t="str">
            <v>WI-USA</v>
          </cell>
          <cell r="C1203" t="str">
            <v>8INCATRWI-USA</v>
          </cell>
          <cell r="D1203" t="str">
            <v>US$</v>
          </cell>
          <cell r="E1203">
            <v>0</v>
          </cell>
          <cell r="F1203" t="str">
            <v>US$/t</v>
          </cell>
          <cell r="G1203" t="str">
            <v>Yes</v>
          </cell>
          <cell r="H1203" t="str">
            <v>ESTIMATE</v>
          </cell>
          <cell r="K1203" t="str">
            <v>insul</v>
          </cell>
        </row>
        <row r="1204">
          <cell r="A1204" t="str">
            <v>8INCA</v>
          </cell>
          <cell r="B1204" t="str">
            <v>UNITHAI</v>
          </cell>
          <cell r="C1204" t="str">
            <v>8INCAUNITHAI</v>
          </cell>
          <cell r="D1204" t="str">
            <v>US$</v>
          </cell>
          <cell r="E1204">
            <v>0</v>
          </cell>
          <cell r="F1204" t="str">
            <v>US$/m2</v>
          </cell>
          <cell r="G1204" t="str">
            <v>No</v>
          </cell>
          <cell r="H1204" t="str">
            <v>Included in fabr. Price</v>
          </cell>
          <cell r="K1204" t="str">
            <v>insul</v>
          </cell>
        </row>
        <row r="1205">
          <cell r="A1205" t="str">
            <v>8INCA</v>
          </cell>
          <cell r="B1205" t="str">
            <v>VIPCO</v>
          </cell>
          <cell r="C1205" t="str">
            <v>8INCAVIPCO</v>
          </cell>
          <cell r="D1205" t="str">
            <v>US$</v>
          </cell>
          <cell r="E1205">
            <v>20</v>
          </cell>
          <cell r="F1205" t="str">
            <v>US$/m2</v>
          </cell>
          <cell r="G1205" t="str">
            <v>No</v>
          </cell>
          <cell r="H1205" t="str">
            <v>ESTIMATE</v>
          </cell>
          <cell r="K1205" t="str">
            <v>insul</v>
          </cell>
        </row>
        <row r="1206">
          <cell r="A1206" t="str">
            <v>8INCA</v>
          </cell>
          <cell r="B1206" t="str">
            <v>WI-USA</v>
          </cell>
          <cell r="C1206" t="str">
            <v>8INCAWI-USA</v>
          </cell>
          <cell r="D1206" t="str">
            <v>US$</v>
          </cell>
          <cell r="E1206">
            <v>150</v>
          </cell>
          <cell r="F1206" t="str">
            <v>US$/m2</v>
          </cell>
          <cell r="G1206" t="str">
            <v>Yes</v>
          </cell>
          <cell r="H1206" t="str">
            <v>ESTIMATE</v>
          </cell>
          <cell r="K1206" t="str">
            <v>insul</v>
          </cell>
        </row>
        <row r="1207">
          <cell r="A1207" t="str">
            <v>8INDW</v>
          </cell>
          <cell r="B1207" t="str">
            <v>BRAND</v>
          </cell>
          <cell r="C1207" t="str">
            <v>8INDWBRAND</v>
          </cell>
          <cell r="D1207" t="str">
            <v>EUR</v>
          </cell>
          <cell r="E1207">
            <v>40</v>
          </cell>
          <cell r="F1207" t="str">
            <v>EUR/m2</v>
          </cell>
          <cell r="G1207" t="str">
            <v>No</v>
          </cell>
          <cell r="H1207" t="str">
            <v>40 euro/ square meter</v>
          </cell>
          <cell r="K1207" t="str">
            <v>Insul</v>
          </cell>
        </row>
        <row r="1208">
          <cell r="A1208" t="str">
            <v>8INDW</v>
          </cell>
          <cell r="B1208" t="str">
            <v>BRANDR</v>
          </cell>
          <cell r="C1208" t="str">
            <v>8INDWBRANDR</v>
          </cell>
          <cell r="D1208" t="str">
            <v>EUR</v>
          </cell>
          <cell r="E1208">
            <v>40</v>
          </cell>
          <cell r="F1208" t="str">
            <v>EUR/m2</v>
          </cell>
          <cell r="G1208" t="str">
            <v>No</v>
          </cell>
          <cell r="H1208" t="str">
            <v>40 euro/ square meter</v>
          </cell>
          <cell r="K1208" t="str">
            <v>Insul</v>
          </cell>
        </row>
        <row r="1209">
          <cell r="A1209" t="str">
            <v>8INDW</v>
          </cell>
          <cell r="B1209" t="str">
            <v>FERMSTAL</v>
          </cell>
          <cell r="C1209" t="str">
            <v>8INDWFERMSTAL</v>
          </cell>
          <cell r="D1209" t="str">
            <v>EUR</v>
          </cell>
          <cell r="E1209">
            <v>25</v>
          </cell>
          <cell r="F1209" t="str">
            <v>EUR/m2</v>
          </cell>
          <cell r="G1209" t="str">
            <v>No</v>
          </cell>
          <cell r="H1209" t="str">
            <v>agreem. 09/003 r.1,+ seaw.packing, del. FCA</v>
          </cell>
          <cell r="K1209" t="str">
            <v>insul</v>
          </cell>
        </row>
        <row r="1210">
          <cell r="A1210" t="str">
            <v>8INDW</v>
          </cell>
          <cell r="B1210" t="str">
            <v>HUTNI</v>
          </cell>
          <cell r="C1210" t="str">
            <v>8INDWHUTNI</v>
          </cell>
          <cell r="D1210" t="str">
            <v>EUR</v>
          </cell>
          <cell r="E1210">
            <v>50</v>
          </cell>
          <cell r="F1210" t="str">
            <v>EUR/m2</v>
          </cell>
          <cell r="G1210" t="str">
            <v>No</v>
          </cell>
          <cell r="H1210" t="str">
            <v>included</v>
          </cell>
          <cell r="K1210" t="str">
            <v>baffles</v>
          </cell>
        </row>
        <row r="1211">
          <cell r="A1211" t="str">
            <v>8INDWTR</v>
          </cell>
          <cell r="B1211" t="str">
            <v>HUTNI</v>
          </cell>
          <cell r="C1211" t="str">
            <v>8INDWTRHUTNI</v>
          </cell>
          <cell r="D1211" t="str">
            <v>EUR</v>
          </cell>
          <cell r="E1211">
            <v>0</v>
          </cell>
          <cell r="F1211" t="str">
            <v>EUR/ton</v>
          </cell>
          <cell r="G1211" t="str">
            <v>No</v>
          </cell>
          <cell r="H1211" t="str">
            <v>included</v>
          </cell>
          <cell r="K1211" t="str">
            <v>baffles</v>
          </cell>
        </row>
        <row r="1212">
          <cell r="A1212" t="str">
            <v>8INDWTR</v>
          </cell>
          <cell r="B1212" t="str">
            <v>WI-USA</v>
          </cell>
          <cell r="C1212" t="str">
            <v>8INDWTRWI-USA</v>
          </cell>
          <cell r="D1212" t="str">
            <v>US$</v>
          </cell>
          <cell r="E1212">
            <v>0</v>
          </cell>
          <cell r="F1212" t="str">
            <v>US$/t</v>
          </cell>
          <cell r="G1212" t="str">
            <v>No</v>
          </cell>
          <cell r="H1212" t="str">
            <v>ESTIMATE</v>
          </cell>
          <cell r="K1212" t="str">
            <v>insul</v>
          </cell>
        </row>
        <row r="1213">
          <cell r="A1213" t="str">
            <v>8INDWTR</v>
          </cell>
          <cell r="B1213" t="str">
            <v>ZVU</v>
          </cell>
          <cell r="C1213" t="str">
            <v>8INDWTRZVU</v>
          </cell>
          <cell r="D1213" t="str">
            <v>EUR</v>
          </cell>
          <cell r="E1213">
            <v>125</v>
          </cell>
          <cell r="F1213" t="str">
            <v>EUR/ton</v>
          </cell>
          <cell r="G1213" t="str">
            <v>No</v>
          </cell>
          <cell r="H1213" t="str">
            <v>prel. HUTNI rate</v>
          </cell>
          <cell r="K1213" t="str">
            <v>insul</v>
          </cell>
        </row>
        <row r="1214">
          <cell r="A1214" t="str">
            <v>8INDW</v>
          </cell>
          <cell r="B1214" t="str">
            <v>UNITHAI</v>
          </cell>
          <cell r="C1214" t="str">
            <v>8INDWUNITHAI</v>
          </cell>
          <cell r="D1214" t="str">
            <v>US$</v>
          </cell>
          <cell r="E1214">
            <v>0</v>
          </cell>
          <cell r="F1214" t="str">
            <v>US$/m2</v>
          </cell>
          <cell r="G1214" t="str">
            <v>No</v>
          </cell>
          <cell r="H1214" t="str">
            <v>Included in fabr. Price</v>
          </cell>
          <cell r="K1214" t="str">
            <v>insul</v>
          </cell>
        </row>
        <row r="1215">
          <cell r="A1215" t="str">
            <v>8INDW</v>
          </cell>
          <cell r="B1215" t="str">
            <v>VIPCO</v>
          </cell>
          <cell r="C1215" t="str">
            <v>8INDWVIPCO</v>
          </cell>
          <cell r="D1215" t="str">
            <v>US$</v>
          </cell>
          <cell r="E1215">
            <v>20</v>
          </cell>
          <cell r="F1215" t="str">
            <v>US$/m2</v>
          </cell>
          <cell r="G1215" t="str">
            <v>No</v>
          </cell>
          <cell r="H1215" t="str">
            <v>ESTIMATE</v>
          </cell>
          <cell r="K1215" t="str">
            <v>insul</v>
          </cell>
        </row>
        <row r="1216">
          <cell r="A1216" t="str">
            <v>8INDW</v>
          </cell>
          <cell r="B1216" t="str">
            <v>WI-USA</v>
          </cell>
          <cell r="C1216" t="str">
            <v>8INDWWI-USA</v>
          </cell>
          <cell r="D1216" t="str">
            <v>US$</v>
          </cell>
          <cell r="E1216">
            <v>125</v>
          </cell>
          <cell r="F1216" t="str">
            <v>US$/m2</v>
          </cell>
          <cell r="G1216" t="str">
            <v>Yes</v>
          </cell>
          <cell r="H1216" t="str">
            <v>ESTIMATE</v>
          </cell>
          <cell r="K1216" t="str">
            <v>insul</v>
          </cell>
        </row>
        <row r="1217">
          <cell r="A1217" t="str">
            <v>8INDW</v>
          </cell>
          <cell r="B1217" t="str">
            <v>ZVU</v>
          </cell>
          <cell r="C1217" t="str">
            <v>8INDWZVU</v>
          </cell>
          <cell r="D1217" t="str">
            <v>EUR</v>
          </cell>
          <cell r="E1217">
            <v>35</v>
          </cell>
          <cell r="F1217" t="str">
            <v>EUR/m2</v>
          </cell>
          <cell r="G1217" t="str">
            <v>No</v>
          </cell>
          <cell r="H1217" t="str">
            <v>prel. HUTNI rate</v>
          </cell>
          <cell r="K1217" t="str">
            <v>insul</v>
          </cell>
        </row>
        <row r="1218">
          <cell r="A1218" t="str">
            <v>8INTR</v>
          </cell>
          <cell r="B1218" t="str">
            <v>FERMSTAL</v>
          </cell>
          <cell r="C1218" t="str">
            <v>8INTRFERMSTAL</v>
          </cell>
          <cell r="D1218" t="str">
            <v>EUR</v>
          </cell>
          <cell r="E1218">
            <v>151</v>
          </cell>
          <cell r="F1218" t="str">
            <v>EUR/ton</v>
          </cell>
          <cell r="G1218" t="str">
            <v>No</v>
          </cell>
          <cell r="H1218" t="str">
            <v>agreem. 09/003 r.1,+ seaw.packing, del. FCA:56 trsp+58 packing+37 drawings</v>
          </cell>
          <cell r="K1218" t="str">
            <v>insul</v>
          </cell>
        </row>
        <row r="1219">
          <cell r="A1219" t="str">
            <v>8INTR</v>
          </cell>
          <cell r="B1219" t="str">
            <v>VIPCO</v>
          </cell>
          <cell r="C1219" t="str">
            <v>8INTRVIPCO</v>
          </cell>
          <cell r="D1219" t="str">
            <v>US$</v>
          </cell>
          <cell r="E1219">
            <v>77</v>
          </cell>
          <cell r="F1219" t="str">
            <v>US$/ton</v>
          </cell>
          <cell r="G1219" t="str">
            <v>No</v>
          </cell>
          <cell r="K1219" t="str">
            <v>insul</v>
          </cell>
        </row>
        <row r="1220">
          <cell r="A1220" t="str">
            <v>8MTWR10CrMo910</v>
          </cell>
          <cell r="B1220" t="str">
            <v>VOGEL</v>
          </cell>
          <cell r="C1220" t="str">
            <v>8MTWR10CrMo910VOGEL</v>
          </cell>
          <cell r="D1220" t="str">
            <v>EUR</v>
          </cell>
          <cell r="E1220">
            <v>1.02</v>
          </cell>
          <cell r="F1220" t="str">
            <v>EUR/pc</v>
          </cell>
          <cell r="G1220" t="str">
            <v>No</v>
          </cell>
          <cell r="K1220" t="str">
            <v>wrap arounds</v>
          </cell>
        </row>
        <row r="1221">
          <cell r="A1221" t="str">
            <v>8MTWR13CrMo44</v>
          </cell>
          <cell r="B1221" t="str">
            <v>VOGEL</v>
          </cell>
          <cell r="C1221" t="str">
            <v>8MTWR13CrMo44VOGEL</v>
          </cell>
          <cell r="D1221" t="str">
            <v>EUR</v>
          </cell>
          <cell r="E1221">
            <v>1.02</v>
          </cell>
          <cell r="F1221" t="str">
            <v>EUR/pc</v>
          </cell>
          <cell r="G1221" t="str">
            <v>No</v>
          </cell>
          <cell r="H1221" t="str">
            <v>Prefab only, mat's by NEM</v>
          </cell>
          <cell r="K1221" t="str">
            <v>wrap arounds</v>
          </cell>
        </row>
        <row r="1222">
          <cell r="A1222" t="str">
            <v>8MTWR15 Mo 3</v>
          </cell>
          <cell r="B1222" t="str">
            <v>ABB MSET</v>
          </cell>
          <cell r="C1222" t="str">
            <v>8MTWR15 Mo 3ABB MSET</v>
          </cell>
          <cell r="D1222" t="str">
            <v>EUR</v>
          </cell>
          <cell r="E1222">
            <v>0.62</v>
          </cell>
          <cell r="F1222" t="str">
            <v>EUR/pc</v>
          </cell>
          <cell r="G1222" t="str">
            <v>No</v>
          </cell>
          <cell r="H1222" t="str">
            <v>Prefab only, mat's by NEM</v>
          </cell>
          <cell r="K1222" t="str">
            <v>wrap arounds</v>
          </cell>
        </row>
        <row r="1223">
          <cell r="A1223" t="str">
            <v>8MTWR15Mo3</v>
          </cell>
          <cell r="B1223" t="str">
            <v>VOGEL</v>
          </cell>
          <cell r="C1223" t="str">
            <v>8MTWR15Mo3VOGEL</v>
          </cell>
          <cell r="D1223" t="str">
            <v>EUR</v>
          </cell>
          <cell r="E1223">
            <v>0.91</v>
          </cell>
          <cell r="F1223" t="str">
            <v>EUR/pc</v>
          </cell>
          <cell r="G1223" t="str">
            <v>No</v>
          </cell>
          <cell r="K1223" t="str">
            <v>wrap arounds</v>
          </cell>
        </row>
        <row r="1224">
          <cell r="A1224" t="str">
            <v>8MTWR8</v>
          </cell>
          <cell r="B1224" t="str">
            <v>VOGEL</v>
          </cell>
          <cell r="C1224" t="str">
            <v>8MTWR8VOGEL</v>
          </cell>
          <cell r="D1224" t="str">
            <v>EUR</v>
          </cell>
          <cell r="E1224" t="str">
            <v>NA</v>
          </cell>
          <cell r="F1224" t="str">
            <v>EUR/pc</v>
          </cell>
          <cell r="G1224" t="str">
            <v>No</v>
          </cell>
          <cell r="H1224" t="str">
            <v>Prefab only, mat's by NEM</v>
          </cell>
          <cell r="K1224" t="str">
            <v>wrap arounds</v>
          </cell>
        </row>
        <row r="1225">
          <cell r="A1225" t="str">
            <v>8MTWRAISI 304</v>
          </cell>
          <cell r="B1225" t="str">
            <v>ABB MSET</v>
          </cell>
          <cell r="C1225" t="str">
            <v>8MTWRAISI 304ABB MSET</v>
          </cell>
          <cell r="D1225" t="str">
            <v>EUR</v>
          </cell>
          <cell r="E1225">
            <v>0.62</v>
          </cell>
          <cell r="F1225" t="str">
            <v>EUR/pc</v>
          </cell>
          <cell r="G1225" t="str">
            <v>No</v>
          </cell>
          <cell r="H1225" t="str">
            <v>Prefab only, mat's by NEM</v>
          </cell>
          <cell r="K1225" t="str">
            <v>wrap arounds</v>
          </cell>
        </row>
        <row r="1226">
          <cell r="A1226" t="str">
            <v>8MTWRAISI 304</v>
          </cell>
          <cell r="B1226" t="str">
            <v>VOGEL</v>
          </cell>
          <cell r="C1226" t="str">
            <v>8MTWRAISI 304VOGEL</v>
          </cell>
          <cell r="D1226" t="str">
            <v>EUR</v>
          </cell>
          <cell r="E1226">
            <v>0.91</v>
          </cell>
          <cell r="F1226" t="str">
            <v>EUR/pc</v>
          </cell>
          <cell r="G1226" t="str">
            <v>No</v>
          </cell>
          <cell r="H1226" t="str">
            <v>Prefab only, mat's by NEM</v>
          </cell>
          <cell r="K1226" t="str">
            <v>wrap arounds</v>
          </cell>
        </row>
        <row r="1227">
          <cell r="A1227" t="str">
            <v>8MTWRAISI 310</v>
          </cell>
          <cell r="B1227" t="str">
            <v>ABB MSET</v>
          </cell>
          <cell r="C1227" t="str">
            <v>8MTWRAISI 310ABB MSET</v>
          </cell>
          <cell r="D1227" t="str">
            <v>EUR</v>
          </cell>
          <cell r="E1227">
            <v>0.62</v>
          </cell>
          <cell r="F1227" t="str">
            <v>EUR/pc</v>
          </cell>
          <cell r="G1227" t="str">
            <v>No</v>
          </cell>
          <cell r="H1227" t="str">
            <v>Prefab only, mat's by NEM</v>
          </cell>
          <cell r="K1227" t="str">
            <v>wrap arounds</v>
          </cell>
        </row>
        <row r="1228">
          <cell r="A1228" t="str">
            <v>8MTWRAISI 310</v>
          </cell>
          <cell r="B1228" t="str">
            <v>VOGEL</v>
          </cell>
          <cell r="C1228" t="str">
            <v>8MTWRAISI 310VOGEL</v>
          </cell>
          <cell r="D1228" t="str">
            <v>EUR</v>
          </cell>
          <cell r="E1228">
            <v>1.25</v>
          </cell>
          <cell r="F1228" t="str">
            <v>EUR/pc</v>
          </cell>
          <cell r="G1228" t="str">
            <v>No</v>
          </cell>
          <cell r="H1228" t="str">
            <v>guestimate</v>
          </cell>
          <cell r="K1228" t="str">
            <v>wrap arounds</v>
          </cell>
        </row>
        <row r="1229">
          <cell r="A1229" t="str">
            <v>8MTWRAISI 409</v>
          </cell>
          <cell r="B1229" t="str">
            <v>ABB MSET</v>
          </cell>
          <cell r="C1229" t="str">
            <v>8MTWRAISI 409ABB MSET</v>
          </cell>
          <cell r="D1229" t="str">
            <v>EUR</v>
          </cell>
          <cell r="E1229">
            <v>0.62</v>
          </cell>
          <cell r="F1229" t="str">
            <v>EUR/pc</v>
          </cell>
          <cell r="G1229" t="str">
            <v>No</v>
          </cell>
          <cell r="H1229" t="str">
            <v>Prefab only, mat's by NEM</v>
          </cell>
          <cell r="K1229" t="str">
            <v>wrap arounds</v>
          </cell>
        </row>
        <row r="1230">
          <cell r="A1230" t="str">
            <v>8MTWRAISI 409</v>
          </cell>
          <cell r="B1230" t="str">
            <v>VOGEL</v>
          </cell>
          <cell r="C1230" t="str">
            <v>8MTWRAISI 409VOGEL</v>
          </cell>
          <cell r="D1230" t="str">
            <v>EUR</v>
          </cell>
          <cell r="E1230">
            <v>0.91</v>
          </cell>
          <cell r="F1230" t="str">
            <v>EUR/pc</v>
          </cell>
          <cell r="G1230" t="str">
            <v>No</v>
          </cell>
          <cell r="H1230" t="str">
            <v>included in fabr.rate harps</v>
          </cell>
          <cell r="K1230" t="str">
            <v>wrap arounds</v>
          </cell>
        </row>
        <row r="1231">
          <cell r="A1231" t="str">
            <v>8MTWR</v>
          </cell>
          <cell r="B1231" t="str">
            <v>BySubc</v>
          </cell>
          <cell r="C1231" t="str">
            <v>8MTWRBySubc</v>
          </cell>
          <cell r="D1231" t="str">
            <v>EUR</v>
          </cell>
          <cell r="E1231">
            <v>0</v>
          </cell>
          <cell r="F1231" t="str">
            <v>EUR/t</v>
          </cell>
          <cell r="G1231" t="str">
            <v>no</v>
          </cell>
          <cell r="H1231" t="str">
            <v>included in fabr.rate harps</v>
          </cell>
          <cell r="K1231" t="str">
            <v>mat's</v>
          </cell>
        </row>
        <row r="1232">
          <cell r="A1232" t="str">
            <v>8MTWRCS</v>
          </cell>
          <cell r="B1232" t="str">
            <v>ABB MSET</v>
          </cell>
          <cell r="C1232" t="str">
            <v>8MTWRCSABB MSET</v>
          </cell>
          <cell r="D1232" t="str">
            <v>EUR</v>
          </cell>
          <cell r="E1232">
            <v>0.52</v>
          </cell>
          <cell r="F1232" t="str">
            <v>EUR/pc</v>
          </cell>
          <cell r="G1232" t="str">
            <v>No</v>
          </cell>
          <cell r="H1232" t="str">
            <v>Prefab only, mat's by NEM</v>
          </cell>
          <cell r="K1232" t="str">
            <v>wrap arounds</v>
          </cell>
        </row>
        <row r="1233">
          <cell r="A1233" t="str">
            <v>8MTWRCS</v>
          </cell>
          <cell r="B1233" t="str">
            <v>VOGEL</v>
          </cell>
          <cell r="C1233" t="str">
            <v>8MTWRCSVOGEL</v>
          </cell>
          <cell r="D1233" t="str">
            <v>EUR</v>
          </cell>
          <cell r="E1233">
            <v>0.91</v>
          </cell>
          <cell r="F1233" t="str">
            <v>EUR/pc</v>
          </cell>
          <cell r="G1233" t="str">
            <v>No</v>
          </cell>
          <cell r="H1233" t="str">
            <v>Agreement 99/008</v>
          </cell>
          <cell r="K1233" t="str">
            <v>wrap arounds</v>
          </cell>
        </row>
        <row r="1234">
          <cell r="A1234" t="str">
            <v>8PICS</v>
          </cell>
          <cell r="B1234" t="str">
            <v>CIMTAS</v>
          </cell>
          <cell r="C1234" t="str">
            <v>8PICSCIMTAS</v>
          </cell>
          <cell r="D1234" t="str">
            <v>US$</v>
          </cell>
          <cell r="E1234">
            <v>940</v>
          </cell>
          <cell r="F1234" t="str">
            <v>US$/t</v>
          </cell>
          <cell r="G1234" t="str">
            <v>No</v>
          </cell>
          <cell r="H1234" t="str">
            <v>Agreement 99/008</v>
          </cell>
          <cell r="K1234" t="str">
            <v>piping</v>
          </cell>
        </row>
        <row r="1235">
          <cell r="A1235" t="str">
            <v>8PICS</v>
          </cell>
          <cell r="B1235" t="str">
            <v>Duro Dakov</v>
          </cell>
          <cell r="C1235" t="str">
            <v>8PICSDuro Dakov</v>
          </cell>
          <cell r="D1235" t="str">
            <v>EUR</v>
          </cell>
          <cell r="E1235">
            <v>1500</v>
          </cell>
          <cell r="F1235" t="str">
            <v>EUR/t</v>
          </cell>
          <cell r="G1235" t="str">
            <v>No</v>
          </cell>
          <cell r="H1235" t="str">
            <v>Quote 103056</v>
          </cell>
          <cell r="K1235" t="str">
            <v>piping</v>
          </cell>
        </row>
        <row r="1236">
          <cell r="A1236" t="str">
            <v>8PICS</v>
          </cell>
          <cell r="B1236" t="str">
            <v>IFAMESA</v>
          </cell>
          <cell r="C1236" t="str">
            <v>8PICSIFAMESA</v>
          </cell>
          <cell r="D1236" t="str">
            <v>US$</v>
          </cell>
          <cell r="E1236">
            <v>1060</v>
          </cell>
          <cell r="F1236" t="str">
            <v>US$/t</v>
          </cell>
          <cell r="G1236" t="str">
            <v>No</v>
          </cell>
          <cell r="H1236" t="str">
            <v>Agreement 00/002</v>
          </cell>
          <cell r="K1236" t="str">
            <v>piping</v>
          </cell>
        </row>
        <row r="1237">
          <cell r="A1237" t="str">
            <v>8PICS</v>
          </cell>
          <cell r="B1237" t="str">
            <v>NEMSCH</v>
          </cell>
          <cell r="C1237" t="str">
            <v>8PICSNEMSCH</v>
          </cell>
          <cell r="D1237" t="str">
            <v>EUR</v>
          </cell>
          <cell r="E1237">
            <v>1590</v>
          </cell>
          <cell r="F1237" t="str">
            <v>EUR/t</v>
          </cell>
          <cell r="G1237" t="str">
            <v>No</v>
          </cell>
          <cell r="H1237" t="str">
            <v>Frame agreement 2001/14</v>
          </cell>
          <cell r="K1237" t="str">
            <v>piping</v>
          </cell>
        </row>
        <row r="1238">
          <cell r="A1238" t="str">
            <v>8PICS</v>
          </cell>
          <cell r="B1238" t="str">
            <v>SUNGJIN</v>
          </cell>
          <cell r="C1238" t="str">
            <v>8PICSSUNGJIN</v>
          </cell>
          <cell r="D1238" t="str">
            <v>US$</v>
          </cell>
          <cell r="E1238">
            <v>1900</v>
          </cell>
          <cell r="F1238" t="str">
            <v>US$/t</v>
          </cell>
          <cell r="G1238" t="str">
            <v>yes</v>
          </cell>
          <cell r="H1238" t="str">
            <v>Frame agreement 2001/14</v>
          </cell>
          <cell r="K1238" t="str">
            <v>piping</v>
          </cell>
        </row>
        <row r="1239">
          <cell r="A1239" t="str">
            <v>8PICS</v>
          </cell>
          <cell r="B1239" t="str">
            <v>VULCAN</v>
          </cell>
          <cell r="C1239" t="str">
            <v>8PICSVULCAN</v>
          </cell>
          <cell r="D1239" t="str">
            <v>US$</v>
          </cell>
          <cell r="E1239">
            <v>940</v>
          </cell>
          <cell r="F1239" t="str">
            <v>US$/t</v>
          </cell>
          <cell r="G1239" t="str">
            <v>No</v>
          </cell>
          <cell r="H1239" t="str">
            <v xml:space="preserve">Agreement 98/002 rev.2 </v>
          </cell>
          <cell r="K1239" t="str">
            <v>piping</v>
          </cell>
        </row>
        <row r="1240">
          <cell r="A1240" t="str">
            <v>8PIP11</v>
          </cell>
          <cell r="B1240" t="str">
            <v>CIMTAS</v>
          </cell>
          <cell r="C1240" t="str">
            <v>8PIP11CIMTAS</v>
          </cell>
          <cell r="D1240" t="str">
            <v>US$</v>
          </cell>
          <cell r="E1240">
            <v>1040</v>
          </cell>
          <cell r="F1240" t="str">
            <v>US$/t</v>
          </cell>
          <cell r="G1240" t="str">
            <v>No</v>
          </cell>
          <cell r="H1240" t="str">
            <v>Agreement 99/008</v>
          </cell>
          <cell r="K1240" t="str">
            <v>piping</v>
          </cell>
        </row>
        <row r="1241">
          <cell r="A1241" t="str">
            <v>8PIP11</v>
          </cell>
          <cell r="B1241" t="str">
            <v>Duro Dakov</v>
          </cell>
          <cell r="C1241" t="str">
            <v>8PIP11Duro Dakov</v>
          </cell>
          <cell r="D1241" t="str">
            <v>EUR</v>
          </cell>
          <cell r="E1241">
            <v>1700</v>
          </cell>
          <cell r="F1241" t="str">
            <v>EUR/t</v>
          </cell>
          <cell r="G1241" t="str">
            <v>No</v>
          </cell>
          <cell r="H1241" t="str">
            <v>Quote 103056</v>
          </cell>
          <cell r="K1241" t="str">
            <v>piping</v>
          </cell>
        </row>
        <row r="1242">
          <cell r="A1242" t="str">
            <v>8PIP11</v>
          </cell>
          <cell r="B1242" t="str">
            <v>IFAMESA</v>
          </cell>
          <cell r="C1242" t="str">
            <v>8PIP11IFAMESA</v>
          </cell>
          <cell r="D1242" t="str">
            <v>US$</v>
          </cell>
          <cell r="E1242">
            <v>1450</v>
          </cell>
          <cell r="F1242" t="str">
            <v>US$/t</v>
          </cell>
          <cell r="G1242" t="str">
            <v>No</v>
          </cell>
          <cell r="H1242" t="str">
            <v>Agreement 00/002</v>
          </cell>
          <cell r="K1242" t="str">
            <v>piping</v>
          </cell>
        </row>
        <row r="1243">
          <cell r="A1243" t="str">
            <v>8PIP11</v>
          </cell>
          <cell r="B1243" t="str">
            <v>NEMSCH</v>
          </cell>
          <cell r="C1243" t="str">
            <v>8PIP11NEMSCH</v>
          </cell>
          <cell r="D1243" t="str">
            <v>EUR</v>
          </cell>
          <cell r="E1243">
            <v>1815</v>
          </cell>
          <cell r="F1243" t="str">
            <v>EUR/t</v>
          </cell>
          <cell r="G1243" t="str">
            <v>No</v>
          </cell>
          <cell r="H1243" t="str">
            <v>Frame agreement 2001/14</v>
          </cell>
          <cell r="K1243" t="str">
            <v>piping</v>
          </cell>
        </row>
        <row r="1244">
          <cell r="A1244" t="str">
            <v>8PIP11</v>
          </cell>
          <cell r="B1244" t="str">
            <v>SUNGJIN</v>
          </cell>
          <cell r="C1244" t="str">
            <v>8PIP11SUNGJIN</v>
          </cell>
          <cell r="D1244" t="str">
            <v>US$</v>
          </cell>
          <cell r="E1244">
            <v>2400</v>
          </cell>
          <cell r="F1244" t="str">
            <v>US$/t</v>
          </cell>
          <cell r="G1244" t="str">
            <v>yes</v>
          </cell>
          <cell r="H1244" t="str">
            <v>Frame agreement 2001/14</v>
          </cell>
          <cell r="K1244" t="str">
            <v>piping</v>
          </cell>
        </row>
        <row r="1245">
          <cell r="A1245" t="str">
            <v>8PIP11</v>
          </cell>
          <cell r="B1245" t="str">
            <v>VULCAN</v>
          </cell>
          <cell r="C1245" t="str">
            <v>8PIP11VULCAN</v>
          </cell>
          <cell r="D1245" t="str">
            <v>US$</v>
          </cell>
          <cell r="E1245">
            <v>1040</v>
          </cell>
          <cell r="F1245" t="str">
            <v>US$/t</v>
          </cell>
          <cell r="G1245" t="str">
            <v>No</v>
          </cell>
          <cell r="H1245" t="str">
            <v xml:space="preserve">Agreement 98/002 rev.2 </v>
          </cell>
          <cell r="K1245" t="str">
            <v>piping</v>
          </cell>
        </row>
        <row r="1246">
          <cell r="A1246" t="str">
            <v>8PIP22</v>
          </cell>
          <cell r="B1246" t="str">
            <v>CIMTAS</v>
          </cell>
          <cell r="C1246" t="str">
            <v>8PIP22CIMTAS</v>
          </cell>
          <cell r="D1246" t="str">
            <v>US$</v>
          </cell>
          <cell r="E1246">
            <v>1040</v>
          </cell>
          <cell r="F1246" t="str">
            <v>US$/t</v>
          </cell>
          <cell r="G1246" t="str">
            <v>No</v>
          </cell>
          <cell r="H1246" t="str">
            <v>Agreement 99/008</v>
          </cell>
          <cell r="K1246" t="str">
            <v>piping</v>
          </cell>
        </row>
        <row r="1247">
          <cell r="A1247" t="str">
            <v>8PIP22</v>
          </cell>
          <cell r="B1247" t="str">
            <v>Duro Dakov</v>
          </cell>
          <cell r="C1247" t="str">
            <v>8PIP22Duro Dakov</v>
          </cell>
          <cell r="D1247" t="str">
            <v>EUR</v>
          </cell>
          <cell r="E1247">
            <v>1700</v>
          </cell>
          <cell r="F1247" t="str">
            <v>EUR/t</v>
          </cell>
          <cell r="G1247" t="str">
            <v>No</v>
          </cell>
          <cell r="H1247" t="str">
            <v>Quote 103056</v>
          </cell>
          <cell r="K1247" t="str">
            <v>piping</v>
          </cell>
        </row>
        <row r="1248">
          <cell r="A1248" t="str">
            <v>8PIP22</v>
          </cell>
          <cell r="B1248" t="str">
            <v>IFAMESA</v>
          </cell>
          <cell r="C1248" t="str">
            <v>8PIP22IFAMESA</v>
          </cell>
          <cell r="D1248" t="str">
            <v>US$</v>
          </cell>
          <cell r="E1248">
            <v>1450</v>
          </cell>
          <cell r="F1248" t="str">
            <v>US$/t</v>
          </cell>
          <cell r="G1248" t="str">
            <v>No</v>
          </cell>
          <cell r="H1248" t="str">
            <v>Agreement 00/002</v>
          </cell>
          <cell r="K1248" t="str">
            <v>piping</v>
          </cell>
        </row>
        <row r="1249">
          <cell r="A1249" t="str">
            <v>8PIP22</v>
          </cell>
          <cell r="B1249" t="str">
            <v>NEMSCH</v>
          </cell>
          <cell r="C1249" t="str">
            <v>8PIP22NEMSCH</v>
          </cell>
          <cell r="D1249" t="str">
            <v>EUR</v>
          </cell>
          <cell r="E1249">
            <v>2042</v>
          </cell>
          <cell r="F1249" t="str">
            <v>EUR/t</v>
          </cell>
          <cell r="G1249" t="str">
            <v>No</v>
          </cell>
          <cell r="H1249" t="str">
            <v xml:space="preserve">Agreement 98/002 rev.2 </v>
          </cell>
          <cell r="K1249" t="str">
            <v>piping</v>
          </cell>
        </row>
        <row r="1250">
          <cell r="A1250" t="str">
            <v>8PIP22</v>
          </cell>
          <cell r="B1250" t="str">
            <v>SUNGJIN</v>
          </cell>
          <cell r="C1250" t="str">
            <v>8PIP22SUNGJIN</v>
          </cell>
          <cell r="D1250" t="str">
            <v>US$</v>
          </cell>
          <cell r="E1250">
            <v>2940</v>
          </cell>
          <cell r="F1250" t="str">
            <v>US$/t</v>
          </cell>
          <cell r="G1250" t="str">
            <v>yes</v>
          </cell>
          <cell r="H1250" t="str">
            <v>Frame agreement 2001/14</v>
          </cell>
          <cell r="K1250" t="str">
            <v>piping</v>
          </cell>
        </row>
        <row r="1251">
          <cell r="A1251" t="str">
            <v>8PIP22</v>
          </cell>
          <cell r="B1251" t="str">
            <v>VULCAN</v>
          </cell>
          <cell r="C1251" t="str">
            <v>8PIP22VULCAN</v>
          </cell>
          <cell r="D1251" t="str">
            <v>US$</v>
          </cell>
          <cell r="E1251">
            <v>1040</v>
          </cell>
          <cell r="F1251" t="str">
            <v>US$/t</v>
          </cell>
          <cell r="G1251" t="str">
            <v>No</v>
          </cell>
          <cell r="H1251" t="str">
            <v xml:space="preserve">Agreement 98/002 rev.2 </v>
          </cell>
          <cell r="K1251" t="str">
            <v>piping</v>
          </cell>
        </row>
        <row r="1252">
          <cell r="A1252" t="str">
            <v>8PIP316</v>
          </cell>
          <cell r="B1252" t="str">
            <v>Duro Dakov</v>
          </cell>
          <cell r="C1252" t="str">
            <v>8PIP316Duro Dakov</v>
          </cell>
          <cell r="D1252" t="str">
            <v>EUR</v>
          </cell>
          <cell r="E1252">
            <v>2500</v>
          </cell>
          <cell r="F1252" t="str">
            <v>EUR/t</v>
          </cell>
          <cell r="G1252" t="str">
            <v>No</v>
          </cell>
          <cell r="H1252" t="str">
            <v>guestimate</v>
          </cell>
          <cell r="K1252" t="str">
            <v>piping</v>
          </cell>
        </row>
        <row r="1253">
          <cell r="A1253" t="str">
            <v>8PIP91</v>
          </cell>
          <cell r="B1253" t="str">
            <v>CIMTAS</v>
          </cell>
          <cell r="C1253" t="str">
            <v>8PIP91CIMTAS</v>
          </cell>
          <cell r="D1253" t="str">
            <v>US$</v>
          </cell>
          <cell r="E1253">
            <v>2540</v>
          </cell>
          <cell r="F1253" t="str">
            <v>US$/t</v>
          </cell>
          <cell r="G1253" t="str">
            <v>No</v>
          </cell>
          <cell r="H1253" t="str">
            <v>Agreement 99/008</v>
          </cell>
          <cell r="K1253" t="str">
            <v>piping</v>
          </cell>
        </row>
        <row r="1254">
          <cell r="A1254" t="str">
            <v>8PIP91</v>
          </cell>
          <cell r="B1254" t="str">
            <v>Duro Dakov</v>
          </cell>
          <cell r="C1254" t="str">
            <v>8PIP91Duro Dakov</v>
          </cell>
          <cell r="D1254" t="str">
            <v>EUR</v>
          </cell>
          <cell r="E1254">
            <v>2150</v>
          </cell>
          <cell r="F1254" t="str">
            <v>EUR/t</v>
          </cell>
          <cell r="G1254" t="str">
            <v>No</v>
          </cell>
          <cell r="H1254" t="str">
            <v>Quote 103056</v>
          </cell>
          <cell r="K1254" t="str">
            <v>piping</v>
          </cell>
        </row>
        <row r="1255">
          <cell r="A1255" t="str">
            <v>8PIP91</v>
          </cell>
          <cell r="B1255" t="str">
            <v>IFAMESA</v>
          </cell>
          <cell r="C1255" t="str">
            <v>8PIP91IFAMESA</v>
          </cell>
          <cell r="D1255" t="str">
            <v>US$</v>
          </cell>
          <cell r="E1255">
            <v>2840</v>
          </cell>
          <cell r="F1255" t="str">
            <v>US$/t</v>
          </cell>
          <cell r="G1255" t="str">
            <v>No</v>
          </cell>
          <cell r="H1255" t="str">
            <v>Agreement 00/002</v>
          </cell>
          <cell r="K1255" t="str">
            <v>piping</v>
          </cell>
        </row>
        <row r="1256">
          <cell r="A1256" t="str">
            <v>8PIP91</v>
          </cell>
          <cell r="B1256" t="str">
            <v>NEMSCH</v>
          </cell>
          <cell r="C1256" t="str">
            <v>8PIP91NEMSCH</v>
          </cell>
          <cell r="D1256" t="str">
            <v>EUR</v>
          </cell>
          <cell r="E1256">
            <v>5445</v>
          </cell>
          <cell r="F1256" t="str">
            <v>EUR/t</v>
          </cell>
          <cell r="G1256" t="str">
            <v>No</v>
          </cell>
          <cell r="H1256" t="str">
            <v xml:space="preserve">Agreement 98/002 rev.2 </v>
          </cell>
          <cell r="K1256" t="str">
            <v>piping</v>
          </cell>
        </row>
        <row r="1257">
          <cell r="A1257" t="str">
            <v>8PIP91</v>
          </cell>
          <cell r="B1257" t="str">
            <v>SUNGJIN</v>
          </cell>
          <cell r="C1257" t="str">
            <v>8PIP91SUNGJIN</v>
          </cell>
          <cell r="D1257" t="str">
            <v>US$</v>
          </cell>
          <cell r="E1257">
            <v>5485</v>
          </cell>
          <cell r="F1257" t="str">
            <v>US$/t</v>
          </cell>
          <cell r="G1257" t="str">
            <v>yes</v>
          </cell>
          <cell r="H1257" t="str">
            <v>Frame agreement 2001/14</v>
          </cell>
          <cell r="K1257" t="str">
            <v>piping</v>
          </cell>
        </row>
        <row r="1258">
          <cell r="A1258" t="str">
            <v>8PIP91</v>
          </cell>
          <cell r="B1258" t="str">
            <v>VULCAN</v>
          </cell>
          <cell r="C1258" t="str">
            <v>8PIP91VULCAN</v>
          </cell>
          <cell r="D1258" t="str">
            <v>US$</v>
          </cell>
          <cell r="E1258">
            <v>2290</v>
          </cell>
          <cell r="F1258" t="str">
            <v>US$/t</v>
          </cell>
          <cell r="G1258" t="str">
            <v>No</v>
          </cell>
          <cell r="H1258" t="str">
            <v xml:space="preserve">Agreement 98/002 rev.2 </v>
          </cell>
          <cell r="K1258" t="str">
            <v>piping</v>
          </cell>
        </row>
        <row r="1259">
          <cell r="A1259" t="str">
            <v>8PWS235</v>
          </cell>
          <cell r="B1259" t="str">
            <v>BRAND</v>
          </cell>
          <cell r="C1259" t="str">
            <v>8PWS235BRAND</v>
          </cell>
          <cell r="D1259" t="str">
            <v>EUR</v>
          </cell>
          <cell r="E1259">
            <v>1935</v>
          </cell>
          <cell r="F1259" t="str">
            <v>EUR/t</v>
          </cell>
          <cell r="G1259" t="str">
            <v>Yes</v>
          </cell>
          <cell r="H1259" t="str">
            <v>steel dm 2832/t * .85+0.15*dm 128/15*1000 + FOB 50 eu/t</v>
          </cell>
          <cell r="K1259" t="str">
            <v>platforms</v>
          </cell>
        </row>
        <row r="1260">
          <cell r="A1260" t="str">
            <v>8PWS235</v>
          </cell>
          <cell r="B1260" t="str">
            <v>BRANDR</v>
          </cell>
          <cell r="C1260" t="str">
            <v>8PWS235BRANDR</v>
          </cell>
          <cell r="D1260" t="str">
            <v>EUR</v>
          </cell>
          <cell r="E1260">
            <v>1935</v>
          </cell>
          <cell r="F1260" t="str">
            <v>EUR/t</v>
          </cell>
          <cell r="G1260" t="str">
            <v>Yes</v>
          </cell>
          <cell r="H1260" t="str">
            <v>steel dm 2832/t * .85+0.15*dm 128/15*1000 + FOB 50 eu/t</v>
          </cell>
          <cell r="K1260" t="str">
            <v>platforms</v>
          </cell>
        </row>
        <row r="1261">
          <cell r="A1261" t="str">
            <v>8PWS235</v>
          </cell>
          <cell r="B1261" t="str">
            <v>FERMSTAL</v>
          </cell>
          <cell r="C1261" t="str">
            <v>8PWS235FERMSTAL</v>
          </cell>
          <cell r="D1261" t="str">
            <v>EUR</v>
          </cell>
          <cell r="E1261">
            <v>1429</v>
          </cell>
          <cell r="F1261" t="str">
            <v>EUR/t</v>
          </cell>
          <cell r="G1261" t="str">
            <v>Yes</v>
          </cell>
          <cell r="H1261" t="str">
            <v>agreem. 09/003 r.1,+ seaw.packing, del. FCA</v>
          </cell>
          <cell r="K1261" t="str">
            <v>steelstr</v>
          </cell>
        </row>
        <row r="1262">
          <cell r="A1262" t="str">
            <v>8PWS235</v>
          </cell>
          <cell r="B1262" t="str">
            <v>HUTNI</v>
          </cell>
          <cell r="C1262" t="str">
            <v>8PWS235HUTNI</v>
          </cell>
          <cell r="D1262" t="str">
            <v>EUR</v>
          </cell>
          <cell r="E1262">
            <v>1585</v>
          </cell>
          <cell r="F1262" t="str">
            <v>EUR/t</v>
          </cell>
          <cell r="G1262" t="str">
            <v>Yes</v>
          </cell>
          <cell r="H1262" t="str">
            <v>handrails etc 1655/t *.15 + .85*1450 +100 trsp</v>
          </cell>
          <cell r="K1262" t="str">
            <v>baffles</v>
          </cell>
        </row>
        <row r="1263">
          <cell r="A1263" t="str">
            <v>8PWS235</v>
          </cell>
          <cell r="B1263" t="str">
            <v>KESZ</v>
          </cell>
          <cell r="C1263" t="str">
            <v>8PWS235KESZ</v>
          </cell>
          <cell r="D1263" t="str">
            <v>EUR</v>
          </cell>
          <cell r="E1263">
            <v>1486</v>
          </cell>
          <cell r="F1263" t="str">
            <v>EUR/t</v>
          </cell>
          <cell r="G1263" t="str">
            <v>Yes</v>
          </cell>
          <cell r="H1263" t="str">
            <v>.85*1360+.15*2200</v>
          </cell>
          <cell r="K1263" t="str">
            <v>steelstr</v>
          </cell>
        </row>
        <row r="1264">
          <cell r="A1264" t="str">
            <v>8PWS235</v>
          </cell>
          <cell r="B1264" t="str">
            <v>WI-USA</v>
          </cell>
          <cell r="C1264" t="str">
            <v>8PWS235WI-USA</v>
          </cell>
          <cell r="D1264" t="str">
            <v>US$</v>
          </cell>
          <cell r="E1264">
            <v>2950</v>
          </cell>
          <cell r="F1264" t="str">
            <v>US$/t</v>
          </cell>
          <cell r="G1264" t="str">
            <v>Yes</v>
          </cell>
          <cell r="H1264" t="str">
            <v>ESTIMATE</v>
          </cell>
          <cell r="K1264" t="str">
            <v>steelstr</v>
          </cell>
        </row>
        <row r="1265">
          <cell r="A1265" t="str">
            <v>8SCGS235</v>
          </cell>
          <cell r="B1265" t="str">
            <v>BRAND</v>
          </cell>
          <cell r="C1265" t="str">
            <v>8SCGS235BRAND</v>
          </cell>
          <cell r="D1265" t="str">
            <v>EUR</v>
          </cell>
          <cell r="E1265">
            <v>4114.63</v>
          </cell>
          <cell r="F1265" t="str">
            <v>EUR/t</v>
          </cell>
          <cell r="G1265" t="str">
            <v>Yes</v>
          </cell>
          <cell r="H1265" t="str">
            <v>DEM 318/m/40 kg + euro 50/t FOB</v>
          </cell>
          <cell r="K1265" t="str">
            <v>ladder</v>
          </cell>
        </row>
        <row r="1266">
          <cell r="A1266" t="str">
            <v>8SCGS235</v>
          </cell>
          <cell r="B1266" t="str">
            <v>FERMSTAL</v>
          </cell>
          <cell r="C1266" t="str">
            <v>8SCGS235FERMSTAL</v>
          </cell>
          <cell r="D1266" t="str">
            <v>EUR</v>
          </cell>
          <cell r="E1266">
            <v>1567</v>
          </cell>
          <cell r="F1266" t="str">
            <v>EUR/t</v>
          </cell>
          <cell r="G1266" t="str">
            <v>Yes</v>
          </cell>
          <cell r="H1266" t="str">
            <v>agreem. 09/003 r.1,+ seaw.packing, del. FCA</v>
          </cell>
          <cell r="K1266" t="str">
            <v>steelstr</v>
          </cell>
        </row>
        <row r="1267">
          <cell r="A1267" t="str">
            <v>8SCGS235</v>
          </cell>
          <cell r="B1267" t="str">
            <v>HUTNI</v>
          </cell>
          <cell r="C1267" t="str">
            <v>8SCGS235HUTNI</v>
          </cell>
          <cell r="D1267" t="str">
            <v>EUR</v>
          </cell>
          <cell r="E1267">
            <v>1705</v>
          </cell>
          <cell r="F1267" t="str">
            <v>EUR/t</v>
          </cell>
          <cell r="G1267" t="str">
            <v>Yes</v>
          </cell>
          <cell r="H1267" t="str">
            <v>Cageladder = rate handrails etc 1655 + 50 trp</v>
          </cell>
          <cell r="K1267" t="str">
            <v>baffles</v>
          </cell>
        </row>
        <row r="1268">
          <cell r="A1268" t="str">
            <v>8SCGS235</v>
          </cell>
          <cell r="B1268" t="str">
            <v>KESZ</v>
          </cell>
          <cell r="C1268" t="str">
            <v>8SCGS235KESZ</v>
          </cell>
          <cell r="D1268" t="str">
            <v>EUR</v>
          </cell>
          <cell r="E1268">
            <v>2165</v>
          </cell>
          <cell r="F1268" t="str">
            <v>EUR/t</v>
          </cell>
          <cell r="G1268" t="str">
            <v>Yes</v>
          </cell>
          <cell r="H1268" t="str">
            <v>Cageladder, HANDRAIL ETC.</v>
          </cell>
          <cell r="K1268" t="str">
            <v>steelstr</v>
          </cell>
        </row>
        <row r="1269">
          <cell r="A1269" t="str">
            <v>8SCGS235</v>
          </cell>
          <cell r="B1269" t="str">
            <v>VIPCO</v>
          </cell>
          <cell r="C1269" t="str">
            <v>8SCGS235VIPCO</v>
          </cell>
          <cell r="D1269" t="str">
            <v>US$</v>
          </cell>
          <cell r="E1269">
            <v>1325</v>
          </cell>
          <cell r="F1269" t="str">
            <v>US$/ton</v>
          </cell>
          <cell r="G1269" t="str">
            <v>Yes</v>
          </cell>
          <cell r="H1269" t="str">
            <v>ESTIMATE</v>
          </cell>
          <cell r="K1269" t="str">
            <v>steelstr</v>
          </cell>
        </row>
        <row r="1270">
          <cell r="A1270" t="str">
            <v>8SCGS235</v>
          </cell>
          <cell r="B1270" t="str">
            <v>WI-USA</v>
          </cell>
          <cell r="C1270" t="str">
            <v>8SCGS235WI-USA</v>
          </cell>
          <cell r="D1270" t="str">
            <v>US$</v>
          </cell>
          <cell r="E1270">
            <v>2950</v>
          </cell>
          <cell r="F1270" t="str">
            <v>US$/t</v>
          </cell>
          <cell r="G1270" t="str">
            <v>Yes</v>
          </cell>
          <cell r="H1270" t="str">
            <v>ESTIMATE</v>
          </cell>
          <cell r="K1270" t="str">
            <v>steelstr</v>
          </cell>
        </row>
        <row r="1271">
          <cell r="A1271" t="str">
            <v>8SMARTTRSP</v>
          </cell>
          <cell r="B1271" t="str">
            <v>GANZ</v>
          </cell>
          <cell r="C1271" t="str">
            <v>8SMARTTRSPGANZ</v>
          </cell>
          <cell r="D1271" t="str">
            <v>EUR</v>
          </cell>
          <cell r="E1271">
            <v>2250</v>
          </cell>
          <cell r="F1271" t="str">
            <v>EUR/ton</v>
          </cell>
          <cell r="G1271" t="str">
            <v>Yes</v>
          </cell>
          <cell r="H1271" t="str">
            <v>Fabr. 1450/t rest = mat, NO T91 !!</v>
          </cell>
          <cell r="K1271" t="str">
            <v>bundle</v>
          </cell>
        </row>
        <row r="1272">
          <cell r="A1272" t="str">
            <v>8STES235</v>
          </cell>
          <cell r="B1272" t="str">
            <v>FERMSTAL</v>
          </cell>
          <cell r="C1272" t="str">
            <v>8STES235FERMSTAL</v>
          </cell>
          <cell r="D1272" t="str">
            <v>EUR</v>
          </cell>
          <cell r="E1272">
            <v>1567</v>
          </cell>
          <cell r="F1272" t="str">
            <v>EUR/t</v>
          </cell>
          <cell r="G1272" t="str">
            <v>Yes</v>
          </cell>
          <cell r="H1272" t="str">
            <v>agreem. 09/003 r.1,+ seaw.packing, del. FCA</v>
          </cell>
          <cell r="K1272" t="str">
            <v>steelstr</v>
          </cell>
        </row>
        <row r="1273">
          <cell r="A1273" t="str">
            <v>8STES235</v>
          </cell>
          <cell r="B1273" t="str">
            <v>HUTNI</v>
          </cell>
          <cell r="C1273" t="str">
            <v>8STES235HUTNI</v>
          </cell>
          <cell r="D1273" t="str">
            <v>EUR</v>
          </cell>
          <cell r="E1273">
            <v>61</v>
          </cell>
          <cell r="F1273" t="str">
            <v>EUR/m2</v>
          </cell>
          <cell r="G1273" t="str">
            <v>Yes</v>
          </cell>
          <cell r="H1273" t="str">
            <v>stairstep 61 eur/m2 30*30*3 h=40</v>
          </cell>
          <cell r="K1273" t="str">
            <v>baffles</v>
          </cell>
        </row>
        <row r="1274">
          <cell r="A1274" t="str">
            <v>8STES235</v>
          </cell>
          <cell r="B1274" t="str">
            <v>HUTNI</v>
          </cell>
          <cell r="C1274" t="str">
            <v>8STES235HUTNI</v>
          </cell>
          <cell r="D1274" t="str">
            <v>EUR</v>
          </cell>
          <cell r="E1274">
            <v>1850</v>
          </cell>
          <cell r="F1274" t="str">
            <v>EUR/t</v>
          </cell>
          <cell r="G1274" t="str">
            <v>Yes</v>
          </cell>
          <cell r="H1274" t="str">
            <v xml:space="preserve">61/m2 = .. kg/m2 </v>
          </cell>
          <cell r="K1274" t="str">
            <v>baffles</v>
          </cell>
        </row>
        <row r="1275">
          <cell r="A1275" t="str">
            <v>8STES235</v>
          </cell>
          <cell r="B1275" t="str">
            <v>VIPCO</v>
          </cell>
          <cell r="C1275" t="str">
            <v>8STES235VIPCO</v>
          </cell>
          <cell r="D1275" t="str">
            <v>US$</v>
          </cell>
          <cell r="E1275">
            <v>2190</v>
          </cell>
          <cell r="F1275" t="str">
            <v>US$/ton</v>
          </cell>
          <cell r="G1275" t="str">
            <v>Yes</v>
          </cell>
          <cell r="H1275" t="str">
            <v>min. 10 ton/shipladder</v>
          </cell>
          <cell r="K1275" t="str">
            <v>steelstr</v>
          </cell>
        </row>
        <row r="1276">
          <cell r="A1276" t="str">
            <v>8STMS235</v>
          </cell>
          <cell r="B1276" t="str">
            <v>ABB MSET</v>
          </cell>
          <cell r="C1276" t="str">
            <v>8STMS235ABB MSET</v>
          </cell>
          <cell r="D1276" t="str">
            <v>EUR</v>
          </cell>
          <cell r="E1276">
            <v>1000</v>
          </cell>
          <cell r="F1276" t="str">
            <v>EUR/t</v>
          </cell>
          <cell r="G1276" t="str">
            <v>Yes</v>
          </cell>
          <cell r="H1276" t="str">
            <v>min. 10 ton/shipladder</v>
          </cell>
          <cell r="K1276" t="str">
            <v>steelstr</v>
          </cell>
        </row>
        <row r="1277">
          <cell r="A1277" t="str">
            <v>8STMS235</v>
          </cell>
          <cell r="B1277" t="str">
            <v>BRAND</v>
          </cell>
          <cell r="C1277" t="str">
            <v>8STMS235BRAND</v>
          </cell>
          <cell r="D1277" t="str">
            <v>EUR</v>
          </cell>
          <cell r="E1277">
            <v>1497.93</v>
          </cell>
          <cell r="F1277" t="str">
            <v>EUR/t</v>
          </cell>
          <cell r="G1277" t="str">
            <v>Yes</v>
          </cell>
          <cell r="H1277" t="str">
            <v>DEM 2832/t + Euro 50/t FOB</v>
          </cell>
          <cell r="K1277" t="str">
            <v>steelstr</v>
          </cell>
        </row>
        <row r="1278">
          <cell r="A1278" t="str">
            <v>8STMS235</v>
          </cell>
          <cell r="B1278" t="str">
            <v>BRAND</v>
          </cell>
          <cell r="C1278" t="str">
            <v>8STMS235BRAND</v>
          </cell>
          <cell r="D1278" t="str">
            <v>EUR</v>
          </cell>
          <cell r="E1278">
            <v>1050</v>
          </cell>
          <cell r="F1278" t="str">
            <v>EUR/t</v>
          </cell>
          <cell r="G1278" t="str">
            <v>Yes</v>
          </cell>
          <cell r="H1278" t="str">
            <v>1000 for mat'l &amp; fabr + 50 trsp FOB</v>
          </cell>
          <cell r="K1278" t="str">
            <v>shipladder</v>
          </cell>
        </row>
        <row r="1279">
          <cell r="A1279" t="str">
            <v>8STMS235</v>
          </cell>
          <cell r="B1279" t="str">
            <v>BRANDR</v>
          </cell>
          <cell r="C1279" t="str">
            <v>8STMS235BRANDR</v>
          </cell>
          <cell r="D1279" t="str">
            <v>EUR</v>
          </cell>
          <cell r="E1279">
            <v>1050</v>
          </cell>
          <cell r="F1279" t="str">
            <v>EUR/t</v>
          </cell>
          <cell r="G1279" t="str">
            <v>Yes</v>
          </cell>
          <cell r="H1279" t="str">
            <v>1000 for mat'l &amp; fabr + 50 trsp FOB</v>
          </cell>
          <cell r="K1279" t="str">
            <v>shipladder</v>
          </cell>
        </row>
        <row r="1280">
          <cell r="A1280" t="str">
            <v>8STMS235</v>
          </cell>
          <cell r="B1280" t="str">
            <v>CBC BRA</v>
          </cell>
          <cell r="C1280" t="str">
            <v>8STMS235CBC BRA</v>
          </cell>
          <cell r="D1280" t="str">
            <v>US$</v>
          </cell>
          <cell r="E1280">
            <v>1488</v>
          </cell>
          <cell r="F1280" t="str">
            <v>US$/t</v>
          </cell>
          <cell r="G1280" t="str">
            <v>Yes</v>
          </cell>
          <cell r="H1280" t="str">
            <v>acc.PO RIO NOGALIS  shipping ladders</v>
          </cell>
          <cell r="K1280" t="str">
            <v>steelstr</v>
          </cell>
        </row>
        <row r="1281">
          <cell r="A1281" t="str">
            <v>8STMS235</v>
          </cell>
          <cell r="B1281" t="str">
            <v>DB INDIA</v>
          </cell>
          <cell r="C1281" t="str">
            <v>8STMS235DB INDIA</v>
          </cell>
          <cell r="D1281" t="str">
            <v>US$</v>
          </cell>
          <cell r="E1281">
            <v>856.8</v>
          </cell>
          <cell r="F1281" t="str">
            <v>US$/t</v>
          </cell>
          <cell r="G1281" t="str">
            <v>Yes</v>
          </cell>
          <cell r="H1281" t="str">
            <v>agreem. 09/003 r.1,+ seaw.packing, del. FCA</v>
          </cell>
          <cell r="K1281" t="str">
            <v>steelstr</v>
          </cell>
        </row>
        <row r="1282">
          <cell r="A1282" t="str">
            <v>8STMS235</v>
          </cell>
          <cell r="B1282" t="str">
            <v>FERMSTAL</v>
          </cell>
          <cell r="C1282" t="str">
            <v>8STMS235FERMSTAL</v>
          </cell>
          <cell r="D1282" t="str">
            <v>EUR</v>
          </cell>
          <cell r="E1282">
            <v>1174</v>
          </cell>
          <cell r="F1282" t="str">
            <v>EUR/t</v>
          </cell>
          <cell r="G1282" t="str">
            <v>Yes</v>
          </cell>
          <cell r="H1282" t="str">
            <v>agreem. 09/003 r.1,+ seaw.packing, del. FCA</v>
          </cell>
          <cell r="K1282" t="str">
            <v>steelstr</v>
          </cell>
        </row>
        <row r="1283">
          <cell r="A1283" t="str">
            <v>8STMS235</v>
          </cell>
          <cell r="B1283" t="str">
            <v>HUTNI</v>
          </cell>
          <cell r="C1283" t="str">
            <v>8STMS235HUTNI</v>
          </cell>
          <cell r="D1283" t="str">
            <v>EUR</v>
          </cell>
          <cell r="E1283">
            <v>1025</v>
          </cell>
          <cell r="F1283" t="str">
            <v>EUR/t</v>
          </cell>
          <cell r="G1283" t="str">
            <v>Yes</v>
          </cell>
          <cell r="H1283" t="str">
            <v>main steel 975/t  + 50 packing</v>
          </cell>
          <cell r="K1283" t="str">
            <v>baffles</v>
          </cell>
        </row>
        <row r="1284">
          <cell r="A1284" t="str">
            <v>8STMS235</v>
          </cell>
          <cell r="B1284" t="str">
            <v>KESZ</v>
          </cell>
          <cell r="C1284" t="str">
            <v>8STMS235KESZ</v>
          </cell>
          <cell r="D1284" t="str">
            <v>EUR</v>
          </cell>
          <cell r="E1284">
            <v>1145</v>
          </cell>
          <cell r="F1284" t="str">
            <v>EUR/t</v>
          </cell>
          <cell r="G1284" t="str">
            <v>Yes</v>
          </cell>
          <cell r="H1284" t="str">
            <v>mainsteel rate &lt;300 mm 1123.2 + 20 trsp</v>
          </cell>
          <cell r="K1284" t="str">
            <v>steelstr</v>
          </cell>
        </row>
        <row r="1285">
          <cell r="A1285" t="str">
            <v>8STMS235</v>
          </cell>
          <cell r="B1285" t="str">
            <v>KOREA17</v>
          </cell>
          <cell r="C1285" t="str">
            <v>8STMS235KOREA17</v>
          </cell>
          <cell r="D1285" t="str">
            <v>US$</v>
          </cell>
          <cell r="E1285">
            <v>1700</v>
          </cell>
          <cell r="F1285" t="str">
            <v>US$/t</v>
          </cell>
          <cell r="G1285" t="str">
            <v>Yes</v>
          </cell>
          <cell r="H1285" t="str">
            <v>same as BUNDLE FABR.</v>
          </cell>
          <cell r="K1285" t="str">
            <v>bundle</v>
          </cell>
        </row>
        <row r="1286">
          <cell r="A1286" t="str">
            <v>8STMS235</v>
          </cell>
          <cell r="B1286" t="str">
            <v>KOREA18</v>
          </cell>
          <cell r="C1286" t="str">
            <v>8STMS235KOREA18</v>
          </cell>
          <cell r="D1286" t="str">
            <v>US$</v>
          </cell>
          <cell r="E1286">
            <v>1800</v>
          </cell>
          <cell r="F1286" t="str">
            <v>US$/t</v>
          </cell>
          <cell r="G1286" t="str">
            <v>Yes</v>
          </cell>
          <cell r="H1286" t="str">
            <v>same as BUNDLE FABR.</v>
          </cell>
          <cell r="K1286" t="str">
            <v>steelstr</v>
          </cell>
        </row>
        <row r="1287">
          <cell r="A1287" t="str">
            <v>8STMS235</v>
          </cell>
          <cell r="B1287" t="str">
            <v>Korea19</v>
          </cell>
          <cell r="C1287" t="str">
            <v>8STMS235Korea19</v>
          </cell>
          <cell r="D1287" t="str">
            <v>US$</v>
          </cell>
          <cell r="E1287">
            <v>1900</v>
          </cell>
          <cell r="F1287" t="str">
            <v>US$/t</v>
          </cell>
          <cell r="G1287" t="str">
            <v>Yes</v>
          </cell>
          <cell r="H1287" t="str">
            <v>same as BUNDLE FABR.</v>
          </cell>
          <cell r="K1287" t="str">
            <v>steelstr</v>
          </cell>
        </row>
        <row r="1288">
          <cell r="A1288" t="str">
            <v>8STMS235</v>
          </cell>
          <cell r="B1288" t="str">
            <v>Korea20</v>
          </cell>
          <cell r="C1288" t="str">
            <v>8STMS235Korea20</v>
          </cell>
          <cell r="D1288" t="str">
            <v>US$</v>
          </cell>
          <cell r="E1288">
            <v>2000</v>
          </cell>
          <cell r="F1288" t="str">
            <v>US$/t</v>
          </cell>
          <cell r="G1288" t="str">
            <v>Yes</v>
          </cell>
          <cell r="H1288" t="str">
            <v>same as BUNDLE FABR.</v>
          </cell>
          <cell r="K1288" t="str">
            <v>steelstr</v>
          </cell>
        </row>
        <row r="1289">
          <cell r="A1289" t="str">
            <v>8STMS235</v>
          </cell>
          <cell r="B1289" t="str">
            <v>Korea21</v>
          </cell>
          <cell r="C1289" t="str">
            <v>8STMS235Korea21</v>
          </cell>
          <cell r="D1289" t="str">
            <v>US$</v>
          </cell>
          <cell r="E1289">
            <v>2100</v>
          </cell>
          <cell r="F1289" t="str">
            <v>US$/t</v>
          </cell>
          <cell r="G1289" t="str">
            <v>Yes</v>
          </cell>
          <cell r="H1289" t="str">
            <v>same as BUNDLE FABR.</v>
          </cell>
          <cell r="K1289" t="str">
            <v>steelstr</v>
          </cell>
        </row>
        <row r="1290">
          <cell r="A1290" t="str">
            <v>8STMS235</v>
          </cell>
          <cell r="B1290" t="str">
            <v>Korea22</v>
          </cell>
          <cell r="C1290" t="str">
            <v>8STMS235Korea22</v>
          </cell>
          <cell r="D1290" t="str">
            <v>US$</v>
          </cell>
          <cell r="E1290">
            <v>2200</v>
          </cell>
          <cell r="F1290" t="str">
            <v>US$/t</v>
          </cell>
          <cell r="G1290" t="str">
            <v>Yes</v>
          </cell>
          <cell r="H1290" t="str">
            <v>same as BUNDLE FABR.</v>
          </cell>
          <cell r="K1290" t="str">
            <v>steelstr</v>
          </cell>
        </row>
        <row r="1291">
          <cell r="A1291" t="str">
            <v>8STMS235</v>
          </cell>
          <cell r="B1291" t="str">
            <v>SUNGJIN</v>
          </cell>
          <cell r="C1291" t="str">
            <v>8STMS235SUNGJIN</v>
          </cell>
          <cell r="D1291" t="str">
            <v>US$</v>
          </cell>
          <cell r="E1291">
            <v>1715</v>
          </cell>
          <cell r="F1291" t="str">
            <v>US$/t</v>
          </cell>
          <cell r="G1291" t="str">
            <v>Yes</v>
          </cell>
          <cell r="H1291" t="str">
            <v>same as BUNDLE FABR.</v>
          </cell>
          <cell r="K1291" t="str">
            <v>steelstr</v>
          </cell>
        </row>
        <row r="1292">
          <cell r="A1292" t="str">
            <v>8STMS235</v>
          </cell>
          <cell r="B1292" t="str">
            <v>WI-USA</v>
          </cell>
          <cell r="C1292" t="str">
            <v>8STMS235WI-USA</v>
          </cell>
          <cell r="D1292" t="str">
            <v>US$</v>
          </cell>
          <cell r="E1292">
            <v>1250</v>
          </cell>
          <cell r="F1292" t="str">
            <v>US$/t</v>
          </cell>
          <cell r="G1292" t="str">
            <v>Yes</v>
          </cell>
          <cell r="H1292" t="str">
            <v>mainsteel rate agr. 99/009 FCA</v>
          </cell>
          <cell r="K1292" t="str">
            <v>steelstr</v>
          </cell>
        </row>
        <row r="1293">
          <cell r="A1293" t="str">
            <v>8STMS235</v>
          </cell>
          <cell r="B1293" t="str">
            <v>ZNS</v>
          </cell>
          <cell r="C1293" t="str">
            <v>8STMS235ZNS</v>
          </cell>
          <cell r="D1293" t="str">
            <v>EUR</v>
          </cell>
          <cell r="E1293">
            <v>1166</v>
          </cell>
          <cell r="F1293" t="str">
            <v>EUR/t</v>
          </cell>
          <cell r="G1293" t="str">
            <v>Yes</v>
          </cell>
          <cell r="H1293" t="str">
            <v>mainsteel rate agr. 99/009 FCA</v>
          </cell>
          <cell r="K1293" t="str">
            <v>steelstr</v>
          </cell>
        </row>
        <row r="1294">
          <cell r="A1294" t="str">
            <v>8STMS355</v>
          </cell>
          <cell r="B1294" t="str">
            <v>KESZ</v>
          </cell>
          <cell r="C1294" t="str">
            <v>8STMS355KESZ</v>
          </cell>
          <cell r="D1294" t="str">
            <v>EUR</v>
          </cell>
          <cell r="E1294">
            <v>1175</v>
          </cell>
          <cell r="F1294" t="str">
            <v>EUR/t</v>
          </cell>
          <cell r="G1294" t="str">
            <v>Yes</v>
          </cell>
          <cell r="H1294" t="str">
            <v>mainsteel rate &lt;300 mm  1154.4 + 20 trsp</v>
          </cell>
          <cell r="K1294" t="str">
            <v>steelstr</v>
          </cell>
        </row>
        <row r="1295">
          <cell r="A1295" t="str">
            <v>8STSS235</v>
          </cell>
          <cell r="B1295" t="str">
            <v>BRAND</v>
          </cell>
          <cell r="C1295" t="str">
            <v>8STSS235BRAND</v>
          </cell>
          <cell r="D1295" t="str">
            <v>EUR</v>
          </cell>
          <cell r="E1295">
            <v>1123.5</v>
          </cell>
          <cell r="F1295" t="str">
            <v>EUR/t</v>
          </cell>
          <cell r="G1295" t="str">
            <v>Yes</v>
          </cell>
          <cell r="H1295" t="str">
            <v>1000+50 FOB +7% risk (CDA)</v>
          </cell>
          <cell r="K1295" t="str">
            <v>frames</v>
          </cell>
        </row>
        <row r="1296">
          <cell r="A1296" t="str">
            <v>8STSS235</v>
          </cell>
          <cell r="B1296" t="str">
            <v>BRANDR</v>
          </cell>
          <cell r="C1296" t="str">
            <v>8STSS235BRANDR</v>
          </cell>
          <cell r="D1296" t="str">
            <v>EUR</v>
          </cell>
          <cell r="E1296">
            <v>1123.5</v>
          </cell>
          <cell r="F1296" t="str">
            <v>EUR/t</v>
          </cell>
          <cell r="G1296" t="str">
            <v>Yes</v>
          </cell>
          <cell r="H1296" t="str">
            <v>1000+50 FOB +7% risk (CDA)</v>
          </cell>
          <cell r="K1296" t="str">
            <v>frames</v>
          </cell>
        </row>
        <row r="1297">
          <cell r="A1297" t="str">
            <v>8STSS235</v>
          </cell>
          <cell r="B1297" t="str">
            <v>FERMSTAL</v>
          </cell>
          <cell r="C1297" t="str">
            <v>8STSS235FERMSTAL</v>
          </cell>
          <cell r="D1297" t="str">
            <v>EUR</v>
          </cell>
          <cell r="E1297">
            <v>1312</v>
          </cell>
          <cell r="F1297" t="str">
            <v>EUR/t</v>
          </cell>
          <cell r="G1297" t="str">
            <v>Yes</v>
          </cell>
          <cell r="H1297" t="str">
            <v>agreem. 09/003 r.1,+ seaw.packing, del. FCA</v>
          </cell>
          <cell r="K1297" t="str">
            <v>steelstr</v>
          </cell>
        </row>
        <row r="1298">
          <cell r="A1298" t="str">
            <v>8STSS235</v>
          </cell>
          <cell r="B1298" t="str">
            <v>HUTNI</v>
          </cell>
          <cell r="C1298" t="str">
            <v>8STSS235HUTNI</v>
          </cell>
          <cell r="D1298" t="str">
            <v>EUR</v>
          </cell>
          <cell r="E1298">
            <v>1300</v>
          </cell>
          <cell r="F1298" t="str">
            <v>EUR/t</v>
          </cell>
          <cell r="G1298" t="str">
            <v>Yes</v>
          </cell>
          <cell r="H1298" t="str">
            <v>sec.steel  1250/t  + packing 50</v>
          </cell>
          <cell r="K1298" t="str">
            <v>baffles</v>
          </cell>
        </row>
        <row r="1299">
          <cell r="A1299" t="str">
            <v>8STSS235</v>
          </cell>
          <cell r="B1299" t="str">
            <v>KESZ</v>
          </cell>
          <cell r="C1299" t="str">
            <v>8STSS235KESZ</v>
          </cell>
          <cell r="D1299" t="str">
            <v>EUR</v>
          </cell>
          <cell r="E1299">
            <v>1360</v>
          </cell>
          <cell r="F1299" t="str">
            <v>EUR/t</v>
          </cell>
          <cell r="G1299" t="str">
            <v>Yes</v>
          </cell>
          <cell r="H1299" t="str">
            <v>sec.steel 1420/t</v>
          </cell>
          <cell r="K1299" t="str">
            <v>steelstr</v>
          </cell>
        </row>
        <row r="1300">
          <cell r="A1300" t="str">
            <v>8STSS235</v>
          </cell>
          <cell r="B1300" t="str">
            <v>VIPCO</v>
          </cell>
          <cell r="C1300" t="str">
            <v>8STSS235VIPCO</v>
          </cell>
          <cell r="D1300" t="str">
            <v>US$</v>
          </cell>
          <cell r="E1300">
            <v>1055</v>
          </cell>
          <cell r="F1300" t="str">
            <v>US$/ton</v>
          </cell>
          <cell r="G1300" t="str">
            <v>Yes</v>
          </cell>
          <cell r="H1300" t="str">
            <v>ESTIMATE</v>
          </cell>
          <cell r="K1300" t="str">
            <v>steelstr</v>
          </cell>
        </row>
        <row r="1301">
          <cell r="A1301" t="str">
            <v>8STSS235</v>
          </cell>
          <cell r="B1301" t="str">
            <v>WI-USA</v>
          </cell>
          <cell r="C1301" t="str">
            <v>8STSS235WI-USA</v>
          </cell>
          <cell r="D1301" t="str">
            <v>US$</v>
          </cell>
          <cell r="E1301">
            <v>2250</v>
          </cell>
          <cell r="F1301" t="str">
            <v>US$/t</v>
          </cell>
          <cell r="G1301" t="str">
            <v>Yes</v>
          </cell>
          <cell r="H1301" t="str">
            <v>ESTIMATE</v>
          </cell>
          <cell r="K1301" t="str">
            <v>steelstr</v>
          </cell>
        </row>
        <row r="1302">
          <cell r="A1302" t="str">
            <v>By Subc</v>
          </cell>
        </row>
        <row r="1304">
          <cell r="A1304" t="str">
            <v>8CACS</v>
          </cell>
          <cell r="B1304" t="str">
            <v>UNITHAI</v>
          </cell>
          <cell r="C1304" t="str">
            <v>8CACSUNITHAI</v>
          </cell>
          <cell r="D1304" t="str">
            <v>US$</v>
          </cell>
          <cell r="E1304">
            <v>857.25</v>
          </cell>
          <cell r="F1304" t="str">
            <v>US$/t</v>
          </cell>
          <cell r="G1304" t="str">
            <v>Yes</v>
          </cell>
          <cell r="H1304" t="str">
            <v>850.86/ton + 0.75% bank guarantee cost</v>
          </cell>
          <cell r="K1304" t="str">
            <v>casing</v>
          </cell>
        </row>
        <row r="1305">
          <cell r="A1305" t="str">
            <v>8DWBUCS</v>
          </cell>
          <cell r="B1305" t="str">
            <v>UNITHAI</v>
          </cell>
          <cell r="C1305" t="str">
            <v>8DWBUCSUNITHAI</v>
          </cell>
          <cell r="D1305" t="str">
            <v>US$</v>
          </cell>
          <cell r="E1305">
            <v>901.9</v>
          </cell>
          <cell r="F1305" t="str">
            <v>US$/t</v>
          </cell>
          <cell r="G1305" t="str">
            <v>Yes</v>
          </cell>
          <cell r="K1305" t="str">
            <v>ducting</v>
          </cell>
        </row>
        <row r="1306">
          <cell r="A1306" t="str">
            <v>8DWSKCS</v>
          </cell>
          <cell r="B1306" t="str">
            <v>UNITHAI</v>
          </cell>
          <cell r="C1306" t="str">
            <v>8DWSKCSUNITHAI</v>
          </cell>
          <cell r="D1306" t="str">
            <v>US$</v>
          </cell>
          <cell r="E1306">
            <v>766.9</v>
          </cell>
          <cell r="F1306" t="str">
            <v>US$/t</v>
          </cell>
          <cell r="G1306" t="str">
            <v>Yes</v>
          </cell>
          <cell r="K1306" t="str">
            <v>ducting</v>
          </cell>
        </row>
        <row r="1307">
          <cell r="A1307" t="str">
            <v>8DWOUCS</v>
          </cell>
          <cell r="B1307" t="str">
            <v>UNITHAI</v>
          </cell>
          <cell r="C1307" t="str">
            <v>8DWOUCSUNITHAI</v>
          </cell>
          <cell r="D1307" t="str">
            <v>US$</v>
          </cell>
          <cell r="E1307">
            <v>766.9</v>
          </cell>
          <cell r="F1307" t="str">
            <v>US$/t</v>
          </cell>
          <cell r="G1307" t="str">
            <v>Yes</v>
          </cell>
          <cell r="K1307" t="str">
            <v>ducting</v>
          </cell>
        </row>
        <row r="1308">
          <cell r="A1308" t="str">
            <v>8GPWS235</v>
          </cell>
          <cell r="B1308" t="str">
            <v>UNITHAI</v>
          </cell>
          <cell r="C1308" t="str">
            <v>8GPWS235UNITHAI</v>
          </cell>
          <cell r="D1308" t="str">
            <v>US$</v>
          </cell>
          <cell r="E1308">
            <v>644.1</v>
          </cell>
          <cell r="F1308" t="str">
            <v>US$/t</v>
          </cell>
          <cell r="G1308" t="str">
            <v>Yes</v>
          </cell>
          <cell r="K1308" t="str">
            <v>goalpost</v>
          </cell>
        </row>
        <row r="1309">
          <cell r="A1309" t="str">
            <v>8GPWS355</v>
          </cell>
          <cell r="B1309" t="str">
            <v>UNITHAI</v>
          </cell>
          <cell r="C1309" t="str">
            <v>8GPWS355UNITHAI</v>
          </cell>
          <cell r="D1309" t="str">
            <v>US$</v>
          </cell>
          <cell r="F1309" t="str">
            <v>US$/t</v>
          </cell>
          <cell r="G1309" t="str">
            <v>Yes</v>
          </cell>
          <cell r="K1309" t="str">
            <v>goalpost</v>
          </cell>
        </row>
        <row r="1310">
          <cell r="A1310" t="str">
            <v>8GPWS235</v>
          </cell>
          <cell r="B1310" t="str">
            <v>UNITHAI</v>
          </cell>
          <cell r="C1310" t="str">
            <v>8GPWS235UNITHAI</v>
          </cell>
          <cell r="D1310" t="str">
            <v>US$</v>
          </cell>
          <cell r="F1310" t="str">
            <v>US$/t</v>
          </cell>
          <cell r="G1310" t="str">
            <v>Yes</v>
          </cell>
          <cell r="K1310" t="str">
            <v>goalpost</v>
          </cell>
        </row>
        <row r="1311">
          <cell r="A1311" t="str">
            <v>8GPWS355</v>
          </cell>
          <cell r="B1311" t="str">
            <v>UNITHAI</v>
          </cell>
          <cell r="C1311" t="str">
            <v>8GPWS355UNITHAI</v>
          </cell>
          <cell r="D1311" t="str">
            <v>US$</v>
          </cell>
          <cell r="F1311" t="str">
            <v>US$/t</v>
          </cell>
          <cell r="G1311" t="str">
            <v>Yes</v>
          </cell>
          <cell r="K1311" t="str">
            <v>goalpost</v>
          </cell>
        </row>
        <row r="1312">
          <cell r="A1312" t="str">
            <v>8INCA</v>
          </cell>
          <cell r="B1312" t="str">
            <v>UNITHAI</v>
          </cell>
          <cell r="C1312" t="str">
            <v>8INCAUNITHAI</v>
          </cell>
          <cell r="D1312" t="str">
            <v>US$</v>
          </cell>
          <cell r="F1312" t="str">
            <v>US$/m2</v>
          </cell>
          <cell r="G1312" t="str">
            <v>No</v>
          </cell>
          <cell r="K1312" t="str">
            <v>insul</v>
          </cell>
        </row>
        <row r="1313">
          <cell r="A1313" t="str">
            <v>8INCATR</v>
          </cell>
          <cell r="B1313" t="str">
            <v>UNITHAI</v>
          </cell>
          <cell r="C1313" t="str">
            <v>8INCATRUNITHAI</v>
          </cell>
          <cell r="D1313" t="str">
            <v>US$</v>
          </cell>
          <cell r="F1313" t="str">
            <v>US$/t</v>
          </cell>
          <cell r="G1313" t="str">
            <v>No</v>
          </cell>
          <cell r="K1313" t="str">
            <v>insul</v>
          </cell>
        </row>
        <row r="1314">
          <cell r="A1314" t="str">
            <v>8INDW</v>
          </cell>
          <cell r="B1314" t="str">
            <v>UNITHAI</v>
          </cell>
          <cell r="C1314" t="str">
            <v>8INDWUNITHAI</v>
          </cell>
          <cell r="D1314" t="str">
            <v>US$</v>
          </cell>
          <cell r="F1314" t="str">
            <v>US$/m2</v>
          </cell>
          <cell r="G1314" t="str">
            <v>No</v>
          </cell>
          <cell r="K1314" t="str">
            <v>insul</v>
          </cell>
        </row>
        <row r="1315">
          <cell r="A1315" t="str">
            <v>8INDWTR</v>
          </cell>
          <cell r="B1315" t="str">
            <v>UNITHAI</v>
          </cell>
          <cell r="C1315" t="str">
            <v>8INDWTRUNITHAI</v>
          </cell>
          <cell r="D1315" t="str">
            <v>US$</v>
          </cell>
          <cell r="F1315" t="str">
            <v>US$/t</v>
          </cell>
          <cell r="G1315" t="str">
            <v>No</v>
          </cell>
          <cell r="K1315" t="str">
            <v>insul</v>
          </cell>
        </row>
        <row r="1316">
          <cell r="A1316" t="str">
            <v>8STES235</v>
          </cell>
          <cell r="B1316" t="str">
            <v>UNITHAI</v>
          </cell>
          <cell r="C1316" t="str">
            <v>8STES235UNITHAI</v>
          </cell>
          <cell r="D1316" t="str">
            <v>US$</v>
          </cell>
          <cell r="F1316" t="str">
            <v>US$/t</v>
          </cell>
          <cell r="G1316" t="str">
            <v>Yes</v>
          </cell>
          <cell r="K1316" t="str">
            <v>strct steel</v>
          </cell>
        </row>
        <row r="1317">
          <cell r="A1317" t="str">
            <v>8STMS235</v>
          </cell>
          <cell r="B1317" t="str">
            <v>UNITHAI</v>
          </cell>
          <cell r="C1317" t="str">
            <v>8STMS235UNITHAI</v>
          </cell>
          <cell r="D1317" t="str">
            <v>US$</v>
          </cell>
          <cell r="F1317" t="str">
            <v>US$/t</v>
          </cell>
          <cell r="G1317" t="str">
            <v>Yes</v>
          </cell>
          <cell r="K1317" t="str">
            <v>strct steel</v>
          </cell>
        </row>
        <row r="1318">
          <cell r="A1318" t="str">
            <v>8STSS235</v>
          </cell>
          <cell r="B1318" t="str">
            <v>UNITHAI</v>
          </cell>
          <cell r="C1318" t="str">
            <v>8STSS235UNITHAI</v>
          </cell>
          <cell r="D1318" t="str">
            <v>US$</v>
          </cell>
          <cell r="F1318" t="str">
            <v>US$/t</v>
          </cell>
          <cell r="G1318" t="str">
            <v>Yes</v>
          </cell>
          <cell r="K1318" t="str">
            <v>strct steel</v>
          </cell>
        </row>
      </sheetData>
      <sheetData sheetId="2">
        <row r="2">
          <cell r="A2" t="str">
            <v>AARDING</v>
          </cell>
          <cell r="B2" t="str">
            <v>R'dam</v>
          </cell>
          <cell r="C2" t="str">
            <v>R'dam</v>
          </cell>
          <cell r="D2" t="str">
            <v>Nunspeet</v>
          </cell>
          <cell r="E2" t="str">
            <v>f</v>
          </cell>
        </row>
        <row r="3">
          <cell r="A3" t="str">
            <v>ABB MSET</v>
          </cell>
          <cell r="B3" t="str">
            <v>Setubal</v>
          </cell>
          <cell r="C3" t="str">
            <v>Setubal</v>
          </cell>
          <cell r="D3" t="str">
            <v>Setubal</v>
          </cell>
          <cell r="E3" t="str">
            <v>f</v>
          </cell>
        </row>
        <row r="4">
          <cell r="A4" t="str">
            <v>ABB PBS</v>
          </cell>
          <cell r="B4" t="str">
            <v>Antwerp</v>
          </cell>
          <cell r="C4" t="str">
            <v>Antwerp</v>
          </cell>
          <cell r="D4" t="str">
            <v>Brno</v>
          </cell>
          <cell r="E4" t="str">
            <v>f</v>
          </cell>
        </row>
        <row r="5">
          <cell r="A5" t="str">
            <v>BENDER</v>
          </cell>
          <cell r="B5" t="str">
            <v>R'dam</v>
          </cell>
          <cell r="C5" t="str">
            <v>R'dam</v>
          </cell>
          <cell r="D5" t="str">
            <v>R'dam</v>
          </cell>
          <cell r="E5" t="str">
            <v>f</v>
          </cell>
        </row>
        <row r="6">
          <cell r="A6" t="str">
            <v>BENTELER</v>
          </cell>
          <cell r="B6" t="str">
            <v>Paderborn</v>
          </cell>
          <cell r="C6" t="str">
            <v>Hamburg</v>
          </cell>
          <cell r="D6" t="str">
            <v>Paderborn</v>
          </cell>
          <cell r="E6" t="str">
            <v>f</v>
          </cell>
        </row>
        <row r="7">
          <cell r="A7" t="str">
            <v>BIRAGHI</v>
          </cell>
          <cell r="B7" t="str">
            <v>Antwerp</v>
          </cell>
          <cell r="C7" t="str">
            <v>Antwerp</v>
          </cell>
          <cell r="D7" t="str">
            <v>Thonon</v>
          </cell>
          <cell r="E7" t="str">
            <v>f</v>
          </cell>
        </row>
        <row r="8">
          <cell r="A8" t="str">
            <v>Boehm &amp; Lange</v>
          </cell>
          <cell r="B8" t="str">
            <v>R'dam</v>
          </cell>
          <cell r="C8" t="str">
            <v>R'dam</v>
          </cell>
          <cell r="D8" t="str">
            <v>R'dam</v>
          </cell>
          <cell r="E8" t="str">
            <v>f</v>
          </cell>
        </row>
        <row r="9">
          <cell r="A9" t="str">
            <v>Bos-Hatten Inc.</v>
          </cell>
          <cell r="B9" t="str">
            <v>Houston</v>
          </cell>
          <cell r="C9" t="str">
            <v>Houston</v>
          </cell>
          <cell r="D9" t="str">
            <v>Houston</v>
          </cell>
          <cell r="E9" t="str">
            <v>u</v>
          </cell>
        </row>
        <row r="10">
          <cell r="A10" t="str">
            <v>BRAND</v>
          </cell>
          <cell r="B10" t="str">
            <v>Ashdod</v>
          </cell>
          <cell r="C10" t="str">
            <v>Ashdod</v>
          </cell>
          <cell r="D10" t="str">
            <v>Yeruham</v>
          </cell>
          <cell r="E10" t="str">
            <v>g</v>
          </cell>
        </row>
        <row r="11">
          <cell r="A11" t="str">
            <v>BRANDR</v>
          </cell>
          <cell r="B11" t="str">
            <v>Constanza</v>
          </cell>
          <cell r="C11" t="str">
            <v>Constanza</v>
          </cell>
          <cell r="D11" t="str">
            <v>Bucharest</v>
          </cell>
          <cell r="E11" t="str">
            <v>g</v>
          </cell>
        </row>
        <row r="12">
          <cell r="A12" t="str">
            <v>BySubc</v>
          </cell>
          <cell r="B12" t="str">
            <v>NA</v>
          </cell>
          <cell r="C12" t="str">
            <v>NA</v>
          </cell>
          <cell r="D12" t="str">
            <v>NA</v>
          </cell>
          <cell r="E12" t="str">
            <v>f</v>
          </cell>
        </row>
        <row r="13">
          <cell r="A13" t="str">
            <v>CARNOY</v>
          </cell>
          <cell r="B13" t="str">
            <v>Antwerp</v>
          </cell>
          <cell r="C13" t="str">
            <v>Antwerp</v>
          </cell>
          <cell r="D13" t="str">
            <v>Gent</v>
          </cell>
          <cell r="E13" t="str">
            <v>f</v>
          </cell>
        </row>
        <row r="14">
          <cell r="A14" t="str">
            <v>CBC BRA</v>
          </cell>
          <cell r="B14" t="str">
            <v>Santos</v>
          </cell>
          <cell r="C14" t="str">
            <v>Santos</v>
          </cell>
          <cell r="D14" t="str">
            <v>Santos</v>
          </cell>
          <cell r="E14" t="str">
            <v>f</v>
          </cell>
        </row>
        <row r="15">
          <cell r="A15" t="str">
            <v>CBWTK</v>
          </cell>
          <cell r="B15" t="str">
            <v>Hamburg</v>
          </cell>
          <cell r="C15" t="str">
            <v>Hamburg</v>
          </cell>
          <cell r="D15" t="str">
            <v>Niemodlin</v>
          </cell>
          <cell r="E15" t="str">
            <v>g</v>
          </cell>
        </row>
        <row r="16">
          <cell r="A16" t="str">
            <v>CHENGCHENG</v>
          </cell>
          <cell r="B16" t="str">
            <v>Kaohsiung</v>
          </cell>
          <cell r="C16" t="str">
            <v>Kaohsiung</v>
          </cell>
          <cell r="D16" t="str">
            <v>Kaohsiung</v>
          </cell>
          <cell r="E16" t="str">
            <v>f</v>
          </cell>
        </row>
        <row r="17">
          <cell r="A17" t="str">
            <v>CIMTAS</v>
          </cell>
          <cell r="B17" t="str">
            <v>Gemlik</v>
          </cell>
          <cell r="C17" t="str">
            <v>Gemlik</v>
          </cell>
          <cell r="D17" t="str">
            <v>Gemlik</v>
          </cell>
          <cell r="E17" t="str">
            <v>f</v>
          </cell>
        </row>
        <row r="18">
          <cell r="A18" t="str">
            <v>DB INDIA</v>
          </cell>
          <cell r="B18" t="str">
            <v>Chennai</v>
          </cell>
          <cell r="C18" t="str">
            <v>Chennai</v>
          </cell>
          <cell r="D18" t="str">
            <v>Chennai</v>
          </cell>
          <cell r="E18" t="str">
            <v>g</v>
          </cell>
        </row>
        <row r="19">
          <cell r="A19" t="str">
            <v>De Jong Coen</v>
          </cell>
          <cell r="B19" t="str">
            <v>R'dam</v>
          </cell>
          <cell r="C19" t="str">
            <v>R'dam</v>
          </cell>
          <cell r="D19" t="str">
            <v>R'dam</v>
          </cell>
          <cell r="E19" t="str">
            <v>f</v>
          </cell>
        </row>
        <row r="20">
          <cell r="A20" t="str">
            <v>Dresser</v>
          </cell>
          <cell r="B20" t="str">
            <v>R'dam</v>
          </cell>
          <cell r="C20" t="str">
            <v>R'dam</v>
          </cell>
          <cell r="D20" t="str">
            <v>R'dam</v>
          </cell>
          <cell r="E20" t="str">
            <v>f</v>
          </cell>
        </row>
        <row r="21">
          <cell r="A21" t="str">
            <v>Duro Dakov</v>
          </cell>
          <cell r="B21" t="str">
            <v>R'dam</v>
          </cell>
          <cell r="C21" t="str">
            <v>R'dam</v>
          </cell>
          <cell r="D21" t="str">
            <v>Postrojenja</v>
          </cell>
          <cell r="E21" t="str">
            <v>g</v>
          </cell>
        </row>
        <row r="22">
          <cell r="A22" t="str">
            <v>ELECTR-N</v>
          </cell>
          <cell r="B22" t="str">
            <v>Antwerp</v>
          </cell>
          <cell r="C22" t="str">
            <v>Antwerp</v>
          </cell>
          <cell r="D22" t="str">
            <v>Hamburg</v>
          </cell>
          <cell r="E22" t="str">
            <v>g</v>
          </cell>
        </row>
        <row r="23">
          <cell r="A23" t="str">
            <v>EMG</v>
          </cell>
          <cell r="B23" t="str">
            <v>R'dam</v>
          </cell>
          <cell r="C23" t="str">
            <v>R'dam</v>
          </cell>
          <cell r="D23" t="str">
            <v>R'dam</v>
          </cell>
          <cell r="E23" t="str">
            <v>f</v>
          </cell>
        </row>
        <row r="24">
          <cell r="A24" t="str">
            <v>Engelhard</v>
          </cell>
          <cell r="B24" t="str">
            <v>Houston</v>
          </cell>
          <cell r="C24" t="str">
            <v>Houston</v>
          </cell>
          <cell r="D24" t="str">
            <v>Houston</v>
          </cell>
          <cell r="E24" t="str">
            <v>u</v>
          </cell>
        </row>
        <row r="25">
          <cell r="A25" t="str">
            <v>FERMSTAL</v>
          </cell>
          <cell r="B25" t="str">
            <v>Antwerp</v>
          </cell>
          <cell r="C25" t="str">
            <v>Antwerp</v>
          </cell>
          <cell r="D25" t="str">
            <v>Hamburg</v>
          </cell>
          <cell r="E25" t="str">
            <v>g</v>
          </cell>
        </row>
        <row r="26">
          <cell r="A26" t="str">
            <v>GANZ</v>
          </cell>
          <cell r="B26" t="str">
            <v>Budapest</v>
          </cell>
          <cell r="C26" t="str">
            <v>Budapest</v>
          </cell>
          <cell r="D26" t="str">
            <v>Kiskunfelegyhaza</v>
          </cell>
          <cell r="E26" t="str">
            <v>g</v>
          </cell>
        </row>
        <row r="27">
          <cell r="A27" t="str">
            <v>GERB Akustik</v>
          </cell>
          <cell r="B27" t="str">
            <v>R'dam</v>
          </cell>
          <cell r="C27" t="str">
            <v>R'dam</v>
          </cell>
          <cell r="D27" t="str">
            <v>R'dam</v>
          </cell>
          <cell r="E27" t="str">
            <v>f</v>
          </cell>
        </row>
        <row r="28">
          <cell r="A28" t="str">
            <v>GRIRO</v>
          </cell>
          <cell r="B28" t="str">
            <v>Constanza</v>
          </cell>
          <cell r="C28" t="str">
            <v>Constanza</v>
          </cell>
          <cell r="D28" t="str">
            <v>Bucharest</v>
          </cell>
          <cell r="E28" t="str">
            <v>g</v>
          </cell>
        </row>
        <row r="29">
          <cell r="A29" t="str">
            <v>Hanwell</v>
          </cell>
          <cell r="B29" t="str">
            <v>R'dam</v>
          </cell>
          <cell r="C29" t="str">
            <v>R'dam</v>
          </cell>
          <cell r="D29" t="str">
            <v>R'dam</v>
          </cell>
          <cell r="E29" t="str">
            <v>f</v>
          </cell>
        </row>
        <row r="30">
          <cell r="A30" t="str">
            <v>HERTEL</v>
          </cell>
          <cell r="B30" t="str">
            <v>R'dam</v>
          </cell>
          <cell r="C30" t="str">
            <v>R'dam</v>
          </cell>
          <cell r="D30" t="str">
            <v>R'dam</v>
          </cell>
          <cell r="E30" t="str">
            <v>f</v>
          </cell>
        </row>
        <row r="31">
          <cell r="A31" t="str">
            <v>Hitachi Zosen</v>
          </cell>
          <cell r="B31" t="str">
            <v>Houston</v>
          </cell>
          <cell r="C31" t="str">
            <v>Houston</v>
          </cell>
          <cell r="D31" t="str">
            <v>Houston</v>
          </cell>
          <cell r="E31" t="str">
            <v>u</v>
          </cell>
        </row>
        <row r="32">
          <cell r="A32" t="str">
            <v>HP valves</v>
          </cell>
          <cell r="B32" t="str">
            <v>R'dam</v>
          </cell>
          <cell r="C32" t="str">
            <v>R'dam</v>
          </cell>
          <cell r="D32" t="str">
            <v>Oldenzaal</v>
          </cell>
          <cell r="E32" t="str">
            <v>f</v>
          </cell>
        </row>
        <row r="33">
          <cell r="A33" t="str">
            <v>HUTNI</v>
          </cell>
          <cell r="B33" t="str">
            <v>Antwerp</v>
          </cell>
          <cell r="C33" t="str">
            <v>Antwerp</v>
          </cell>
          <cell r="D33" t="str">
            <v>Moravsky</v>
          </cell>
          <cell r="E33" t="str">
            <v>g</v>
          </cell>
        </row>
        <row r="34">
          <cell r="A34" t="str">
            <v>IFAMESA</v>
          </cell>
          <cell r="B34" t="str">
            <v>Houston</v>
          </cell>
          <cell r="C34" t="str">
            <v>Houston</v>
          </cell>
          <cell r="D34" t="str">
            <v>Cartagena</v>
          </cell>
          <cell r="E34" t="str">
            <v>g</v>
          </cell>
        </row>
        <row r="35">
          <cell r="A35" t="str">
            <v>INSULC</v>
          </cell>
          <cell r="B35" t="str">
            <v>Antwerp</v>
          </cell>
          <cell r="C35" t="str">
            <v>Antwerp</v>
          </cell>
          <cell r="D35" t="str">
            <v>Steenbergen</v>
          </cell>
          <cell r="E35" t="str">
            <v>f</v>
          </cell>
        </row>
        <row r="36">
          <cell r="A36" t="str">
            <v>Intervalve</v>
          </cell>
          <cell r="B36" t="str">
            <v>R'dam</v>
          </cell>
          <cell r="C36" t="str">
            <v>R'dam</v>
          </cell>
          <cell r="D36" t="str">
            <v>Oldenzaal</v>
          </cell>
          <cell r="E36" t="str">
            <v>f</v>
          </cell>
        </row>
        <row r="37">
          <cell r="A37" t="str">
            <v>KESZ</v>
          </cell>
          <cell r="B37" t="str">
            <v>Antwerp</v>
          </cell>
          <cell r="C37" t="str">
            <v>Antwerp</v>
          </cell>
          <cell r="D37" t="str">
            <v>Hamburg</v>
          </cell>
          <cell r="E37" t="str">
            <v>g</v>
          </cell>
        </row>
        <row r="38">
          <cell r="A38" t="str">
            <v>KOREA18</v>
          </cell>
          <cell r="B38" t="str">
            <v>Pusan</v>
          </cell>
          <cell r="C38" t="str">
            <v>Pusan</v>
          </cell>
          <cell r="D38" t="str">
            <v>Pusan</v>
          </cell>
          <cell r="E38" t="str">
            <v>f</v>
          </cell>
        </row>
        <row r="39">
          <cell r="A39" t="str">
            <v>KOREA19</v>
          </cell>
          <cell r="B39" t="str">
            <v>Pusan</v>
          </cell>
          <cell r="C39" t="str">
            <v>Pusan</v>
          </cell>
          <cell r="D39" t="str">
            <v>Pusan</v>
          </cell>
          <cell r="E39" t="str">
            <v>f</v>
          </cell>
        </row>
        <row r="40">
          <cell r="A40" t="str">
            <v>KOREA20</v>
          </cell>
          <cell r="B40" t="str">
            <v>Pusan</v>
          </cell>
          <cell r="C40" t="str">
            <v>Pusan</v>
          </cell>
          <cell r="D40" t="str">
            <v>Pusan</v>
          </cell>
          <cell r="E40" t="str">
            <v>f</v>
          </cell>
        </row>
        <row r="41">
          <cell r="A41" t="str">
            <v>KOREA21</v>
          </cell>
          <cell r="B41" t="str">
            <v>Pusan</v>
          </cell>
          <cell r="C41" t="str">
            <v>Pusan</v>
          </cell>
          <cell r="D41" t="str">
            <v>Pusan</v>
          </cell>
          <cell r="E41" t="str">
            <v>f</v>
          </cell>
        </row>
        <row r="42">
          <cell r="A42" t="str">
            <v>KOREA22</v>
          </cell>
          <cell r="B42" t="str">
            <v>Pusan</v>
          </cell>
          <cell r="C42" t="str">
            <v>Pusan</v>
          </cell>
          <cell r="D42" t="str">
            <v>Pusan</v>
          </cell>
          <cell r="E42" t="str">
            <v>f</v>
          </cell>
        </row>
        <row r="43">
          <cell r="A43" t="str">
            <v>Lancaster</v>
          </cell>
          <cell r="B43" t="str">
            <v>Lancaster</v>
          </cell>
          <cell r="C43" t="str">
            <v>Lancaster</v>
          </cell>
          <cell r="D43" t="str">
            <v>Lancaster</v>
          </cell>
          <cell r="E43" t="str">
            <v>f</v>
          </cell>
        </row>
        <row r="44">
          <cell r="A44" t="str">
            <v>NEM</v>
          </cell>
          <cell r="B44" t="str">
            <v>R'dam</v>
          </cell>
          <cell r="C44" t="str">
            <v>R'dam</v>
          </cell>
          <cell r="D44" t="str">
            <v>R'dam</v>
          </cell>
          <cell r="E44" t="str">
            <v>f</v>
          </cell>
        </row>
        <row r="45">
          <cell r="A45" t="str">
            <v>NEMSCH</v>
          </cell>
          <cell r="B45" t="str">
            <v>R'dam</v>
          </cell>
          <cell r="C45" t="str">
            <v>R'dam</v>
          </cell>
          <cell r="D45" t="str">
            <v>R'dam</v>
          </cell>
          <cell r="E45" t="str">
            <v>f</v>
          </cell>
        </row>
        <row r="46">
          <cell r="A46" t="str">
            <v>NPS</v>
          </cell>
          <cell r="B46" t="str">
            <v>R'dam</v>
          </cell>
          <cell r="C46" t="str">
            <v>R'dam</v>
          </cell>
          <cell r="D46" t="str">
            <v>Recklinghausen</v>
          </cell>
          <cell r="E46" t="str">
            <v>f</v>
          </cell>
        </row>
        <row r="47">
          <cell r="A47" t="str">
            <v>OKI</v>
          </cell>
          <cell r="B47" t="str">
            <v>Antwerp</v>
          </cell>
          <cell r="C47" t="str">
            <v>Antwerp</v>
          </cell>
          <cell r="D47" t="str">
            <v>Pforzheim</v>
          </cell>
          <cell r="E47" t="str">
            <v>f</v>
          </cell>
        </row>
        <row r="48">
          <cell r="A48" t="str">
            <v>RAYTHEON R</v>
          </cell>
          <cell r="B48" t="str">
            <v>Antwerp</v>
          </cell>
          <cell r="C48" t="str">
            <v>Antwerp</v>
          </cell>
          <cell r="D48" t="str">
            <v>Hamburg</v>
          </cell>
          <cell r="E48" t="str">
            <v>g</v>
          </cell>
        </row>
        <row r="49">
          <cell r="A49" t="str">
            <v>RHODES</v>
          </cell>
          <cell r="B49" t="str">
            <v>Harwich</v>
          </cell>
          <cell r="C49" t="str">
            <v>Harwich</v>
          </cell>
          <cell r="D49" t="str">
            <v>Derbyshire</v>
          </cell>
          <cell r="E49" t="str">
            <v>f</v>
          </cell>
        </row>
        <row r="50">
          <cell r="A50" t="str">
            <v>SAMYOUNG</v>
          </cell>
          <cell r="B50" t="str">
            <v>Pusan</v>
          </cell>
          <cell r="C50" t="str">
            <v>Pusan</v>
          </cell>
          <cell r="D50" t="str">
            <v>Yangcheon</v>
          </cell>
          <cell r="E50" t="str">
            <v>f</v>
          </cell>
        </row>
        <row r="51">
          <cell r="A51" t="str">
            <v>SCAI</v>
          </cell>
          <cell r="B51" t="str">
            <v>Salerno</v>
          </cell>
          <cell r="C51" t="str">
            <v>Salerno</v>
          </cell>
          <cell r="D51" t="str">
            <v>Salerno</v>
          </cell>
          <cell r="E51" t="str">
            <v>f</v>
          </cell>
        </row>
        <row r="52">
          <cell r="A52" t="str">
            <v>SCHEEMDA</v>
          </cell>
          <cell r="B52" t="str">
            <v>R'dam</v>
          </cell>
          <cell r="C52" t="str">
            <v>R'dam</v>
          </cell>
          <cell r="D52" t="str">
            <v>Scheemda</v>
          </cell>
          <cell r="E52" t="str">
            <v>f</v>
          </cell>
        </row>
        <row r="53">
          <cell r="A53" t="str">
            <v>SILICO</v>
          </cell>
          <cell r="B53" t="str">
            <v>R'dam</v>
          </cell>
          <cell r="C53" t="str">
            <v>R'dam</v>
          </cell>
          <cell r="D53" t="str">
            <v>R'dam</v>
          </cell>
          <cell r="E53" t="str">
            <v>f</v>
          </cell>
        </row>
        <row r="54">
          <cell r="A54" t="str">
            <v>STD</v>
          </cell>
          <cell r="B54" t="str">
            <v>R'dam</v>
          </cell>
          <cell r="C54" t="str">
            <v>R'dam</v>
          </cell>
          <cell r="D54" t="str">
            <v>R'dam</v>
          </cell>
          <cell r="E54" t="str">
            <v>f</v>
          </cell>
        </row>
        <row r="55">
          <cell r="A55" t="str">
            <v>SUNGJIN</v>
          </cell>
          <cell r="B55" t="str">
            <v>Pusan</v>
          </cell>
          <cell r="C55" t="str">
            <v>Pusan</v>
          </cell>
          <cell r="D55" t="str">
            <v>Pusan</v>
          </cell>
          <cell r="E55" t="str">
            <v>f</v>
          </cell>
        </row>
        <row r="56">
          <cell r="A56" t="str">
            <v>TEI</v>
          </cell>
          <cell r="B56" t="str">
            <v>London</v>
          </cell>
          <cell r="C56" t="str">
            <v>London</v>
          </cell>
          <cell r="D56" t="str">
            <v>Wakefield</v>
          </cell>
          <cell r="E56" t="str">
            <v>f</v>
          </cell>
        </row>
        <row r="57">
          <cell r="A57" t="str">
            <v>UNITHAI</v>
          </cell>
          <cell r="B57" t="str">
            <v>Bangkok</v>
          </cell>
          <cell r="C57" t="str">
            <v>Bangkok</v>
          </cell>
          <cell r="D57" t="str">
            <v>Bangkok</v>
          </cell>
          <cell r="E57" t="str">
            <v>g</v>
          </cell>
        </row>
        <row r="58">
          <cell r="A58" t="str">
            <v>V TEC</v>
          </cell>
          <cell r="B58" t="str">
            <v>Houston</v>
          </cell>
          <cell r="C58" t="str">
            <v>Houston</v>
          </cell>
          <cell r="D58" t="str">
            <v>Longview, Texas US</v>
          </cell>
          <cell r="E58" t="str">
            <v>u</v>
          </cell>
        </row>
        <row r="59">
          <cell r="A59" t="str">
            <v>VIPCO</v>
          </cell>
          <cell r="B59" t="str">
            <v>Bangkok</v>
          </cell>
          <cell r="C59" t="str">
            <v>Bangkok</v>
          </cell>
          <cell r="D59" t="str">
            <v>Bangkok</v>
          </cell>
          <cell r="E59" t="str">
            <v>g</v>
          </cell>
        </row>
        <row r="60">
          <cell r="A60" t="str">
            <v>VITCOVICE</v>
          </cell>
          <cell r="B60" t="str">
            <v>Constanza</v>
          </cell>
          <cell r="C60" t="str">
            <v>Constanza</v>
          </cell>
          <cell r="D60" t="str">
            <v>Constanza</v>
          </cell>
          <cell r="E60" t="str">
            <v>g</v>
          </cell>
        </row>
        <row r="61">
          <cell r="A61" t="str">
            <v>VOGEL</v>
          </cell>
          <cell r="B61" t="str">
            <v>R'dam</v>
          </cell>
          <cell r="C61" t="str">
            <v>R'dam</v>
          </cell>
          <cell r="D61" t="str">
            <v>Veendam</v>
          </cell>
          <cell r="E61" t="str">
            <v>f</v>
          </cell>
        </row>
        <row r="62">
          <cell r="A62" t="str">
            <v>VULCAN</v>
          </cell>
          <cell r="B62" t="str">
            <v>Constanza</v>
          </cell>
          <cell r="C62" t="str">
            <v>Constanza</v>
          </cell>
          <cell r="D62" t="str">
            <v>Bucharest</v>
          </cell>
          <cell r="E62" t="str">
            <v>g</v>
          </cell>
        </row>
        <row r="63">
          <cell r="A63" t="str">
            <v>WI</v>
          </cell>
          <cell r="B63" t="str">
            <v>Antwerp</v>
          </cell>
          <cell r="C63" t="str">
            <v>Antwerp</v>
          </cell>
          <cell r="D63" t="str">
            <v>Finner</v>
          </cell>
          <cell r="E63" t="str">
            <v>f</v>
          </cell>
        </row>
        <row r="64">
          <cell r="A64" t="str">
            <v>WI-USA</v>
          </cell>
          <cell r="B64" t="str">
            <v>Houston</v>
          </cell>
          <cell r="C64" t="str">
            <v>Houston</v>
          </cell>
          <cell r="D64" t="str">
            <v>Houston</v>
          </cell>
          <cell r="E64" t="str">
            <v>u</v>
          </cell>
        </row>
        <row r="65">
          <cell r="A65" t="str">
            <v>ZNS</v>
          </cell>
          <cell r="B65" t="str">
            <v>R'dam</v>
          </cell>
          <cell r="C65" t="str">
            <v>R'dam</v>
          </cell>
          <cell r="D65" t="str">
            <v>R'dam</v>
          </cell>
          <cell r="E65" t="str">
            <v>f</v>
          </cell>
        </row>
        <row r="66">
          <cell r="A66" t="str">
            <v>ZVU</v>
          </cell>
          <cell r="B66" t="str">
            <v>Antwerp</v>
          </cell>
          <cell r="C66" t="str">
            <v>Antwerp</v>
          </cell>
          <cell r="D66" t="str">
            <v>Hradec Kralove</v>
          </cell>
          <cell r="E66" t="str">
            <v>g</v>
          </cell>
        </row>
      </sheetData>
      <sheetData sheetId="3"/>
      <sheetData sheetId="4">
        <row r="2">
          <cell r="C2" t="str">
            <v>4MTLGTH&lt;10mF2000BENTELER</v>
          </cell>
          <cell r="D2">
            <v>0.94786729857819907</v>
          </cell>
          <cell r="E2">
            <v>2000</v>
          </cell>
          <cell r="F2" t="str">
            <v>Tubes, fixed length</v>
          </cell>
          <cell r="G2" t="str">
            <v>Factor &lt;&gt; Std tube 15-19m</v>
          </cell>
          <cell r="H2" t="str">
            <v>raw mat</v>
          </cell>
          <cell r="I2" t="str">
            <v>baretube</v>
          </cell>
          <cell r="J2">
            <v>37040</v>
          </cell>
        </row>
        <row r="3">
          <cell r="C3" t="str">
            <v>4MTLGTH&lt;10mF2001BENTELER</v>
          </cell>
          <cell r="D3">
            <v>0.93883999097269244</v>
          </cell>
          <cell r="E3">
            <v>2001</v>
          </cell>
          <cell r="F3" t="str">
            <v>Tubes, fixed length</v>
          </cell>
          <cell r="G3" t="str">
            <v>Factor &lt;&gt; Std tube 15-19m</v>
          </cell>
          <cell r="H3" t="str">
            <v>raw mat</v>
          </cell>
          <cell r="I3" t="str">
            <v>baretube</v>
          </cell>
          <cell r="J3">
            <v>37040</v>
          </cell>
        </row>
        <row r="4">
          <cell r="C4" t="str">
            <v>4MTLGTH&lt;10mF2002BENTELER</v>
          </cell>
          <cell r="D4">
            <v>0.92972503960402553</v>
          </cell>
          <cell r="E4">
            <v>2002</v>
          </cell>
          <cell r="F4" t="str">
            <v>Tubes, fixed length</v>
          </cell>
          <cell r="G4" t="str">
            <v>Factor &lt;&gt; Std tube 15-19m</v>
          </cell>
          <cell r="H4" t="str">
            <v>raw mat</v>
          </cell>
          <cell r="I4" t="str">
            <v>baretube</v>
          </cell>
          <cell r="J4">
            <v>37040</v>
          </cell>
        </row>
        <row r="5">
          <cell r="C5" t="str">
            <v>4MTLGTH&lt;10mR2000BENTELER</v>
          </cell>
          <cell r="D5">
            <v>0.90047393364928907</v>
          </cell>
          <cell r="E5">
            <v>2000</v>
          </cell>
          <cell r="F5" t="str">
            <v>Tubes, random length</v>
          </cell>
          <cell r="G5" t="str">
            <v>Factor &lt;&gt; Std tube 15-19m</v>
          </cell>
          <cell r="H5" t="str">
            <v>raw mat</v>
          </cell>
          <cell r="I5" t="str">
            <v>baretube</v>
          </cell>
          <cell r="J5">
            <v>37040</v>
          </cell>
        </row>
        <row r="6">
          <cell r="C6" t="str">
            <v>4MTLGTH&lt;10mR2001BENTELER</v>
          </cell>
          <cell r="D6">
            <v>0.89189799142405768</v>
          </cell>
          <cell r="E6">
            <v>2001</v>
          </cell>
          <cell r="F6" t="str">
            <v>Tubes, random length</v>
          </cell>
          <cell r="G6" t="str">
            <v>Factor &lt;&gt; Std tube 15-19m</v>
          </cell>
          <cell r="H6" t="str">
            <v>raw mat</v>
          </cell>
          <cell r="I6" t="str">
            <v>baretube</v>
          </cell>
          <cell r="J6">
            <v>37040</v>
          </cell>
        </row>
        <row r="7">
          <cell r="C7" t="str">
            <v>4MTLGTH&lt;10mR2002BENTELER</v>
          </cell>
          <cell r="D7">
            <v>0.88323878762382413</v>
          </cell>
          <cell r="E7">
            <v>2002</v>
          </cell>
          <cell r="F7" t="str">
            <v>Tubes, random length</v>
          </cell>
          <cell r="G7" t="str">
            <v>Factor &lt;&gt; Std tube 15-19m</v>
          </cell>
          <cell r="H7" t="str">
            <v>raw mat</v>
          </cell>
          <cell r="I7" t="str">
            <v>baretube</v>
          </cell>
          <cell r="J7">
            <v>37040</v>
          </cell>
        </row>
        <row r="8">
          <cell r="C8" t="str">
            <v>4MTLGTH&gt;19mF2000BENTELER</v>
          </cell>
          <cell r="D8">
            <v>1.0236966824644549</v>
          </cell>
          <cell r="E8">
            <v>2000</v>
          </cell>
          <cell r="F8" t="str">
            <v>Tubes, fixed length</v>
          </cell>
          <cell r="G8" t="str">
            <v>Factor &lt;&gt; Std tube 15-19m</v>
          </cell>
          <cell r="H8" t="str">
            <v>raw mat</v>
          </cell>
          <cell r="I8" t="str">
            <v>baretube</v>
          </cell>
          <cell r="J8">
            <v>37040</v>
          </cell>
        </row>
        <row r="9">
          <cell r="C9" t="str">
            <v>4MTLGTH&gt;19mF2001BENTELER</v>
          </cell>
          <cell r="D9">
            <v>1.0334461746784021</v>
          </cell>
          <cell r="E9">
            <v>2001</v>
          </cell>
          <cell r="F9" t="str">
            <v>Tubes, fixed length</v>
          </cell>
          <cell r="G9" t="str">
            <v>Factor &lt;&gt; Std tube 15-19m</v>
          </cell>
          <cell r="H9" t="str">
            <v>raw mat</v>
          </cell>
          <cell r="I9" t="str">
            <v>baretube</v>
          </cell>
          <cell r="J9">
            <v>37040</v>
          </cell>
        </row>
        <row r="10">
          <cell r="C10" t="str">
            <v>4MTLGTH&gt;19mF2002BENTELER</v>
          </cell>
          <cell r="D10">
            <v>1.0434796326849884</v>
          </cell>
          <cell r="E10">
            <v>2002</v>
          </cell>
          <cell r="F10" t="str">
            <v>Tubes, fixed length</v>
          </cell>
          <cell r="G10" t="str">
            <v>Factor &lt;&gt; Std tube 15-19m</v>
          </cell>
          <cell r="H10" t="str">
            <v>raw mat</v>
          </cell>
          <cell r="I10" t="str">
            <v>baretube</v>
          </cell>
          <cell r="J10">
            <v>37040</v>
          </cell>
        </row>
        <row r="11">
          <cell r="C11" t="str">
            <v>4MTLGTH10_15mF2000BENTELER</v>
          </cell>
          <cell r="D11">
            <v>0.98578199052132698</v>
          </cell>
          <cell r="E11">
            <v>2000</v>
          </cell>
          <cell r="F11" t="str">
            <v>Tubes, fixed length</v>
          </cell>
          <cell r="G11" t="str">
            <v>Factor &lt;&gt; Std tube 15-19m</v>
          </cell>
          <cell r="H11" t="str">
            <v>raw mat</v>
          </cell>
          <cell r="I11" t="str">
            <v>baretube</v>
          </cell>
          <cell r="J11">
            <v>37040</v>
          </cell>
        </row>
        <row r="12">
          <cell r="C12" t="str">
            <v>4MTLGTH10_15mF2001BENTELER</v>
          </cell>
          <cell r="D12">
            <v>0.97639359061160003</v>
          </cell>
          <cell r="E12">
            <v>2001</v>
          </cell>
          <cell r="F12" t="str">
            <v>Tubes, fixed length</v>
          </cell>
          <cell r="G12" t="str">
            <v>Factor &lt;&gt; Std tube 15-19m</v>
          </cell>
          <cell r="H12" t="str">
            <v>raw mat</v>
          </cell>
          <cell r="I12" t="str">
            <v>baretube</v>
          </cell>
          <cell r="J12">
            <v>37040</v>
          </cell>
        </row>
        <row r="13">
          <cell r="C13" t="str">
            <v>4MTLGTH10_15mF2002BENTELER</v>
          </cell>
          <cell r="D13">
            <v>0.96691404118818647</v>
          </cell>
          <cell r="E13">
            <v>2002</v>
          </cell>
          <cell r="F13" t="str">
            <v>Tubes, fixed length</v>
          </cell>
          <cell r="G13" t="str">
            <v>Factor &lt;&gt; Std tube 15-19m</v>
          </cell>
          <cell r="H13" t="str">
            <v>raw mat</v>
          </cell>
          <cell r="I13" t="str">
            <v>baretube</v>
          </cell>
          <cell r="J13">
            <v>37040</v>
          </cell>
        </row>
        <row r="14">
          <cell r="C14" t="str">
            <v>4MTLGTH15_19mF2000BENTELER</v>
          </cell>
          <cell r="D14">
            <v>1</v>
          </cell>
          <cell r="E14">
            <v>2000</v>
          </cell>
          <cell r="F14" t="str">
            <v>Tubes, fixed length</v>
          </cell>
          <cell r="G14" t="str">
            <v>Factor &lt;&gt; Std tube 15-19m</v>
          </cell>
          <cell r="H14" t="str">
            <v>raw mat</v>
          </cell>
          <cell r="I14" t="str">
            <v>baretube</v>
          </cell>
          <cell r="J14">
            <v>37040</v>
          </cell>
        </row>
        <row r="15">
          <cell r="C15" t="str">
            <v>4MTLGTH15_19mF2001BENTELER</v>
          </cell>
          <cell r="D15">
            <v>1</v>
          </cell>
          <cell r="E15">
            <v>2001</v>
          </cell>
          <cell r="F15" t="str">
            <v>Tubes, fixed length</v>
          </cell>
          <cell r="G15" t="str">
            <v>Factor &lt;&gt; Std tube 15-19m</v>
          </cell>
          <cell r="H15" t="str">
            <v>raw mat</v>
          </cell>
          <cell r="I15" t="str">
            <v>baretube</v>
          </cell>
          <cell r="J15">
            <v>37040</v>
          </cell>
        </row>
        <row r="16">
          <cell r="C16" t="str">
            <v>4MTLGTH15_19mF2002BENTELER</v>
          </cell>
          <cell r="D16">
            <v>1</v>
          </cell>
          <cell r="E16">
            <v>2002</v>
          </cell>
          <cell r="F16" t="str">
            <v>Tubes, fixed length</v>
          </cell>
          <cell r="G16" t="str">
            <v>Factor &lt;&gt; Std tube 15-19m</v>
          </cell>
          <cell r="H16" t="str">
            <v>raw mat</v>
          </cell>
          <cell r="I16" t="str">
            <v>baretube</v>
          </cell>
          <cell r="J16">
            <v>37040</v>
          </cell>
        </row>
      </sheetData>
      <sheetData sheetId="5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 000"/>
      <sheetName val="GENERAL SERVICES"/>
      <sheetName val="GM 001"/>
      <sheetName val="GM 011"/>
      <sheetName val="GM 023"/>
      <sheetName val="GM 024"/>
      <sheetName val="GM 025"/>
      <sheetName val="GM 026"/>
      <sheetName val="GM 027"/>
      <sheetName val="GM 028"/>
      <sheetName val="GM 031"/>
      <sheetName val="GM 032"/>
      <sheetName val="GM 041"/>
      <sheetName val="GM 042"/>
      <sheetName val="GM 043"/>
      <sheetName val="GM 044"/>
      <sheetName val="XXXXXXXX"/>
      <sheetName val="csdim"/>
      <sheetName val="cdsload"/>
      <sheetName val="chsload"/>
      <sheetName val="CLAMP"/>
      <sheetName val="cvsload"/>
      <sheetName val="pipe"/>
      <sheetName val="Code 02"/>
      <sheetName val="Code 03"/>
      <sheetName val="Code 04"/>
      <sheetName val="Code 05"/>
      <sheetName val="Code 06"/>
      <sheetName val="Code 07"/>
      <sheetName val="Code 09"/>
      <sheetName val="Cash2"/>
      <sheetName val="Z"/>
      <sheetName val="환산표"/>
      <sheetName val="PBS"/>
      <sheetName val="1-1"/>
    </sheetNames>
    <sheetDataSet>
      <sheetData sheetId="0">
        <row r="1">
          <cell r="C1" t="str">
            <v>ERECTION PRICE BREAKDOWN</v>
          </cell>
          <cell r="H1">
            <v>38023</v>
          </cell>
          <cell r="I1" t="str">
            <v>VIJ</v>
          </cell>
        </row>
        <row r="2">
          <cell r="I2" t="str">
            <v>Vijayawada</v>
          </cell>
        </row>
        <row r="4">
          <cell r="I4" t="str">
            <v>India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  <sheetName val="환율표"/>
      <sheetName val="원본"/>
      <sheetName val="자재보고"/>
      <sheetName val="공사구성"/>
      <sheetName val="공사보고"/>
      <sheetName val="TPC"/>
      <sheetName val="SPARE"/>
      <sheetName val="CABLE"/>
      <sheetName val="ITB"/>
      <sheetName val="UNIT"/>
      <sheetName val="환율별 SUM"/>
      <sheetName val="비교표"/>
      <sheetName val="5M99"/>
      <sheetName val="사업부"/>
      <sheetName val="9811"/>
      <sheetName val="집계표"/>
      <sheetName val="Q827"/>
      <sheetName val="기초일위"/>
      <sheetName val="시설일위"/>
      <sheetName val="조명일위"/>
      <sheetName val="General Data"/>
      <sheetName val="ABUT수량-A1"/>
      <sheetName val="9GNG운반"/>
      <sheetName val="XZLC004_PART2"/>
      <sheetName val="#REF"/>
      <sheetName val="소일위대가코드표"/>
      <sheetName val="7.6.3(B) UG Piping"/>
      <sheetName val="산1~6"/>
      <sheetName val="산근"/>
      <sheetName val="유화"/>
      <sheetName val="Sheet1"/>
      <sheetName val="Sheet2"/>
      <sheetName val="입출재고현황 (2)"/>
      <sheetName val="AILC004"/>
      <sheetName val="EQUIPMENT"/>
      <sheetName val="당초"/>
      <sheetName val="환율별_SUM"/>
      <sheetName val="General_Data"/>
      <sheetName val="7_6_3(B)_UG_Piping"/>
      <sheetName val="C1ㅇ"/>
      <sheetName val="Elec_BOQ"/>
      <sheetName val="경제성분석"/>
      <sheetName val="현장관리비"/>
      <sheetName val="실행내역"/>
      <sheetName val="현장업무"/>
      <sheetName val="시행예산"/>
      <sheetName val="HVAC"/>
      <sheetName val="BM"/>
      <sheetName val="토목"/>
      <sheetName val="VA_code"/>
      <sheetName val="부표총괄"/>
      <sheetName val="FWBS7000,8000"/>
      <sheetName val="ANALY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ESBAST"/>
      <sheetName val="LLEGADA"/>
      <sheetName val="Sheet10T016 Site Facilities"/>
      <sheetName val="Sheet10T016"/>
      <sheetName val=" Est "/>
      <sheetName val="Cost Cente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S"/>
      <sheetName val="VAR"/>
      <sheetName val="SQA"/>
      <sheetName val="BOM"/>
      <sheetName val="PQS"/>
      <sheetName val="PLQ"/>
      <sheetName val="FNC"/>
      <sheetName val="SOS"/>
      <sheetName val="SMR"/>
      <sheetName val="BRA"/>
      <sheetName val="BVA"/>
      <sheetName val="ESRI"/>
      <sheetName val="Sheet1"/>
    </sheetNames>
    <sheetDataSet>
      <sheetData sheetId="0"/>
      <sheetData sheetId="1">
        <row r="3">
          <cell r="D3">
            <v>1</v>
          </cell>
        </row>
        <row r="4">
          <cell r="D4">
            <v>2</v>
          </cell>
        </row>
        <row r="5">
          <cell r="D5">
            <v>3</v>
          </cell>
        </row>
        <row r="6">
          <cell r="D6">
            <v>4</v>
          </cell>
        </row>
        <row r="7">
          <cell r="D7">
            <v>5</v>
          </cell>
        </row>
        <row r="8">
          <cell r="B8" t="str">
            <v>EUR</v>
          </cell>
          <cell r="D8">
            <v>6</v>
          </cell>
        </row>
        <row r="9">
          <cell r="B9" t="str">
            <v>USD</v>
          </cell>
          <cell r="D9">
            <v>7</v>
          </cell>
        </row>
        <row r="10">
          <cell r="B10" t="str">
            <v>GBP</v>
          </cell>
          <cell r="D10">
            <v>8</v>
          </cell>
        </row>
        <row r="11">
          <cell r="B11" t="str">
            <v>EGP</v>
          </cell>
          <cell r="D11">
            <v>9</v>
          </cell>
        </row>
        <row r="12">
          <cell r="D12">
            <v>10</v>
          </cell>
        </row>
        <row r="13">
          <cell r="D13">
            <v>11</v>
          </cell>
        </row>
        <row r="14">
          <cell r="D14">
            <v>12</v>
          </cell>
        </row>
        <row r="15">
          <cell r="D15">
            <v>13</v>
          </cell>
        </row>
        <row r="16">
          <cell r="D16">
            <v>14</v>
          </cell>
        </row>
        <row r="17">
          <cell r="D17">
            <v>15</v>
          </cell>
        </row>
        <row r="18">
          <cell r="D18">
            <v>16</v>
          </cell>
        </row>
        <row r="19">
          <cell r="D19">
            <v>17</v>
          </cell>
        </row>
        <row r="20">
          <cell r="D20">
            <v>18</v>
          </cell>
        </row>
        <row r="21">
          <cell r="D21">
            <v>19</v>
          </cell>
        </row>
        <row r="22">
          <cell r="D22">
            <v>20</v>
          </cell>
        </row>
        <row r="23">
          <cell r="D23">
            <v>21</v>
          </cell>
        </row>
        <row r="24">
          <cell r="D24">
            <v>22</v>
          </cell>
        </row>
        <row r="25">
          <cell r="D25">
            <v>23</v>
          </cell>
        </row>
        <row r="26">
          <cell r="D26">
            <v>24</v>
          </cell>
        </row>
        <row r="27">
          <cell r="D27">
            <v>25</v>
          </cell>
        </row>
      </sheetData>
      <sheetData sheetId="2"/>
      <sheetData sheetId="3">
        <row r="3">
          <cell r="E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le Textile 66kV S-S"/>
      <sheetName val="BBP"/>
      <sheetName val="DATA"/>
      <sheetName val="DESBAST"/>
      <sheetName val="8.1 bms "/>
      <sheetName val="Total  Amount"/>
      <sheetName val="HQ-TO"/>
      <sheetName val="Ratios"/>
      <sheetName val="P&amp;L"/>
      <sheetName val="SILICATE"/>
      <sheetName val="Sheet10T016 Site Facilities"/>
      <sheetName val="Sheet10T016"/>
      <sheetName val="Cost Centers"/>
    </sheetNames>
    <sheetDataSet>
      <sheetData sheetId="0"/>
      <sheetData sheetId="1"/>
      <sheetData sheetId="2" refreshError="1">
        <row r="1">
          <cell r="B1">
            <v>0</v>
          </cell>
          <cell r="C1" t="str">
            <v>-----</v>
          </cell>
          <cell r="G1" t="str">
            <v>-----</v>
          </cell>
          <cell r="H1">
            <v>0</v>
          </cell>
        </row>
        <row r="2">
          <cell r="B2">
            <v>1</v>
          </cell>
          <cell r="C2" t="str">
            <v>500KV</v>
          </cell>
          <cell r="G2" t="str">
            <v>SEK</v>
          </cell>
          <cell r="H2">
            <v>0.1084</v>
          </cell>
        </row>
        <row r="3">
          <cell r="B3">
            <v>2</v>
          </cell>
          <cell r="C3" t="str">
            <v>380KV</v>
          </cell>
          <cell r="G3" t="str">
            <v>USD</v>
          </cell>
          <cell r="H3">
            <v>0.81803955043391663</v>
          </cell>
        </row>
        <row r="4">
          <cell r="B4">
            <v>3</v>
          </cell>
          <cell r="C4" t="str">
            <v>220KV</v>
          </cell>
          <cell r="G4" t="str">
            <v>GBP</v>
          </cell>
          <cell r="H4">
            <v>1.4634656423388817</v>
          </cell>
        </row>
        <row r="5">
          <cell r="B5">
            <v>4</v>
          </cell>
          <cell r="C5" t="str">
            <v>132KV</v>
          </cell>
          <cell r="G5" t="str">
            <v>CHF</v>
          </cell>
          <cell r="H5">
            <v>0.64357661118224496</v>
          </cell>
        </row>
        <row r="6">
          <cell r="B6">
            <v>5</v>
          </cell>
          <cell r="C6" t="str">
            <v>66KV</v>
          </cell>
          <cell r="G6" t="str">
            <v>EUR</v>
          </cell>
          <cell r="H6">
            <v>1</v>
          </cell>
        </row>
        <row r="7">
          <cell r="B7">
            <v>6</v>
          </cell>
          <cell r="C7" t="str">
            <v>33KV</v>
          </cell>
          <cell r="G7" t="str">
            <v>EGP</v>
          </cell>
          <cell r="H7">
            <v>0.14226774790155072</v>
          </cell>
        </row>
        <row r="8">
          <cell r="B8">
            <v>7</v>
          </cell>
          <cell r="C8" t="str">
            <v>22KV</v>
          </cell>
        </row>
        <row r="9">
          <cell r="B9">
            <v>8</v>
          </cell>
          <cell r="C9" t="str">
            <v>11KV</v>
          </cell>
        </row>
        <row r="10">
          <cell r="B10">
            <v>9</v>
          </cell>
        </row>
        <row r="11">
          <cell r="B11">
            <v>10</v>
          </cell>
        </row>
        <row r="12">
          <cell r="B12">
            <v>11</v>
          </cell>
        </row>
        <row r="13">
          <cell r="B13">
            <v>12</v>
          </cell>
        </row>
        <row r="14">
          <cell r="B14">
            <v>13</v>
          </cell>
        </row>
        <row r="15">
          <cell r="B15">
            <v>14</v>
          </cell>
        </row>
        <row r="16">
          <cell r="B16">
            <v>15</v>
          </cell>
        </row>
        <row r="17">
          <cell r="B17">
            <v>16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Tower"/>
      <sheetName val="132kv"/>
      <sheetName val="33kV Crossing"/>
      <sheetName val="11kV Crossing"/>
      <sheetName val="Currency Table"/>
    </sheetNames>
    <sheetDataSet>
      <sheetData sheetId="0"/>
      <sheetData sheetId="1"/>
      <sheetData sheetId="2"/>
      <sheetData sheetId="3"/>
      <sheetData sheetId="4"/>
      <sheetData sheetId="5">
        <row r="4">
          <cell r="C4" t="str">
            <v>SR</v>
          </cell>
          <cell r="D4">
            <v>0.98134999999999994</v>
          </cell>
        </row>
        <row r="5">
          <cell r="C5" t="str">
            <v>OR</v>
          </cell>
          <cell r="D5">
            <v>9.5579999999999998</v>
          </cell>
        </row>
        <row r="6">
          <cell r="C6" t="str">
            <v>AED</v>
          </cell>
          <cell r="D6">
            <v>1</v>
          </cell>
        </row>
        <row r="7">
          <cell r="C7" t="str">
            <v>USD</v>
          </cell>
          <cell r="D7">
            <v>3.6789999999999998</v>
          </cell>
        </row>
        <row r="8">
          <cell r="C8" t="str">
            <v>EU</v>
          </cell>
          <cell r="D8">
            <v>5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1-1) Contingency"/>
      <sheetName val="1-2) Risk Evaluation"/>
      <sheetName val="1-3) Opportunities Evaluation"/>
      <sheetName val="2) Full Cost Calculation"/>
      <sheetName val="3) Cash Flow &amp; Project Exposure"/>
      <sheetName val="4) CF graph"/>
      <sheetName val="FxExchangeRatesBudget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>
        <row r="4">
          <cell r="A4" t="str">
            <v>Code</v>
          </cell>
          <cell r="B4" t="str">
            <v>Currency name</v>
          </cell>
          <cell r="C4" t="str">
            <v>Month Daily Average Rate</v>
          </cell>
        </row>
        <row r="5">
          <cell r="A5" t="str">
            <v>AED</v>
          </cell>
          <cell r="B5" t="str">
            <v>UN ARAB EMIRIAN DIRHAM</v>
          </cell>
          <cell r="C5">
            <v>27.225701061802301</v>
          </cell>
        </row>
        <row r="6">
          <cell r="A6" t="str">
            <v>AFN</v>
          </cell>
          <cell r="B6" t="str">
            <v>AFGHANI</v>
          </cell>
          <cell r="C6">
            <v>0</v>
          </cell>
        </row>
        <row r="7">
          <cell r="A7" t="str">
            <v>ALL</v>
          </cell>
          <cell r="B7" t="str">
            <v>LEK</v>
          </cell>
          <cell r="C7">
            <v>1.09051254089422</v>
          </cell>
        </row>
        <row r="8">
          <cell r="A8" t="str">
            <v>ANG</v>
          </cell>
          <cell r="B8" t="str">
            <v>NETHERLANDS ANTILLIAN GUIKDER</v>
          </cell>
          <cell r="C8">
            <v>57.142857142857203</v>
          </cell>
        </row>
        <row r="9">
          <cell r="A9" t="str">
            <v>AOA</v>
          </cell>
          <cell r="B9" t="str">
            <v>KWANZA</v>
          </cell>
          <cell r="C9">
            <v>1.2903225806451599</v>
          </cell>
        </row>
        <row r="10">
          <cell r="A10" t="str">
            <v>ARS</v>
          </cell>
          <cell r="B10" t="str">
            <v>ARGENTINE PESO</v>
          </cell>
          <cell r="C10">
            <v>26.203390718759</v>
          </cell>
        </row>
        <row r="11">
          <cell r="A11" t="str">
            <v>ATS</v>
          </cell>
          <cell r="B11" t="str">
            <v>AUSTRIAN SHILLING</v>
          </cell>
          <cell r="C11">
            <v>10.270124925197401</v>
          </cell>
        </row>
        <row r="12">
          <cell r="A12" t="str">
            <v>AUD</v>
          </cell>
          <cell r="B12" t="str">
            <v>AUSTRALIAN DOLLAR</v>
          </cell>
          <cell r="C12">
            <v>82.865000006114599</v>
          </cell>
        </row>
        <row r="13">
          <cell r="A13" t="str">
            <v>AZN</v>
          </cell>
          <cell r="B13" t="str">
            <v>NEW AZERBAIJANIAN MANAT</v>
          </cell>
          <cell r="C13">
            <v>124.254473161034</v>
          </cell>
        </row>
        <row r="14">
          <cell r="A14" t="str">
            <v>BDT</v>
          </cell>
          <cell r="B14" t="str">
            <v>BANGLADESH TAKA</v>
          </cell>
          <cell r="C14">
            <v>1.4519056261343</v>
          </cell>
        </row>
        <row r="15">
          <cell r="A15" t="str">
            <v>BGN</v>
          </cell>
          <cell r="B15" t="str">
            <v>BULGARIAN LEV</v>
          </cell>
          <cell r="C15">
            <v>72.251725009934603</v>
          </cell>
        </row>
        <row r="16">
          <cell r="A16" t="str">
            <v>BHD</v>
          </cell>
          <cell r="B16" t="str">
            <v>BAHRAINI DINAR</v>
          </cell>
          <cell r="C16">
            <v>265.27309872543498</v>
          </cell>
        </row>
        <row r="17">
          <cell r="A17" t="str">
            <v>BND</v>
          </cell>
          <cell r="B17" t="str">
            <v>BRUNEI DOLLAR</v>
          </cell>
          <cell r="C17">
            <v>69.3769945885944</v>
          </cell>
        </row>
        <row r="18">
          <cell r="A18" t="str">
            <v>BOB</v>
          </cell>
          <cell r="B18" t="str">
            <v>BOLIVIANO</v>
          </cell>
          <cell r="C18">
            <v>14.2450142450142</v>
          </cell>
        </row>
        <row r="19">
          <cell r="A19" t="str">
            <v>BRL</v>
          </cell>
          <cell r="B19" t="str">
            <v>BRAZILIAN REAL</v>
          </cell>
          <cell r="C19">
            <v>53.120849936420797</v>
          </cell>
        </row>
        <row r="20">
          <cell r="A20" t="str">
            <v>BWP</v>
          </cell>
          <cell r="B20" t="str">
            <v>BOTSWANA PULA</v>
          </cell>
          <cell r="C20">
            <v>14.650000000113501</v>
          </cell>
        </row>
        <row r="21">
          <cell r="A21" t="str">
            <v>CAD</v>
          </cell>
          <cell r="B21" t="str">
            <v>CANADIAN DOLLAR</v>
          </cell>
          <cell r="C21">
            <v>92.691291661740905</v>
          </cell>
        </row>
        <row r="22">
          <cell r="A22" t="str">
            <v>CHF</v>
          </cell>
          <cell r="B22" t="str">
            <v>SWISS FRANC</v>
          </cell>
          <cell r="C22">
            <v>92.216894135005504</v>
          </cell>
        </row>
        <row r="23">
          <cell r="A23" t="str">
            <v>CLP</v>
          </cell>
          <cell r="B23" t="str">
            <v>CHILEAN PESO</v>
          </cell>
          <cell r="C23">
            <v>0.18424689083371701</v>
          </cell>
        </row>
        <row r="24">
          <cell r="A24" t="str">
            <v>CNY</v>
          </cell>
          <cell r="B24" t="str">
            <v>CHINESE YUAN RENMINBI</v>
          </cell>
          <cell r="C24">
            <v>14.634646061085</v>
          </cell>
        </row>
        <row r="25">
          <cell r="A25" t="str">
            <v>COP</v>
          </cell>
          <cell r="B25" t="str">
            <v>COLOMBIAN PESO</v>
          </cell>
          <cell r="C25">
            <v>4.8891985381298797E-2</v>
          </cell>
        </row>
        <row r="26">
          <cell r="A26" t="str">
            <v>CUC</v>
          </cell>
          <cell r="B26" t="str">
            <v>PESO CONVERTIBLE</v>
          </cell>
          <cell r="C26">
            <v>0</v>
          </cell>
        </row>
        <row r="27">
          <cell r="A27" t="str">
            <v>CUP</v>
          </cell>
          <cell r="B27" t="str">
            <v>CUBAN PESO</v>
          </cell>
          <cell r="C27">
            <v>100</v>
          </cell>
        </row>
        <row r="28">
          <cell r="A28" t="str">
            <v>CZK</v>
          </cell>
          <cell r="B28" t="str">
            <v>CZECHISH KORUNA</v>
          </cell>
          <cell r="C28">
            <v>5.5143510987344602</v>
          </cell>
        </row>
        <row r="29">
          <cell r="A29" t="str">
            <v>DJF</v>
          </cell>
          <cell r="B29" t="str">
            <v>DJIBOUTI FRANC</v>
          </cell>
          <cell r="C29">
            <v>0.57087400810641098</v>
          </cell>
        </row>
        <row r="30">
          <cell r="A30" t="str">
            <v>DKK</v>
          </cell>
          <cell r="B30" t="str">
            <v>DANISH KRONE</v>
          </cell>
          <cell r="C30">
            <v>18.979293591052802</v>
          </cell>
        </row>
        <row r="31">
          <cell r="A31" t="str">
            <v>DOP</v>
          </cell>
          <cell r="B31" t="str">
            <v>DOMINICAN PESO</v>
          </cell>
          <cell r="C31">
            <v>2.7777777777777799</v>
          </cell>
        </row>
        <row r="32">
          <cell r="A32" t="str">
            <v>DZD</v>
          </cell>
          <cell r="B32" t="str">
            <v>ALGERIAN DINAR</v>
          </cell>
          <cell r="C32">
            <v>1.3688504394009899</v>
          </cell>
        </row>
        <row r="33">
          <cell r="A33" t="str">
            <v>EEK</v>
          </cell>
          <cell r="B33" t="str">
            <v>ESTONIAN KROON</v>
          </cell>
          <cell r="C33">
            <v>9.0319958452819105</v>
          </cell>
        </row>
        <row r="34">
          <cell r="A34" t="str">
            <v>EGP</v>
          </cell>
          <cell r="B34" t="str">
            <v>EGYPTIAN POUND</v>
          </cell>
          <cell r="C34">
            <v>18.025975430920401</v>
          </cell>
        </row>
        <row r="35">
          <cell r="A35" t="str">
            <v>ETB</v>
          </cell>
          <cell r="B35" t="str">
            <v>ETHIOPIAN BIRR</v>
          </cell>
          <cell r="C35">
            <v>8.8183421516754894</v>
          </cell>
        </row>
        <row r="36">
          <cell r="A36" t="str">
            <v>EUR</v>
          </cell>
          <cell r="B36" t="str">
            <v>EURO</v>
          </cell>
          <cell r="C36">
            <v>141.3200000084</v>
          </cell>
        </row>
        <row r="37">
          <cell r="A37" t="str">
            <v>GBP</v>
          </cell>
          <cell r="B37" t="str">
            <v>BRITISH POUND</v>
          </cell>
          <cell r="C37">
            <v>165.65000000670901</v>
          </cell>
        </row>
        <row r="38">
          <cell r="A38" t="str">
            <v>GHS</v>
          </cell>
          <cell r="B38" t="str">
            <v>GHANA CEDI</v>
          </cell>
          <cell r="C38">
            <v>0</v>
          </cell>
        </row>
        <row r="39">
          <cell r="A39" t="str">
            <v>GMD</v>
          </cell>
          <cell r="B39" t="str">
            <v>GAMBIA DALASI</v>
          </cell>
          <cell r="C39">
            <v>0</v>
          </cell>
        </row>
        <row r="40">
          <cell r="A40" t="str">
            <v>GNF</v>
          </cell>
          <cell r="B40" t="str">
            <v>GUINEA FRANC</v>
          </cell>
          <cell r="C40">
            <v>2.06185567010309E-2</v>
          </cell>
        </row>
        <row r="41">
          <cell r="A41" t="str">
            <v>GTQ</v>
          </cell>
          <cell r="B41" t="str">
            <v>QUETZAL</v>
          </cell>
          <cell r="C41">
            <v>12.2827488791992</v>
          </cell>
        </row>
        <row r="42">
          <cell r="A42" t="str">
            <v>GYD</v>
          </cell>
          <cell r="B42" t="str">
            <v>GUYANA DOLLAR</v>
          </cell>
          <cell r="C42">
            <v>0.48661800486618001</v>
          </cell>
        </row>
        <row r="43">
          <cell r="A43" t="str">
            <v>HKD</v>
          </cell>
          <cell r="B43" t="str">
            <v>HONG KONG DOLLAR</v>
          </cell>
          <cell r="C43">
            <v>12.9032258064516</v>
          </cell>
        </row>
        <row r="44">
          <cell r="A44" t="str">
            <v>HNL</v>
          </cell>
          <cell r="B44" t="str">
            <v>LEMPIRA</v>
          </cell>
          <cell r="C44">
            <v>5.2924053982535098</v>
          </cell>
        </row>
        <row r="45">
          <cell r="A45" t="str">
            <v>HRK</v>
          </cell>
          <cell r="B45" t="str">
            <v>CROATIA KUNA</v>
          </cell>
          <cell r="C45">
            <v>19.217834150091299</v>
          </cell>
        </row>
        <row r="46">
          <cell r="A46" t="str">
            <v>HUF</v>
          </cell>
          <cell r="B46" t="str">
            <v>HUNGARIAN FORINT</v>
          </cell>
          <cell r="C46">
            <v>0.53103924380011702</v>
          </cell>
        </row>
        <row r="47">
          <cell r="A47" t="str">
            <v>IDR</v>
          </cell>
          <cell r="B47" t="str">
            <v>INDONESIAN RUPIAH</v>
          </cell>
          <cell r="C47">
            <v>1.00755667506297E-2</v>
          </cell>
        </row>
        <row r="48">
          <cell r="A48" t="str">
            <v>ILS</v>
          </cell>
          <cell r="B48" t="str">
            <v>ISRAEL SHEKEL</v>
          </cell>
          <cell r="C48">
            <v>26.295030239284799</v>
          </cell>
        </row>
        <row r="49">
          <cell r="A49" t="str">
            <v>INR</v>
          </cell>
          <cell r="B49" t="str">
            <v>INDIAN RUPEE</v>
          </cell>
          <cell r="C49">
            <v>2.0826824950536298</v>
          </cell>
        </row>
        <row r="50">
          <cell r="A50" t="str">
            <v>IQD</v>
          </cell>
          <cell r="B50" t="str">
            <v>IRAQI DINAR</v>
          </cell>
          <cell r="C50">
            <v>8.6355785837651106E-2</v>
          </cell>
        </row>
        <row r="51">
          <cell r="A51" t="str">
            <v>IRR</v>
          </cell>
          <cell r="B51" t="str">
            <v>IRANIAN RIAL</v>
          </cell>
          <cell r="C51">
            <v>1.00401606425703E-2</v>
          </cell>
        </row>
        <row r="52">
          <cell r="A52" t="str">
            <v>ISK</v>
          </cell>
          <cell r="B52" t="str">
            <v>ICELAND KRONA</v>
          </cell>
          <cell r="C52">
            <v>0.78079250439195802</v>
          </cell>
        </row>
        <row r="53">
          <cell r="A53" t="str">
            <v>JOD</v>
          </cell>
          <cell r="B53" t="str">
            <v>JORDAN-DINAR</v>
          </cell>
          <cell r="C53">
            <v>141.33276800226099</v>
          </cell>
        </row>
        <row r="54">
          <cell r="A54" t="str">
            <v>JPY</v>
          </cell>
          <cell r="B54" t="str">
            <v>JAPANESE YEN</v>
          </cell>
          <cell r="C54">
            <v>1.0454236579373799</v>
          </cell>
        </row>
        <row r="55">
          <cell r="A55" t="str">
            <v>KES</v>
          </cell>
          <cell r="B55" t="str">
            <v>KENYAN SHILLING</v>
          </cell>
          <cell r="C55">
            <v>1.3058239749281799</v>
          </cell>
        </row>
        <row r="56">
          <cell r="A56" t="str">
            <v>KPW</v>
          </cell>
          <cell r="B56" t="str">
            <v>NORTH KOREAN WON</v>
          </cell>
          <cell r="C56">
            <v>0.69905627403054804</v>
          </cell>
        </row>
        <row r="57">
          <cell r="A57" t="str">
            <v>KRW</v>
          </cell>
          <cell r="B57" t="str">
            <v>KOREAN WON</v>
          </cell>
          <cell r="C57">
            <v>8.1386831610645402E-2</v>
          </cell>
        </row>
        <row r="58">
          <cell r="A58" t="str">
            <v>KWD</v>
          </cell>
          <cell r="B58" t="str">
            <v>KUWAITI DINAR</v>
          </cell>
          <cell r="C58">
            <v>347.82608695652198</v>
          </cell>
        </row>
        <row r="59">
          <cell r="A59" t="str">
            <v>KZT</v>
          </cell>
          <cell r="B59" t="str">
            <v>KAZAKHSTAN TENGE</v>
          </cell>
          <cell r="C59">
            <v>0.66343793538114504</v>
          </cell>
        </row>
        <row r="60">
          <cell r="A60" t="str">
            <v>LAK</v>
          </cell>
          <cell r="B60" t="str">
            <v>KIP</v>
          </cell>
          <cell r="C60">
            <v>1.1741912757588201E-2</v>
          </cell>
        </row>
        <row r="61">
          <cell r="A61" t="str">
            <v>LBP</v>
          </cell>
          <cell r="B61" t="str">
            <v>LEBANESE POUND</v>
          </cell>
          <cell r="C61">
            <v>6.6334991708125998E-2</v>
          </cell>
        </row>
        <row r="62">
          <cell r="A62" t="str">
            <v>LKR</v>
          </cell>
          <cell r="B62" t="str">
            <v>SRI LANKA RUPEE</v>
          </cell>
          <cell r="C62">
            <v>0.87017055342847205</v>
          </cell>
        </row>
        <row r="63">
          <cell r="A63" t="str">
            <v>LRD</v>
          </cell>
          <cell r="B63" t="str">
            <v>LIBERIAN DOLLAR</v>
          </cell>
          <cell r="C63">
            <v>1.4174344436569799</v>
          </cell>
        </row>
        <row r="64">
          <cell r="A64" t="str">
            <v>LTL</v>
          </cell>
          <cell r="B64" t="str">
            <v>LITHUANIAN LITAS</v>
          </cell>
          <cell r="C64">
            <v>40.913182227313598</v>
          </cell>
        </row>
        <row r="65">
          <cell r="A65" t="str">
            <v>LVL</v>
          </cell>
          <cell r="B65" t="str">
            <v>LATVIA LATS</v>
          </cell>
          <cell r="C65">
            <v>201.28824476650601</v>
          </cell>
        </row>
        <row r="66">
          <cell r="A66" t="str">
            <v>LYD</v>
          </cell>
          <cell r="B66" t="str">
            <v>LIBYAN DINAR</v>
          </cell>
          <cell r="C66">
            <v>81.037277147487799</v>
          </cell>
        </row>
        <row r="67">
          <cell r="A67" t="str">
            <v>MAD</v>
          </cell>
          <cell r="B67" t="str">
            <v>MOROCCAN DIRHAM</v>
          </cell>
          <cell r="C67">
            <v>12.505158377830901</v>
          </cell>
        </row>
        <row r="68">
          <cell r="A68" t="str">
            <v>MGA</v>
          </cell>
          <cell r="B68" t="str">
            <v>MALAGASCY ARIARY</v>
          </cell>
          <cell r="C68">
            <v>5.1880674448767802E-2</v>
          </cell>
        </row>
        <row r="69">
          <cell r="A69" t="str">
            <v>MKD</v>
          </cell>
          <cell r="B69" t="str">
            <v>MACEDONIAN DENAR</v>
          </cell>
          <cell r="C69">
            <v>2.2849308808408502</v>
          </cell>
        </row>
        <row r="70">
          <cell r="A70" t="str">
            <v>MOP</v>
          </cell>
          <cell r="B70" t="str">
            <v>PATACA</v>
          </cell>
          <cell r="C70">
            <v>12.539184952978101</v>
          </cell>
        </row>
        <row r="71">
          <cell r="A71" t="str">
            <v>MRO</v>
          </cell>
          <cell r="B71" t="str">
            <v>OUGUIYA</v>
          </cell>
          <cell r="C71">
            <v>0.38022813688212898</v>
          </cell>
        </row>
        <row r="72">
          <cell r="A72" t="str">
            <v>MUR</v>
          </cell>
          <cell r="B72" t="str">
            <v>MAURITIUS RUPEE</v>
          </cell>
          <cell r="C72">
            <v>3.1298904538341201</v>
          </cell>
        </row>
        <row r="73">
          <cell r="A73" t="str">
            <v>MXN</v>
          </cell>
          <cell r="B73" t="str">
            <v>MEXICAN PESO</v>
          </cell>
          <cell r="C73">
            <v>7.5651548966037403</v>
          </cell>
        </row>
        <row r="74">
          <cell r="A74" t="str">
            <v>MYR</v>
          </cell>
          <cell r="B74" t="str">
            <v>MALAYSIAN RINGGIT</v>
          </cell>
          <cell r="C74">
            <v>28.388928317956001</v>
          </cell>
        </row>
        <row r="75">
          <cell r="A75" t="str">
            <v>MZN</v>
          </cell>
          <cell r="B75" t="str">
            <v>MOZAMBIQUE METICAL</v>
          </cell>
          <cell r="C75">
            <v>3.7223152801042199</v>
          </cell>
        </row>
        <row r="76">
          <cell r="A76" t="str">
            <v>NAD</v>
          </cell>
          <cell r="B76" t="str">
            <v>NAMIBIA DOLLAR</v>
          </cell>
          <cell r="C76">
            <v>12.819691045445801</v>
          </cell>
        </row>
        <row r="77">
          <cell r="A77" t="str">
            <v>NGN</v>
          </cell>
          <cell r="B77" t="str">
            <v>NIGERIAN NAIRA</v>
          </cell>
          <cell r="C77">
            <v>0.63795853269537495</v>
          </cell>
        </row>
        <row r="78">
          <cell r="A78" t="str">
            <v>NOK</v>
          </cell>
          <cell r="B78" t="str">
            <v>NORWEIGIAN KRONE</v>
          </cell>
          <cell r="C78">
            <v>16.1574380766186</v>
          </cell>
        </row>
        <row r="79">
          <cell r="A79" t="str">
            <v>NPR</v>
          </cell>
          <cell r="B79" t="str">
            <v>NEPALESE RUPEE</v>
          </cell>
          <cell r="C79">
            <v>0</v>
          </cell>
        </row>
        <row r="80">
          <cell r="A80" t="str">
            <v>NZD</v>
          </cell>
          <cell r="B80" t="str">
            <v>NEW ZEALAND DOLLAR</v>
          </cell>
          <cell r="C80">
            <v>65.730000003985893</v>
          </cell>
        </row>
        <row r="81">
          <cell r="A81" t="str">
            <v>OMR</v>
          </cell>
          <cell r="B81" t="str">
            <v>OMANI RIAL</v>
          </cell>
          <cell r="C81">
            <v>259.76050081824599</v>
          </cell>
        </row>
        <row r="82">
          <cell r="A82" t="str">
            <v>PAB</v>
          </cell>
          <cell r="B82" t="str">
            <v>PANAMA BALBOA</v>
          </cell>
          <cell r="C82">
            <v>100</v>
          </cell>
        </row>
        <row r="83">
          <cell r="A83" t="str">
            <v>PEN</v>
          </cell>
          <cell r="B83" t="str">
            <v>PERUVIAN NUEVO SOL</v>
          </cell>
          <cell r="C83">
            <v>33.500837520937999</v>
          </cell>
        </row>
        <row r="84">
          <cell r="A84" t="str">
            <v>PGK</v>
          </cell>
          <cell r="B84" t="str">
            <v>PAPUA NEW GUINEA KINA</v>
          </cell>
          <cell r="C84">
            <v>38.5800000000918</v>
          </cell>
        </row>
        <row r="85">
          <cell r="A85" t="str">
            <v>PHP</v>
          </cell>
          <cell r="B85" t="str">
            <v>PHILIPPINE PISO</v>
          </cell>
          <cell r="C85">
            <v>2.0824656393212901</v>
          </cell>
        </row>
        <row r="86">
          <cell r="A86" t="str">
            <v>PKR</v>
          </cell>
          <cell r="B86" t="str">
            <v>PAKISTANI RUPEE</v>
          </cell>
          <cell r="C86">
            <v>1.2017786323759201</v>
          </cell>
        </row>
        <row r="87">
          <cell r="A87" t="str">
            <v>PLN</v>
          </cell>
          <cell r="B87" t="str">
            <v>POLISH ZLOTY</v>
          </cell>
          <cell r="C87">
            <v>34.032705429918202</v>
          </cell>
        </row>
        <row r="88">
          <cell r="A88" t="str">
            <v>PYG</v>
          </cell>
          <cell r="B88" t="str">
            <v>GUARANI</v>
          </cell>
          <cell r="C88">
            <v>2.0020020020019999E-2</v>
          </cell>
        </row>
        <row r="89">
          <cell r="A89" t="str">
            <v>QAR</v>
          </cell>
          <cell r="B89" t="str">
            <v>QATARI RIAL</v>
          </cell>
          <cell r="C89">
            <v>27.466868090365999</v>
          </cell>
        </row>
        <row r="90">
          <cell r="A90" t="str">
            <v>RON</v>
          </cell>
          <cell r="B90" t="str">
            <v>ROMANIAN LEU</v>
          </cell>
          <cell r="C90">
            <v>33.526670466356002</v>
          </cell>
        </row>
        <row r="91">
          <cell r="A91" t="str">
            <v>RSD</v>
          </cell>
          <cell r="B91" t="str">
            <v>SERBIAN DINAR</v>
          </cell>
          <cell r="C91">
            <v>1.51641519448025</v>
          </cell>
        </row>
        <row r="92">
          <cell r="A92" t="str">
            <v>RUB</v>
          </cell>
          <cell r="B92" t="str">
            <v>RUSSIAN RUBLE</v>
          </cell>
          <cell r="C92">
            <v>3.18511912346536</v>
          </cell>
        </row>
        <row r="93">
          <cell r="A93" t="str">
            <v>SAR</v>
          </cell>
          <cell r="B93" t="str">
            <v>SAUDI RIYAL</v>
          </cell>
          <cell r="C93">
            <v>26.665955575229098</v>
          </cell>
        </row>
        <row r="94">
          <cell r="A94" t="str">
            <v>SCR</v>
          </cell>
          <cell r="B94" t="str">
            <v>SEYCHELLES RUPEE</v>
          </cell>
          <cell r="C94">
            <v>7.5529271369119098</v>
          </cell>
        </row>
        <row r="95">
          <cell r="A95" t="str">
            <v>SDG</v>
          </cell>
          <cell r="B95" t="str">
            <v>SUDANESE POUND</v>
          </cell>
          <cell r="C95">
            <v>41.358203399644303</v>
          </cell>
        </row>
        <row r="96">
          <cell r="A96" t="str">
            <v>SEK</v>
          </cell>
          <cell r="B96" t="str">
            <v>SWEDISH KRONA</v>
          </cell>
          <cell r="C96">
            <v>13.651411214634299</v>
          </cell>
        </row>
        <row r="97">
          <cell r="A97" t="str">
            <v>SGD</v>
          </cell>
          <cell r="B97" t="str">
            <v>SINGAPORE DOLLAR</v>
          </cell>
          <cell r="C97">
            <v>69.413112136882603</v>
          </cell>
        </row>
        <row r="98">
          <cell r="A98" t="str">
            <v>SLL</v>
          </cell>
          <cell r="B98" t="str">
            <v>LEONE</v>
          </cell>
          <cell r="C98">
            <v>3.00751879699248E-2</v>
          </cell>
        </row>
        <row r="99">
          <cell r="A99" t="str">
            <v>SOS</v>
          </cell>
          <cell r="B99" t="str">
            <v>SOMALI SHILLING</v>
          </cell>
          <cell r="C99">
            <v>7.0175438596491196E-2</v>
          </cell>
        </row>
        <row r="100">
          <cell r="A100" t="str">
            <v>SRD</v>
          </cell>
          <cell r="B100" t="str">
            <v>SURINAM DOLLAR</v>
          </cell>
          <cell r="C100">
            <v>36.429872495446297</v>
          </cell>
        </row>
        <row r="101">
          <cell r="A101" t="str">
            <v>SVC</v>
          </cell>
          <cell r="B101" t="str">
            <v>EL SALVAOR COLON</v>
          </cell>
          <cell r="C101">
            <v>11.4311842706904</v>
          </cell>
        </row>
        <row r="102">
          <cell r="A102" t="str">
            <v>SYP</v>
          </cell>
          <cell r="B102" t="str">
            <v>SYRIAN POUND</v>
          </cell>
          <cell r="C102">
            <v>2.1715526601520101</v>
          </cell>
        </row>
        <row r="103">
          <cell r="A103" t="str">
            <v>SZL</v>
          </cell>
          <cell r="B103" t="str">
            <v>LILANGENI</v>
          </cell>
          <cell r="C103">
            <v>12.824623276691201</v>
          </cell>
        </row>
        <row r="104">
          <cell r="A104" t="str">
            <v>THB</v>
          </cell>
          <cell r="B104" t="str">
            <v>THAI BAHT</v>
          </cell>
          <cell r="C104">
            <v>2.9390154298310098</v>
          </cell>
        </row>
        <row r="105">
          <cell r="A105" t="str">
            <v>TND</v>
          </cell>
          <cell r="B105" t="str">
            <v>TUNISIAN DINAR</v>
          </cell>
          <cell r="C105">
            <v>75.134302565836407</v>
          </cell>
        </row>
        <row r="106">
          <cell r="A106" t="str">
            <v>TRY</v>
          </cell>
          <cell r="B106" t="str">
            <v>TURKISH LIRA</v>
          </cell>
          <cell r="C106">
            <v>67.766746857317102</v>
          </cell>
        </row>
        <row r="107">
          <cell r="A107" t="str">
            <v>TWD</v>
          </cell>
          <cell r="B107" t="str">
            <v>TAIWAN DOLLAR</v>
          </cell>
          <cell r="C107">
            <v>3.05064063453325</v>
          </cell>
        </row>
        <row r="108">
          <cell r="A108" t="str">
            <v>TZS</v>
          </cell>
          <cell r="B108" t="str">
            <v>TANZANIAN SHILLING</v>
          </cell>
          <cell r="C108">
            <v>7.54716981132076E-2</v>
          </cell>
        </row>
        <row r="109">
          <cell r="A109" t="str">
            <v>UAH</v>
          </cell>
          <cell r="B109" t="str">
            <v>UKRAINE HRYVNIA</v>
          </cell>
          <cell r="C109">
            <v>12.698412698412699</v>
          </cell>
        </row>
        <row r="110">
          <cell r="A110" t="str">
            <v>UGX</v>
          </cell>
          <cell r="B110" t="str">
            <v>UGANDA SHILLING</v>
          </cell>
          <cell r="C110">
            <v>4.7551117451260103E-2</v>
          </cell>
        </row>
        <row r="111">
          <cell r="A111" t="str">
            <v>USD</v>
          </cell>
          <cell r="B111" t="str">
            <v>UNITED STATES DOLLAR</v>
          </cell>
          <cell r="C111">
            <v>100</v>
          </cell>
        </row>
        <row r="112">
          <cell r="A112" t="str">
            <v>UYU</v>
          </cell>
          <cell r="B112" t="str">
            <v>PESO URUGUAYO</v>
          </cell>
          <cell r="C112">
            <v>4.2826552462526797</v>
          </cell>
        </row>
        <row r="113">
          <cell r="A113" t="str">
            <v>VEF</v>
          </cell>
          <cell r="B113" t="str">
            <v>VENEZUELA BOLIVAR FUERTE</v>
          </cell>
          <cell r="C113">
            <v>46.570111302565998</v>
          </cell>
        </row>
        <row r="114">
          <cell r="A114" t="str">
            <v>VND</v>
          </cell>
          <cell r="B114" t="str">
            <v>VIET NAM DONG</v>
          </cell>
          <cell r="C114">
            <v>5.6137199315126202E-3</v>
          </cell>
        </row>
        <row r="115">
          <cell r="A115" t="str">
            <v>XAF</v>
          </cell>
          <cell r="B115" t="str">
            <v>CFA-FRANC BEAC</v>
          </cell>
          <cell r="C115">
            <v>0.21542670644879799</v>
          </cell>
        </row>
        <row r="116">
          <cell r="A116" t="str">
            <v>XOF</v>
          </cell>
          <cell r="B116" t="str">
            <v>CFA-FRANC BCEAO</v>
          </cell>
          <cell r="C116">
            <v>0.21544991328141</v>
          </cell>
        </row>
        <row r="117">
          <cell r="A117" t="str">
            <v>XPF</v>
          </cell>
          <cell r="B117" t="str">
            <v>CFP FRANC</v>
          </cell>
          <cell r="C117">
            <v>0</v>
          </cell>
        </row>
        <row r="118">
          <cell r="A118" t="str">
            <v>ZAR</v>
          </cell>
          <cell r="B118" t="str">
            <v>SOUTH AFRICAN RAND</v>
          </cell>
          <cell r="C118">
            <v>12.8164049985622</v>
          </cell>
        </row>
        <row r="119">
          <cell r="A119" t="str">
            <v>ZMK</v>
          </cell>
          <cell r="B119" t="str">
            <v>ZAMBIAN KWACHA</v>
          </cell>
          <cell r="C119">
            <v>1.9801980198019799E-2</v>
          </cell>
        </row>
        <row r="120">
          <cell r="A120" t="str">
            <v>ZWL</v>
          </cell>
          <cell r="B120" t="str">
            <v>ZIMBABWE DOLLAR</v>
          </cell>
          <cell r="C120">
            <v>0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比較 (最新)"/>
      <sheetName val="見積比較 (1)"/>
      <sheetName val="見積比較 (2)"/>
      <sheetName val="工数検討"/>
      <sheetName val=" SV SCDL"/>
      <sheetName val="BQ整理 (2)"/>
      <sheetName val="BQ整理"/>
      <sheetName val="100% "/>
      <sheetName val="115%"/>
      <sheetName val="最終版 (A)"/>
      <sheetName val="最終版 (B)"/>
      <sheetName val="工事費ｸﾞﾗﾌ"/>
      <sheetName val="比較"/>
      <sheetName val="GT 計装工事材 BQ"/>
      <sheetName val="電気工事材"/>
      <sheetName val="表紙"/>
      <sheetName val="表紙 (2)"/>
      <sheetName val="工事見積方針"/>
      <sheetName val="取り纏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  <sheetName val="Y-WORK"/>
      <sheetName val="ITEM"/>
      <sheetName val="ITB COST"/>
      <sheetName val="환율"/>
      <sheetName val="주경기-오배수"/>
      <sheetName val="단면가정"/>
      <sheetName val="을"/>
      <sheetName val="Sheet5"/>
      <sheetName val="ITB_COST"/>
      <sheetName val="XZLC004_PART2"/>
      <sheetName val="Sheet1"/>
      <sheetName val="HVAC"/>
      <sheetName val="SOURCE"/>
      <sheetName val="Pipe"/>
      <sheetName val="SILICATE"/>
      <sheetName val="COA-17"/>
      <sheetName val="C-18"/>
      <sheetName val="산1~4"/>
      <sheetName val="부표총괄"/>
      <sheetName val="현장관리비"/>
      <sheetName val="실행내역"/>
      <sheetName val="산근"/>
      <sheetName val="노임단가"/>
      <sheetName val="견"/>
      <sheetName val="TOT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QFRM2"/>
      <sheetName val="Module1"/>
    </sheetNames>
    <sheetDataSet>
      <sheetData sheetId="0"/>
      <sheetData sheetId="1"/>
      <sheetData sheetId="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QUANTITIES"/>
      <sheetName val="FINISHES CODE"/>
      <sheetName val="BASEMENT FLOOR"/>
      <sheetName val="GROUND FLOOR"/>
      <sheetName val="FIRST FLOOR"/>
      <sheetName val="SECOND FLOOR"/>
      <sheetName val="THIRD FLOOR"/>
      <sheetName val="FOURTH FLOOR"/>
      <sheetName val="FIFTH FLOOR"/>
      <sheetName val="SIXTH FLOOR"/>
      <sheetName val="SEVENTH FLOOR"/>
      <sheetName val="CSI_Code"/>
      <sheetName val="FINISHES CODE_Copy"/>
      <sheetName val="Raft Foundation"/>
      <sheetName val="Comparison"/>
      <sheetName val="Sheet2"/>
      <sheetName val="Variables"/>
      <sheetName val="Doors"/>
      <sheetName val="PT"/>
      <sheetName val="Sheet1"/>
      <sheetName val="Brick PT"/>
      <sheetName val="Brick"/>
      <sheetName val="Facade"/>
      <sheetName val="W. Locations"/>
      <sheetName val="Windows Specs."/>
      <sheetName val="D&amp;W"/>
      <sheetName val="Raft take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0.9</v>
          </cell>
        </row>
        <row r="11">
          <cell r="B11">
            <v>0.9</v>
          </cell>
        </row>
        <row r="12">
          <cell r="B12">
            <v>0.9</v>
          </cell>
        </row>
        <row r="13">
          <cell r="B13">
            <v>2</v>
          </cell>
        </row>
        <row r="14">
          <cell r="B14">
            <v>2</v>
          </cell>
        </row>
        <row r="15">
          <cell r="B15">
            <v>2</v>
          </cell>
        </row>
        <row r="16">
          <cell r="B16">
            <v>2</v>
          </cell>
        </row>
        <row r="17">
          <cell r="B17">
            <v>2</v>
          </cell>
        </row>
        <row r="20">
          <cell r="B20">
            <v>0.8</v>
          </cell>
        </row>
        <row r="21">
          <cell r="B21">
            <v>0.8</v>
          </cell>
        </row>
        <row r="23">
          <cell r="B23">
            <v>1.25</v>
          </cell>
        </row>
        <row r="24">
          <cell r="B24">
            <v>1.5</v>
          </cell>
        </row>
        <row r="29">
          <cell r="B29">
            <v>5.4</v>
          </cell>
        </row>
        <row r="30">
          <cell r="B30">
            <v>2.7</v>
          </cell>
        </row>
        <row r="31">
          <cell r="B31">
            <v>0.48</v>
          </cell>
        </row>
        <row r="32">
          <cell r="B32">
            <v>8.3000000000000007</v>
          </cell>
        </row>
        <row r="33">
          <cell r="B33">
            <v>5.8</v>
          </cell>
        </row>
        <row r="34">
          <cell r="B34">
            <v>0.48</v>
          </cell>
        </row>
        <row r="35">
          <cell r="B35">
            <v>8.1</v>
          </cell>
        </row>
        <row r="36">
          <cell r="B36">
            <v>5.8724999999999996</v>
          </cell>
        </row>
        <row r="37">
          <cell r="B37">
            <v>7.83</v>
          </cell>
        </row>
        <row r="38">
          <cell r="B38">
            <v>5.4</v>
          </cell>
        </row>
      </sheetData>
      <sheetData sheetId="2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KH12"/>
      <sheetName val="CN12"/>
      <sheetName val="HD12"/>
      <sheetName val="KH1"/>
      <sheetName val="00000000"/>
      <sheetName val="cong bien t10"/>
      <sheetName val="luong t9 "/>
      <sheetName val="bb t9"/>
      <sheetName val="XETT10-03"/>
      <sheetName val="bxet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MD"/>
      <sheetName val="ND"/>
      <sheetName val="CONG"/>
      <sheetName val="DGCT"/>
      <sheetName val="Gia VL"/>
      <sheetName val="Bang gia ca may"/>
      <sheetName val="Bang luong CB"/>
      <sheetName val="Bang P.tich CT"/>
      <sheetName val="D.toan chi tiet"/>
      <sheetName val="Bang TH Dtoan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BC_KKTSCD"/>
      <sheetName val="Chitiet"/>
      <sheetName val="Sheet2 (2)"/>
      <sheetName val="Mau_BC_KKTSCD"/>
      <sheetName val="KH 2003 (moi max)"/>
      <sheetName val="Chart2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VL"/>
      <sheetName val="CTXD"/>
      <sheetName val=".."/>
      <sheetName val="CTDN"/>
      <sheetName val="san vuon"/>
      <sheetName val="khu phu tro"/>
      <sheetName val="TH"/>
      <sheetName val="Thuyet minh"/>
      <sheetName val="CQ-HQ"/>
      <sheetName val="be tong"/>
      <sheetName val="Thep"/>
      <sheetName val="Tong hop thep"/>
      <sheetName val="phan tich DG"/>
      <sheetName val="gia vat lieu"/>
      <sheetName val="gia xe may"/>
      <sheetName val="gia nhan cong"/>
      <sheetName val="XL4Test5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Congty"/>
      <sheetName val="VPPN"/>
      <sheetName val="XN74"/>
      <sheetName val="XN54"/>
      <sheetName val="XN33"/>
      <sheetName val="NK96"/>
      <sheetName val="THCT"/>
      <sheetName val="cap cho cac DT"/>
      <sheetName val="Ung - hoan"/>
      <sheetName val="CP may"/>
      <sheetName val="SS"/>
      <sheetName val="NVL"/>
      <sheetName val="10000000"/>
      <sheetName val="Phu luc"/>
      <sheetName val="Gia trÞ"/>
      <sheetName val=""/>
      <sheetName val="1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Thep "/>
      <sheetName val="Chi tiet Khoi luong"/>
      <sheetName val="TH khoi luong"/>
      <sheetName val="Chiet tinh vat lieu "/>
      <sheetName val="TH KL VL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Q1-02"/>
      <sheetName val="Q2-02"/>
      <sheetName val="Q3-02"/>
      <sheetName val="9"/>
      <sheetName val="10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45A-BH"/>
      <sheetName val="C46A-BH"/>
      <sheetName val="C47A-BH"/>
      <sheetName val="C48A-BH"/>
      <sheetName val="S-53-1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CHIT"/>
      <sheetName val="THXH"/>
      <sheetName val="BHXH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ong Q2"/>
      <sheetName val="T.U luong Q1"/>
      <sheetName val="T.U luong Q2"/>
      <sheetName val="T.U luong Q3"/>
      <sheetName val="Quyet toan"/>
      <sheetName val="Thu hoi"/>
      <sheetName val="Lai vay"/>
      <sheetName val="Tien vay"/>
      <sheetName val="Cong no"/>
      <sheetName val="Cop pha"/>
      <sheetName val="20000000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QT Duoc (Hai)"/>
      <sheetName val="Cua"/>
      <sheetName val="NS"/>
      <sheetName val="sent to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C47-QI-2003"/>
      <sheetName val="ytq1"/>
      <sheetName val="SILICATE"/>
      <sheetName val="기계시공"/>
      <sheetName val="clvl"/>
      <sheetName val="CAT_5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THDT"/>
      <sheetName val="DM-Goc"/>
      <sheetName val="Gia-CT"/>
      <sheetName val="PTCP"/>
      <sheetName val="cphoi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T1(T1)04"/>
      <sheetName val="BU6-_x0005_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aodo"/>
      <sheetName val="SOURCE"/>
      <sheetName val="C-18"/>
      <sheetName val="costing_CV"/>
      <sheetName val="costing_ESDV"/>
      <sheetName val="costing_FE"/>
      <sheetName val="costing_MOV"/>
      <sheetName val="costing_Press"/>
      <sheetName val="환율"/>
      <sheetName val=" Est "/>
      <sheetName val="COA-17"/>
      <sheetName val="KH-2001"/>
      <sheetName val="Y-WORK"/>
      <sheetName val="Dat"/>
      <sheetName val="KH-2002"/>
      <sheetName val="KH-2003"/>
      <sheetName val="DGTL"/>
      <sheetName val="®¬ngi¸"/>
      <sheetName val="dongle"/>
      <sheetName val="Chenh lech"/>
      <sheetName val="Kinh phí"/>
      <sheetName val="TIEN GOI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huy dong von"/>
      <sheetName val="Lai vayxd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hoan von"/>
      <sheetName val="dothi npv"/>
      <sheetName val="diem hoa von"/>
      <sheetName val="nop ngan sach"/>
      <sheetName val="chi tieu"/>
      <sheetName val="KL-CTTK"/>
      <sheetName val="BTH"/>
      <sheetName val="Rate"/>
      <sheetName val="DGXDCB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Tien ung"/>
      <sheetName val="phi luong3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XE DAU"/>
      <sheetName val="XE XANG"/>
      <sheetName val="LEGEND"/>
      <sheetName val="정렬"/>
      <sheetName val="뜃맟뭁돽띿맟?-BLDG"/>
      <sheetName val="costing_Misc"/>
      <sheetName val="LABTOTAL"/>
      <sheetName val="CN"/>
      <sheetName val="배부율"/>
      <sheetName val="간접비내역-1"/>
      <sheetName val="Summary"/>
      <sheetName val="WORK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AILC004"/>
      <sheetName val="Curves"/>
      <sheetName val="Tables"/>
      <sheetName val="XN79"/>
      <sheetName val="CTMT"/>
      <sheetName val="TH du toan "/>
      <sheetName val="Du toan "/>
      <sheetName val="C.Tinh"/>
      <sheetName val="TK_cap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주요물량"/>
      <sheetName val="ITB COST"/>
      <sheetName val="Building"/>
      <sheetName val="General Data"/>
      <sheetName val="KH-200_x0005_"/>
      <sheetName val="LAI - LO"/>
      <sheetName val="TO KHAI CHI TIET"/>
      <sheetName val="THUE PII"/>
      <sheetName val="THUE PIII"/>
      <sheetName val="부표총괄"/>
      <sheetName val="30개월기준대비표 아랍택)"/>
      <sheetName val="총괄표 (2)"/>
      <sheetName val="合成単価作成表-BLDG"/>
      <sheetName val="견적조건"/>
      <sheetName val="BQ_Equip_Pipe"/>
      <sheetName val="PipWT"/>
      <sheetName val=" ｹ-ﾌﾞﾙ"/>
      <sheetName val="당초"/>
      <sheetName val="resp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Tong Thu"/>
      <sheetName val="Tong Chi"/>
      <sheetName val="Truong hoc"/>
      <sheetName val="Cty CP"/>
      <sheetName val="G.thau 3B"/>
      <sheetName val="T.Hop Thu-chi"/>
      <sheetName val="TH mau moi tu T10"/>
      <sheetName val="Tong hop Quy IV"/>
      <sheetName val="KKTS.04"/>
      <sheetName val="nha kct"/>
      <sheetName val="BKVT"/>
      <sheetName val="GIAVLIEU"/>
      <sheetName val="SILICAT_x0005_"/>
      <sheetName val="THKL37"/>
      <sheetName val="Cong37"/>
      <sheetName val="VTCY37"/>
      <sheetName val="CLVL37"/>
      <sheetName val="QTC37"/>
      <sheetName val="THKL.H9"/>
      <sheetName val="CongH9"/>
      <sheetName val="VTCYH9"/>
      <sheetName val="CLVTH9"/>
      <sheetName val="QTC9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HTSD6LD"/>
      <sheetName val="HTSDDNN"/>
      <sheetName val="HTSDKT"/>
      <sheetName val="BD"/>
      <sheetName val="HTNT"/>
      <sheetName val="CHART"/>
      <sheetName val="HTDT"/>
      <sheetName val="HTSDD"/>
      <sheetName val="NAM 2004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bugiatheùpmong"/>
      <sheetName val="gia phan mong"/>
      <sheetName val="VAT TU NHAN TXQN"/>
      <sheetName val="bang tong ke khoi luong vat tu"/>
      <sheetName val="hcong tkhe"/>
      <sheetName val="VAT TU NHAN TKHE"/>
      <sheetName val="hcong qn"/>
      <sheetName val="VAT TU NHAN (2)"/>
      <sheetName val="N1111"/>
      <sheetName val="C1111"/>
      <sheetName val="1121"/>
      <sheetName val="daura"/>
      <sheetName val="dauvao"/>
      <sheetName val="Cau 2(3)"/>
      <sheetName val="Hat 1"/>
      <sheetName val="H9Bson"/>
      <sheetName val=" H8 duong"/>
      <sheetName val="VP"/>
      <sheetName val="Hat 7dg"/>
      <sheetName val="TH duong 1B"/>
      <sheetName val="TH cau 1B"/>
      <sheetName val="cauH9"/>
      <sheetName val="cauH7"/>
      <sheetName val="cau H1"/>
      <sheetName val="Clech"/>
      <sheetName val="CPVL"/>
      <sheetName val="Son dg"/>
      <sheetName val="h"/>
      <sheetName val="Dutoan"/>
      <sheetName val="congtac vien-uy"/>
      <sheetName val="Nhan luc2001"/>
      <sheetName val="Vattu2"/>
      <sheetName val="Vattu"/>
      <sheetName val="T1"/>
      <sheetName val="phuong an chon"/>
      <sheetName val="bang so sanh tong hop ( PA chon"/>
      <sheetName val="dang ap dung"/>
      <sheetName val="bang tong hop (dang huong)"/>
      <sheetName val="KH 200³ (moi max)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Level"/>
      <sheetName val="00000005"/>
      <sheetName val="00000006"/>
      <sheetName val="기계_x0005__x0000_"/>
      <sheetName val="내역서 "/>
      <sheetName val="CostDB"/>
      <sheetName val="Activity(new)"/>
      <sheetName val="총괄표"/>
      <sheetName val="표지"/>
      <sheetName val="DATA"/>
      <sheetName val="공사내역"/>
      <sheetName val="TB-내역서"/>
      <sheetName val="예산M11A"/>
      <sheetName val="하수처리장"/>
      <sheetName val="Architecture Work"/>
      <sheetName val="기초자료"/>
      <sheetName val="견적집계표"/>
      <sheetName val="tuan"/>
      <sheetName val="Du thau"/>
      <sheetName val="Phan tich don gia (doc)"/>
      <sheetName val="T12"/>
      <sheetName val="T11"/>
      <sheetName val="T10"/>
      <sheetName val="T9"/>
      <sheetName val="T8"/>
      <sheetName val="T7"/>
      <sheetName val="T6"/>
      <sheetName val="T5"/>
      <sheetName val="T4"/>
      <sheetName val="T3"/>
      <sheetName val="T2"/>
      <sheetName val="HRSG PRINT"/>
      <sheetName val="PO Contabilizado 31-12-04"/>
      <sheetName val="Hoja1"/>
      <sheetName val="BU6-虘"/>
      <sheetName val="내역"/>
      <sheetName val="PBS"/>
      <sheetName val="PUMP"/>
      <sheetName val="TOEC"/>
      <sheetName val="지원사무소원가배부내역"/>
      <sheetName val="품셈1-26"/>
      <sheetName val="4.주별물량Table"/>
      <sheetName val="기둥(원형)"/>
      <sheetName val="piping"/>
      <sheetName val="계약ITEM"/>
      <sheetName val="UNIT"/>
      <sheetName val="FORCE"/>
      <sheetName val="ITEM"/>
      <sheetName val="11"/>
      <sheetName val="THop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단면가정"/>
      <sheetName val="w't table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기계锼_x0013_"/>
      <sheetName val="기계ᰖ〚"/>
      <sheetName val="기계灼_x0013_"/>
      <sheetName val="MotorsData"/>
      <sheetName val="Y_WORK"/>
      <sheetName val="PRICE-COMP"/>
      <sheetName val="인6월"/>
      <sheetName val="을"/>
      <sheetName val="마감물량3"/>
      <sheetName val="기계๿〚"/>
      <sheetName val="기계헾】"/>
      <sheetName val="Data_ST"/>
      <sheetName val="D &amp; B Summary"/>
      <sheetName val="Summary Sheets"/>
      <sheetName val="C45T1X"/>
      <sheetName val="steel-gr"/>
      <sheetName val="Data - Codes"/>
      <sheetName val="CAL."/>
      <sheetName val="DSI CONTROL AND SUMMARY "/>
      <sheetName val="PIPE-03E.XLS"/>
      <sheetName val="\Users\macbookpro\Library\Cache"/>
      <sheetName val="\H\Users\macbookpro\Library\Cac"/>
      <sheetName val="Numbers"/>
      <sheetName val="R&amp;P"/>
      <sheetName val="GiaVL"/>
      <sheetName val="CR 11 QUANTITIES BY EGEC"/>
      <sheetName val="OH &amp; Discounts"/>
      <sheetName val="Payroll"/>
      <sheetName val="Master Data Entry"/>
      <sheetName val="Cash Flow Data Entry"/>
      <sheetName val="ANALYSIS Mech."/>
      <sheetName val="Recap Struct"/>
      <sheetName val=" Structural"/>
      <sheetName val="Architectural"/>
      <sheetName val="기계_x0005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BOM"/>
      <sheetName val="DEAE"/>
      <sheetName val="GAS"/>
      <sheetName val="GEN"/>
      <sheetName val="COP"/>
      <sheetName val="CHEM"/>
      <sheetName val="SAM"/>
      <sheetName val="DEM"/>
      <sheetName val="BLR5"/>
      <sheetName val="BLR4"/>
      <sheetName val="BLR3"/>
      <sheetName val="BLR2"/>
      <sheetName val="BLR 1"/>
      <sheetName val="손익분석"/>
      <sheetName val="八幡"/>
      <sheetName val="MixBed"/>
      <sheetName val="CondPol"/>
      <sheetName val="당초"/>
      <sheetName val="csdim"/>
      <sheetName val="cdsload"/>
      <sheetName val="chsload"/>
      <sheetName val="CLAMP"/>
      <sheetName val="cvsload"/>
      <sheetName val="pipe"/>
    </sheetNames>
    <sheetDataSet>
      <sheetData sheetId="0"/>
      <sheetData sheetId="1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95</v>
          </cell>
        </row>
        <row r="6">
          <cell r="L6" t="str">
            <v>20C</v>
          </cell>
          <cell r="S6">
            <v>125</v>
          </cell>
        </row>
        <row r="8">
          <cell r="L8" t="str">
            <v>2C</v>
          </cell>
          <cell r="S8">
            <v>95</v>
          </cell>
        </row>
        <row r="9">
          <cell r="L9" t="str">
            <v>20C</v>
          </cell>
          <cell r="S9">
            <v>125</v>
          </cell>
        </row>
        <row r="10">
          <cell r="L10" t="str">
            <v>2P</v>
          </cell>
          <cell r="S10">
            <v>95</v>
          </cell>
        </row>
        <row r="11">
          <cell r="L11" t="str">
            <v>2C</v>
          </cell>
          <cell r="S11">
            <v>95</v>
          </cell>
        </row>
        <row r="12">
          <cell r="L12" t="str">
            <v>20C</v>
          </cell>
          <cell r="S12">
            <v>125</v>
          </cell>
        </row>
        <row r="14">
          <cell r="L14" t="str">
            <v>2C</v>
          </cell>
          <cell r="S14">
            <v>95</v>
          </cell>
        </row>
        <row r="15">
          <cell r="L15" t="str">
            <v>20C</v>
          </cell>
          <cell r="S15">
            <v>125</v>
          </cell>
        </row>
        <row r="17">
          <cell r="L17" t="str">
            <v>2C</v>
          </cell>
          <cell r="S17">
            <v>95</v>
          </cell>
        </row>
        <row r="18">
          <cell r="L18" t="str">
            <v>20C</v>
          </cell>
          <cell r="S18">
            <v>125</v>
          </cell>
        </row>
        <row r="20">
          <cell r="L20" t="str">
            <v>2C</v>
          </cell>
          <cell r="S20">
            <v>95</v>
          </cell>
        </row>
        <row r="21">
          <cell r="L21" t="str">
            <v>20C</v>
          </cell>
          <cell r="S21">
            <v>125</v>
          </cell>
        </row>
        <row r="22">
          <cell r="L22" t="str">
            <v>2P</v>
          </cell>
          <cell r="S22">
            <v>95</v>
          </cell>
        </row>
        <row r="23">
          <cell r="L23" t="str">
            <v>2C</v>
          </cell>
          <cell r="S23">
            <v>95</v>
          </cell>
        </row>
        <row r="24">
          <cell r="L24" t="str">
            <v>20C</v>
          </cell>
          <cell r="S24">
            <v>125</v>
          </cell>
        </row>
        <row r="26">
          <cell r="L26" t="str">
            <v>2C</v>
          </cell>
          <cell r="S26">
            <v>95</v>
          </cell>
        </row>
        <row r="27">
          <cell r="L27" t="str">
            <v>20C</v>
          </cell>
          <cell r="S27">
            <v>125</v>
          </cell>
        </row>
        <row r="29">
          <cell r="L29" t="str">
            <v>2C</v>
          </cell>
          <cell r="S29">
            <v>95</v>
          </cell>
        </row>
        <row r="30">
          <cell r="L30" t="str">
            <v>20C</v>
          </cell>
          <cell r="S30">
            <v>125</v>
          </cell>
        </row>
        <row r="39">
          <cell r="L39" t="str">
            <v>2C</v>
          </cell>
          <cell r="S39">
            <v>95</v>
          </cell>
        </row>
        <row r="40">
          <cell r="L40" t="str">
            <v>20C</v>
          </cell>
          <cell r="S40">
            <v>125</v>
          </cell>
        </row>
        <row r="42">
          <cell r="L42" t="str">
            <v>2C</v>
          </cell>
          <cell r="S42">
            <v>95</v>
          </cell>
        </row>
        <row r="43">
          <cell r="L43" t="str">
            <v>20C</v>
          </cell>
          <cell r="S43">
            <v>125</v>
          </cell>
        </row>
        <row r="45">
          <cell r="L45" t="str">
            <v>2C</v>
          </cell>
          <cell r="S45">
            <v>75</v>
          </cell>
        </row>
        <row r="46">
          <cell r="L46" t="str">
            <v>20C</v>
          </cell>
          <cell r="S46">
            <v>105</v>
          </cell>
        </row>
        <row r="47">
          <cell r="L47" t="str">
            <v>2P</v>
          </cell>
          <cell r="S47">
            <v>75</v>
          </cell>
        </row>
        <row r="48">
          <cell r="L48" t="str">
            <v>2C</v>
          </cell>
          <cell r="S48">
            <v>75</v>
          </cell>
        </row>
        <row r="49">
          <cell r="L49" t="str">
            <v>20C</v>
          </cell>
          <cell r="S49">
            <v>105</v>
          </cell>
        </row>
        <row r="50">
          <cell r="L50" t="str">
            <v>2P</v>
          </cell>
          <cell r="S50">
            <v>75</v>
          </cell>
        </row>
        <row r="51">
          <cell r="L51" t="str">
            <v>2C</v>
          </cell>
          <cell r="S51">
            <v>75</v>
          </cell>
        </row>
        <row r="52">
          <cell r="L52" t="str">
            <v>20C</v>
          </cell>
          <cell r="S52">
            <v>105</v>
          </cell>
        </row>
        <row r="54">
          <cell r="L54" t="str">
            <v>2C</v>
          </cell>
          <cell r="S54">
            <v>75</v>
          </cell>
        </row>
        <row r="55">
          <cell r="L55" t="str">
            <v>20C</v>
          </cell>
          <cell r="S55">
            <v>105</v>
          </cell>
        </row>
        <row r="57">
          <cell r="L57" t="str">
            <v>2C</v>
          </cell>
          <cell r="S57">
            <v>75</v>
          </cell>
        </row>
        <row r="58">
          <cell r="L58" t="str">
            <v>20C</v>
          </cell>
          <cell r="S58">
            <v>105</v>
          </cell>
        </row>
        <row r="60">
          <cell r="L60" t="str">
            <v>2C</v>
          </cell>
          <cell r="S60">
            <v>75</v>
          </cell>
        </row>
        <row r="61">
          <cell r="L61" t="str">
            <v>20C</v>
          </cell>
          <cell r="S61">
            <v>105</v>
          </cell>
        </row>
        <row r="63">
          <cell r="L63" t="str">
            <v>2C</v>
          </cell>
          <cell r="S63">
            <v>75</v>
          </cell>
        </row>
        <row r="64">
          <cell r="L64" t="str">
            <v>20C</v>
          </cell>
          <cell r="S64">
            <v>105</v>
          </cell>
        </row>
        <row r="73">
          <cell r="L73" t="str">
            <v>2C</v>
          </cell>
          <cell r="S73">
            <v>75</v>
          </cell>
        </row>
        <row r="74">
          <cell r="L74" t="str">
            <v>20C</v>
          </cell>
          <cell r="S74">
            <v>105</v>
          </cell>
        </row>
        <row r="76">
          <cell r="L76" t="str">
            <v>2C</v>
          </cell>
          <cell r="S76">
            <v>75</v>
          </cell>
        </row>
        <row r="77">
          <cell r="L77" t="str">
            <v>20C</v>
          </cell>
          <cell r="S77">
            <v>105</v>
          </cell>
        </row>
        <row r="79">
          <cell r="L79" t="str">
            <v>2C</v>
          </cell>
          <cell r="S79">
            <v>75</v>
          </cell>
        </row>
        <row r="80">
          <cell r="L80" t="str">
            <v>20C</v>
          </cell>
          <cell r="S80">
            <v>105</v>
          </cell>
        </row>
        <row r="82">
          <cell r="L82" t="str">
            <v>4P</v>
          </cell>
          <cell r="S82">
            <v>95</v>
          </cell>
        </row>
        <row r="83">
          <cell r="L83" t="str">
            <v>4P</v>
          </cell>
          <cell r="S83">
            <v>95</v>
          </cell>
        </row>
        <row r="84">
          <cell r="L84" t="str">
            <v>4P</v>
          </cell>
          <cell r="S84">
            <v>95</v>
          </cell>
        </row>
        <row r="85">
          <cell r="L85" t="str">
            <v>4P</v>
          </cell>
          <cell r="S85">
            <v>75</v>
          </cell>
        </row>
        <row r="86">
          <cell r="L86" t="str">
            <v>4P</v>
          </cell>
          <cell r="S86">
            <v>75</v>
          </cell>
        </row>
        <row r="87">
          <cell r="L87" t="str">
            <v>4P</v>
          </cell>
          <cell r="S87">
            <v>75</v>
          </cell>
        </row>
        <row r="88">
          <cell r="L88" t="str">
            <v>2P</v>
          </cell>
          <cell r="S88">
            <v>95</v>
          </cell>
        </row>
        <row r="89">
          <cell r="L89" t="str">
            <v>2P</v>
          </cell>
          <cell r="S89">
            <v>95</v>
          </cell>
        </row>
        <row r="90">
          <cell r="L90" t="str">
            <v>2P</v>
          </cell>
          <cell r="S90">
            <v>95</v>
          </cell>
        </row>
        <row r="91">
          <cell r="L91" t="str">
            <v>2P</v>
          </cell>
          <cell r="S91">
            <v>95</v>
          </cell>
        </row>
        <row r="92">
          <cell r="L92" t="str">
            <v>2P</v>
          </cell>
          <cell r="S92">
            <v>75</v>
          </cell>
        </row>
        <row r="93">
          <cell r="L93" t="str">
            <v>2P</v>
          </cell>
          <cell r="S93">
            <v>75</v>
          </cell>
        </row>
        <row r="94">
          <cell r="L94" t="str">
            <v>2P</v>
          </cell>
          <cell r="S94">
            <v>75</v>
          </cell>
        </row>
        <row r="95">
          <cell r="L95" t="str">
            <v>2P</v>
          </cell>
          <cell r="S95">
            <v>75</v>
          </cell>
        </row>
        <row r="96">
          <cell r="L96" t="str">
            <v>2P</v>
          </cell>
          <cell r="S96">
            <v>95</v>
          </cell>
        </row>
        <row r="97">
          <cell r="L97" t="str">
            <v>2P</v>
          </cell>
          <cell r="S97">
            <v>75</v>
          </cell>
        </row>
        <row r="98">
          <cell r="L98" t="str">
            <v>2P</v>
          </cell>
          <cell r="S98">
            <v>95</v>
          </cell>
        </row>
        <row r="107">
          <cell r="L107" t="str">
            <v>2P</v>
          </cell>
          <cell r="S107">
            <v>95</v>
          </cell>
        </row>
        <row r="108">
          <cell r="L108" t="str">
            <v>2P</v>
          </cell>
          <cell r="S108">
            <v>75</v>
          </cell>
        </row>
        <row r="109">
          <cell r="L109" t="str">
            <v>2P</v>
          </cell>
          <cell r="S109">
            <v>75</v>
          </cell>
        </row>
        <row r="110">
          <cell r="L110" t="str">
            <v>2P</v>
          </cell>
          <cell r="S110">
            <v>95</v>
          </cell>
        </row>
        <row r="111">
          <cell r="L111" t="str">
            <v>2P</v>
          </cell>
          <cell r="S111">
            <v>95</v>
          </cell>
        </row>
        <row r="112">
          <cell r="L112" t="str">
            <v>2P</v>
          </cell>
          <cell r="S112">
            <v>95</v>
          </cell>
        </row>
        <row r="113">
          <cell r="L113" t="str">
            <v>2P</v>
          </cell>
          <cell r="S113">
            <v>75</v>
          </cell>
        </row>
        <row r="114">
          <cell r="L114" t="str">
            <v>2P</v>
          </cell>
          <cell r="S114">
            <v>75</v>
          </cell>
        </row>
        <row r="115">
          <cell r="L115" t="str">
            <v>2P</v>
          </cell>
          <cell r="S115">
            <v>75</v>
          </cell>
        </row>
        <row r="116">
          <cell r="L116" t="str">
            <v>2P</v>
          </cell>
          <cell r="S116">
            <v>95</v>
          </cell>
        </row>
        <row r="117">
          <cell r="L117" t="str">
            <v>2P</v>
          </cell>
          <cell r="S117">
            <v>95</v>
          </cell>
        </row>
        <row r="118">
          <cell r="L118" t="str">
            <v>2P</v>
          </cell>
          <cell r="S118">
            <v>95</v>
          </cell>
        </row>
        <row r="119">
          <cell r="L119" t="str">
            <v>2P</v>
          </cell>
          <cell r="S119">
            <v>75</v>
          </cell>
        </row>
        <row r="120">
          <cell r="L120" t="str">
            <v>2P</v>
          </cell>
          <cell r="S120">
            <v>75</v>
          </cell>
        </row>
        <row r="121">
          <cell r="L121" t="str">
            <v>2P</v>
          </cell>
          <cell r="S121">
            <v>75</v>
          </cell>
        </row>
        <row r="122">
          <cell r="L122" t="str">
            <v>2P</v>
          </cell>
          <cell r="S122">
            <v>95</v>
          </cell>
        </row>
        <row r="123">
          <cell r="L123" t="str">
            <v>2P</v>
          </cell>
          <cell r="S123">
            <v>95</v>
          </cell>
        </row>
        <row r="124">
          <cell r="L124" t="str">
            <v>2P</v>
          </cell>
          <cell r="S124">
            <v>95</v>
          </cell>
        </row>
        <row r="125">
          <cell r="L125" t="str">
            <v>2P</v>
          </cell>
          <cell r="S125">
            <v>95</v>
          </cell>
        </row>
        <row r="126">
          <cell r="L126" t="str">
            <v>2P</v>
          </cell>
          <cell r="S126">
            <v>95</v>
          </cell>
        </row>
        <row r="127">
          <cell r="L127" t="str">
            <v>2P</v>
          </cell>
          <cell r="S127">
            <v>95</v>
          </cell>
        </row>
        <row r="128">
          <cell r="L128" t="str">
            <v>2P</v>
          </cell>
          <cell r="S128">
            <v>95</v>
          </cell>
        </row>
        <row r="129">
          <cell r="L129" t="str">
            <v>2P</v>
          </cell>
          <cell r="S129">
            <v>95</v>
          </cell>
        </row>
        <row r="130">
          <cell r="L130" t="str">
            <v>2P</v>
          </cell>
          <cell r="S130">
            <v>95</v>
          </cell>
        </row>
        <row r="131">
          <cell r="L131" t="str">
            <v>2P</v>
          </cell>
          <cell r="S131">
            <v>95</v>
          </cell>
        </row>
        <row r="132">
          <cell r="L132" t="str">
            <v>2P</v>
          </cell>
          <cell r="S132">
            <v>75</v>
          </cell>
        </row>
        <row r="141">
          <cell r="L141" t="str">
            <v>2P</v>
          </cell>
          <cell r="S141">
            <v>75</v>
          </cell>
        </row>
        <row r="142">
          <cell r="L142" t="str">
            <v>2P</v>
          </cell>
          <cell r="S142">
            <v>75</v>
          </cell>
        </row>
        <row r="143">
          <cell r="L143" t="str">
            <v>2P</v>
          </cell>
          <cell r="S143">
            <v>75</v>
          </cell>
        </row>
        <row r="144">
          <cell r="L144" t="str">
            <v>2P</v>
          </cell>
          <cell r="S144">
            <v>75</v>
          </cell>
        </row>
        <row r="145">
          <cell r="L145" t="str">
            <v>2P</v>
          </cell>
          <cell r="S145">
            <v>75</v>
          </cell>
        </row>
        <row r="146">
          <cell r="L146" t="str">
            <v>2P</v>
          </cell>
          <cell r="S146">
            <v>75</v>
          </cell>
        </row>
        <row r="147">
          <cell r="L147" t="str">
            <v>2P</v>
          </cell>
          <cell r="S147">
            <v>75</v>
          </cell>
        </row>
        <row r="148">
          <cell r="L148" t="str">
            <v>2P</v>
          </cell>
          <cell r="S148">
            <v>75</v>
          </cell>
        </row>
        <row r="149">
          <cell r="L149" t="str">
            <v>2P</v>
          </cell>
          <cell r="S149">
            <v>75</v>
          </cell>
        </row>
        <row r="150">
          <cell r="L150" t="str">
            <v>2P</v>
          </cell>
          <cell r="S150">
            <v>95</v>
          </cell>
        </row>
        <row r="151">
          <cell r="L151" t="str">
            <v>2P</v>
          </cell>
          <cell r="S151">
            <v>95</v>
          </cell>
        </row>
        <row r="152">
          <cell r="L152" t="str">
            <v>2P</v>
          </cell>
          <cell r="S152">
            <v>95</v>
          </cell>
        </row>
        <row r="153">
          <cell r="L153" t="str">
            <v>2P</v>
          </cell>
          <cell r="S153">
            <v>95</v>
          </cell>
        </row>
        <row r="154">
          <cell r="L154" t="str">
            <v>2P</v>
          </cell>
          <cell r="S154">
            <v>95</v>
          </cell>
        </row>
        <row r="155">
          <cell r="L155" t="str">
            <v>2P</v>
          </cell>
          <cell r="S155">
            <v>95</v>
          </cell>
        </row>
        <row r="156">
          <cell r="L156" t="str">
            <v>2P</v>
          </cell>
          <cell r="S156">
            <v>95</v>
          </cell>
        </row>
        <row r="157">
          <cell r="L157" t="str">
            <v>2P</v>
          </cell>
          <cell r="S157">
            <v>95</v>
          </cell>
        </row>
        <row r="158">
          <cell r="L158" t="str">
            <v>2P</v>
          </cell>
          <cell r="S158">
            <v>95</v>
          </cell>
        </row>
        <row r="159">
          <cell r="L159" t="str">
            <v>2P</v>
          </cell>
          <cell r="S159">
            <v>75</v>
          </cell>
        </row>
        <row r="160">
          <cell r="L160" t="str">
            <v>2P</v>
          </cell>
          <cell r="S160">
            <v>75</v>
          </cell>
        </row>
        <row r="161">
          <cell r="L161" t="str">
            <v>2P</v>
          </cell>
          <cell r="S161">
            <v>75</v>
          </cell>
        </row>
        <row r="162">
          <cell r="L162" t="str">
            <v>2P</v>
          </cell>
          <cell r="S162">
            <v>75</v>
          </cell>
        </row>
        <row r="163">
          <cell r="L163" t="str">
            <v>2P</v>
          </cell>
          <cell r="S163">
            <v>75</v>
          </cell>
        </row>
        <row r="164">
          <cell r="L164" t="str">
            <v>2P</v>
          </cell>
          <cell r="S164">
            <v>75</v>
          </cell>
        </row>
        <row r="165">
          <cell r="L165" t="str">
            <v>2P</v>
          </cell>
          <cell r="S165">
            <v>75</v>
          </cell>
        </row>
        <row r="166">
          <cell r="L166" t="str">
            <v>2P</v>
          </cell>
          <cell r="S166">
            <v>75</v>
          </cell>
        </row>
        <row r="175">
          <cell r="L175" t="str">
            <v>2P</v>
          </cell>
          <cell r="S175">
            <v>75</v>
          </cell>
        </row>
        <row r="176">
          <cell r="L176" t="str">
            <v>30C</v>
          </cell>
          <cell r="S176">
            <v>125</v>
          </cell>
        </row>
        <row r="177">
          <cell r="L177" t="str">
            <v>30C</v>
          </cell>
          <cell r="S177">
            <v>105</v>
          </cell>
        </row>
        <row r="178">
          <cell r="L178" t="str">
            <v>30C</v>
          </cell>
          <cell r="S178">
            <v>125</v>
          </cell>
        </row>
        <row r="179">
          <cell r="L179" t="str">
            <v>12P</v>
          </cell>
          <cell r="S179">
            <v>105</v>
          </cell>
        </row>
        <row r="180">
          <cell r="L180" t="str">
            <v>12P</v>
          </cell>
          <cell r="S180">
            <v>125</v>
          </cell>
        </row>
        <row r="181">
          <cell r="L181" t="str">
            <v>12P</v>
          </cell>
          <cell r="S181">
            <v>125</v>
          </cell>
        </row>
        <row r="182">
          <cell r="L182" t="str">
            <v>12P</v>
          </cell>
          <cell r="S182">
            <v>125</v>
          </cell>
        </row>
        <row r="183">
          <cell r="L183" t="str">
            <v>12P</v>
          </cell>
          <cell r="S183">
            <v>125</v>
          </cell>
        </row>
        <row r="184">
          <cell r="L184" t="str">
            <v>12P</v>
          </cell>
          <cell r="S184">
            <v>105</v>
          </cell>
        </row>
        <row r="185">
          <cell r="L185" t="str">
            <v>12P</v>
          </cell>
          <cell r="S185">
            <v>105</v>
          </cell>
        </row>
        <row r="186">
          <cell r="L186" t="str">
            <v>12P</v>
          </cell>
          <cell r="S186">
            <v>105</v>
          </cell>
        </row>
        <row r="187">
          <cell r="L187" t="str">
            <v>12P</v>
          </cell>
          <cell r="S187">
            <v>105</v>
          </cell>
        </row>
        <row r="188">
          <cell r="L188" t="str">
            <v>4P</v>
          </cell>
          <cell r="S188">
            <v>125</v>
          </cell>
        </row>
        <row r="189">
          <cell r="L189" t="str">
            <v>4P</v>
          </cell>
          <cell r="S189">
            <v>125</v>
          </cell>
        </row>
        <row r="190">
          <cell r="L190" t="str">
            <v>4P</v>
          </cell>
          <cell r="S190">
            <v>125</v>
          </cell>
        </row>
        <row r="191">
          <cell r="L191" t="str">
            <v>4P</v>
          </cell>
          <cell r="S191">
            <v>125</v>
          </cell>
        </row>
        <row r="192">
          <cell r="L192" t="str">
            <v>4P</v>
          </cell>
          <cell r="S192">
            <v>125</v>
          </cell>
        </row>
        <row r="193">
          <cell r="L193" t="str">
            <v>4P</v>
          </cell>
          <cell r="S193">
            <v>125</v>
          </cell>
        </row>
        <row r="194">
          <cell r="L194" t="str">
            <v>8P</v>
          </cell>
          <cell r="S194">
            <v>105</v>
          </cell>
        </row>
        <row r="195">
          <cell r="L195" t="str">
            <v>8P</v>
          </cell>
          <cell r="S195">
            <v>105</v>
          </cell>
        </row>
        <row r="196">
          <cell r="L196" t="str">
            <v>8P</v>
          </cell>
          <cell r="S196">
            <v>105</v>
          </cell>
        </row>
        <row r="197">
          <cell r="L197" t="str">
            <v>8P</v>
          </cell>
          <cell r="S197">
            <v>105</v>
          </cell>
        </row>
        <row r="198">
          <cell r="L198" t="str">
            <v>8P</v>
          </cell>
          <cell r="S198">
            <v>105</v>
          </cell>
        </row>
        <row r="199">
          <cell r="L199" t="str">
            <v>8P</v>
          </cell>
          <cell r="S199">
            <v>105</v>
          </cell>
        </row>
      </sheetData>
      <sheetData sheetId="2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str">
            <v>12P</v>
          </cell>
        </row>
        <row r="6">
          <cell r="K6" t="str">
            <v>12P</v>
          </cell>
        </row>
        <row r="7">
          <cell r="K7" t="str">
            <v>12P</v>
          </cell>
        </row>
        <row r="8">
          <cell r="K8" t="str">
            <v>12P</v>
          </cell>
        </row>
        <row r="9">
          <cell r="K9" t="str">
            <v>12P</v>
          </cell>
        </row>
        <row r="10">
          <cell r="K10" t="str">
            <v>2C</v>
          </cell>
        </row>
        <row r="11">
          <cell r="K11" t="str">
            <v>2C</v>
          </cell>
        </row>
        <row r="12">
          <cell r="K12" t="str">
            <v>2C</v>
          </cell>
        </row>
        <row r="13">
          <cell r="K13" t="str">
            <v>2C</v>
          </cell>
        </row>
        <row r="14">
          <cell r="K14" t="str">
            <v>2C</v>
          </cell>
        </row>
        <row r="15">
          <cell r="K15" t="str">
            <v>2C</v>
          </cell>
        </row>
        <row r="16">
          <cell r="K16" t="str">
            <v>2C</v>
          </cell>
        </row>
        <row r="17">
          <cell r="K17" t="str">
            <v>2C</v>
          </cell>
        </row>
        <row r="18">
          <cell r="K18" t="str">
            <v>2C</v>
          </cell>
        </row>
        <row r="19">
          <cell r="K19" t="str">
            <v>2C</v>
          </cell>
        </row>
        <row r="20">
          <cell r="K20" t="str">
            <v>2C</v>
          </cell>
        </row>
        <row r="21">
          <cell r="K21" t="str">
            <v>2C</v>
          </cell>
        </row>
        <row r="22">
          <cell r="K22" t="str">
            <v>2C</v>
          </cell>
        </row>
      </sheetData>
      <sheetData sheetId="3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str">
            <v>2P</v>
          </cell>
          <cell r="R5">
            <v>185</v>
          </cell>
        </row>
        <row r="6">
          <cell r="K6" t="str">
            <v>2P</v>
          </cell>
          <cell r="R6">
            <v>185</v>
          </cell>
        </row>
        <row r="7">
          <cell r="K7" t="str">
            <v>2P</v>
          </cell>
          <cell r="R7">
            <v>185</v>
          </cell>
        </row>
        <row r="10">
          <cell r="K10" t="str">
            <v>20C</v>
          </cell>
          <cell r="R10">
            <v>90</v>
          </cell>
        </row>
        <row r="11">
          <cell r="K11" t="str">
            <v>20C</v>
          </cell>
          <cell r="R11">
            <v>90</v>
          </cell>
        </row>
        <row r="15">
          <cell r="K15" t="str">
            <v>120._x0007__x0000__x0000_1_2121._x0007__x0000__x0000_1_2122._x0007__x0000__x0000_1_2123._x0007__x0000__x0000_1_2124._x0007__x0000__x0000_1_2125._x0007__x0000__x0000_1_2126._x0007__x0000__x0000_1_2127._x0007__x0000__x0000_1_2128._x0007__x0000__x0000_1_2129._x0007__x0000__x0000_1_2130._x0007__x0000__x0000_1_2131._x0007__x0000__x0000_1_2132._x0007__x0000__x0000_1_2133._x0007__x0000__x0000_1_2134._x0007__x0000__x0000_1_2135._x0007__x0000__x0000_1_2136._x0007__x0000__x0000_1_2137._x0007__x0000__x0000_1_2138._x0007__x0000__x0000_1_2139._x0007__x0000__x0000_1_2140._x0007__x0000__x0000_1_2141._x0007__x0000__x0000_1_2142._x0007__x0000__x0000_1_2143._x0007__x0000__x0000_1_2144._x0007__x0000__x0000_1_2145._x0003_</v>
          </cell>
        </row>
        <row r="16">
          <cell r="K16" t="str">
            <v>120._x0007__x0000__x0000_1_2121._x0007__x0000__x0000_1_2122._x0007__x0000__x0000_1_2123._x0007__x0000__x0000_1_2124._x0007__x0000__x0000_1_2125._x0007__x0000__x0000_1_2126._x0007__x0000__x0000_1_2127._x0007__x0000__x0000_1_2128._x0007__x0000__x0000_1_2129._x0007__x0000__x0000_1_2130._x0007__x0000__x0000_1_2131._x0007__x0000__x0000_1_2132._x0007__x0000__x0000_1_2133._x0007__x0000__x0000_1_2134._x0007__x0000__x0000_1_2135._x0007__x0000__x0000_1_2136._x0007__x0000__x0000_1_2137._x0007__x0000__x0000_1_2138._x0007__x0000__x0000_1_2139._x0007__x0000__x0000_1_2140._x0007__x0000__x0000_1_2141._x0007__x0000__x0000_1_2142._x0007__x0000__x0000_1_2143._x0007__x0000__x0000_1_2144._x0007__x0000__x0000_1_2145._x0003_</v>
          </cell>
        </row>
        <row r="20">
          <cell r="K20" t="str">
            <v>120._x0007__x0000__x0000_1_2121._x0007__x0000__x0000_1_2122._x0007__x0000__x0000_1_2123._x0007__x0000__x0000_1_2124._x0007__x0000__x0000_1_2125._x0007__x0000__x0000_1_2126._x0007__x0000__x0000_1_2127._x0007__x0000__x0000_1_2128._x0007__x0000__x0000_1_2129._x0007__x0000__x0000_1_2130._x0007__x0000__x0000_1_2131._x0007__x0000__x0000_1_2132._x0007__x0000__x0000_1_2133._x0007__x0000__x0000_1_2134._x0007__x0000__x0000_1_2135._x0007__x0000__x0000_1_2136._x0007__x0000__x0000_1_2137._x0007__x0000__x0000_1_2138._x0007__x0000__x0000_1_2139._x0007__x0000__x0000_1_2140._x0007__x0000__x0000_1_2141._x0007__x0000__x0000_1_2142._x0007__x0000__x0000_1_2143._x0007__x0000__x0000_1_2144._x0007__x0000__x0000_1_2145._x0003_</v>
          </cell>
          <cell r="R20">
            <v>120</v>
          </cell>
        </row>
        <row r="24">
          <cell r="K24" t="str">
            <v>120._x0007__x0000__x0000_1_2121._x0007__x0000__x0000_1_2122._x0007__x0000__x0000_1_2123._x0007__x0000__x0000_1_2124._x0007__x0000__x0000_1_2125._x0007__x0000__x0000_1_2126._x0007__x0000__x0000_1_2127._x0007__x0000__x0000_1_2128._x0007__x0000__x0000_1_2129._x0007__x0000__x0000_1_2130._x0007__x0000__x0000_1_2131._x0007__x0000__x0000_1_2132._x0007__x0000__x0000_1_2133._x0007__x0000__x0000_1_2134._x0007__x0000__x0000_1_2135._x0007__x0000__x0000_1_2136._x0007__x0000__x0000_1_2137._x0007__x0000__x0000_1_2138._x0007__x0000__x0000_1_2139._x0007__x0000__x0000_1_2140._x0007__x0000__x0000_1_2141._x0007__x0000__x0000_1_2142._x0007__x0000__x0000_1_2143._x0007__x0000__x0000_1_2144._x0007__x0000__x0000_1_2145._x0003_</v>
          </cell>
        </row>
        <row r="28">
          <cell r="K28" t="str">
            <v>120._x0007__x0000__x0000_1_2121._x0007__x0000__x0000_1_2122._x0007__x0000__x0000_1_2123._x0007__x0000__x0000_1_2124._x0007__x0000__x0000_1_2125._x0007__x0000__x0000_1_2126._x0007__x0000__x0000_1_2127._x0007__x0000__x0000_1_2128._x0007__x0000__x0000_1_2129._x0007__x0000__x0000_1_2130._x0007__x0000__x0000_1_2131._x0007__x0000__x0000_1_2132._x0007__x0000__x0000_1_2133._x0007__x0000__x0000_1_2134._x0007__x0000__x0000_1_2135._x0007__x0000__x0000_1_2136._x0007__x0000__x0000_1_2137._x0007__x0000__x0000_1_2138._x0007__x0000__x0000_1_2139._x0007__x0000__x0000_1_2140._x0007__x0000__x0000_1_2141._x0007__x0000__x0000_1_2142._x0007__x0000__x0000_1_2143._x0007__x0000__x0000_1_2144._x0007__x0000__x0000_1_2145._x0003_</v>
          </cell>
        </row>
      </sheetData>
      <sheetData sheetId="4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str">
            <v>2P</v>
          </cell>
        </row>
        <row r="6">
          <cell r="K6" t="str">
            <v>2C</v>
          </cell>
        </row>
        <row r="7">
          <cell r="K7" t="str">
            <v>2C</v>
          </cell>
        </row>
        <row r="8">
          <cell r="K8" t="str">
            <v>2C</v>
          </cell>
        </row>
        <row r="9">
          <cell r="K9" t="str">
            <v>2C</v>
          </cell>
          <cell r="R9">
            <v>90</v>
          </cell>
        </row>
        <row r="10">
          <cell r="K10" t="str">
            <v>2C</v>
          </cell>
          <cell r="R10">
            <v>90</v>
          </cell>
        </row>
        <row r="13">
          <cell r="K13" t="str">
            <v>2P</v>
          </cell>
          <cell r="R13">
            <v>150</v>
          </cell>
        </row>
        <row r="14">
          <cell r="K14" t="str">
            <v>2P</v>
          </cell>
          <cell r="R14">
            <v>150</v>
          </cell>
        </row>
        <row r="17">
          <cell r="K17" t="str">
            <v>2P</v>
          </cell>
          <cell r="R17">
            <v>105</v>
          </cell>
        </row>
        <row r="18">
          <cell r="K18" t="str">
            <v>2P</v>
          </cell>
          <cell r="R18">
            <v>105</v>
          </cell>
        </row>
        <row r="19">
          <cell r="K19" t="str">
            <v>2P</v>
          </cell>
          <cell r="R19">
            <v>105</v>
          </cell>
        </row>
        <row r="20">
          <cell r="K20" t="str">
            <v>2C</v>
          </cell>
          <cell r="R20">
            <v>90</v>
          </cell>
        </row>
        <row r="21">
          <cell r="K21" t="str">
            <v>2C</v>
          </cell>
          <cell r="R21">
            <v>90</v>
          </cell>
        </row>
        <row r="22">
          <cell r="K22" t="str">
            <v>2C</v>
          </cell>
          <cell r="R22">
            <v>90</v>
          </cell>
        </row>
        <row r="23">
          <cell r="K23" t="str">
            <v>2C</v>
          </cell>
          <cell r="R23">
            <v>90</v>
          </cell>
        </row>
        <row r="24">
          <cell r="K24" t="str">
            <v>2C</v>
          </cell>
          <cell r="R24">
            <v>90</v>
          </cell>
        </row>
      </sheetData>
      <sheetData sheetId="5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e">
            <v>#N/A</v>
          </cell>
          <cell r="R5">
            <v>120</v>
          </cell>
        </row>
        <row r="6">
          <cell r="K6" t="e">
            <v>#N/A</v>
          </cell>
          <cell r="R6">
            <v>120</v>
          </cell>
        </row>
      </sheetData>
      <sheetData sheetId="6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e">
            <v>#N/A</v>
          </cell>
          <cell r="R5">
            <v>90</v>
          </cell>
        </row>
        <row r="6">
          <cell r="K6" t="e">
            <v>#N/A</v>
          </cell>
          <cell r="R6">
            <v>90</v>
          </cell>
        </row>
        <row r="7">
          <cell r="K7" t="e">
            <v>#N/A</v>
          </cell>
          <cell r="R7">
            <v>90</v>
          </cell>
        </row>
        <row r="8">
          <cell r="K8" t="e">
            <v>#N/A</v>
          </cell>
          <cell r="R8">
            <v>90</v>
          </cell>
        </row>
        <row r="9">
          <cell r="K9" t="e">
            <v>#N/A</v>
          </cell>
          <cell r="R9">
            <v>90</v>
          </cell>
        </row>
      </sheetData>
      <sheetData sheetId="7">
        <row r="2">
          <cell r="R2" t="str">
            <v>LENGTH</v>
          </cell>
        </row>
        <row r="3">
          <cell r="K3" t="str">
            <v>SPEC.</v>
          </cell>
          <cell r="R3" t="str">
            <v>(M)</v>
          </cell>
        </row>
        <row r="5">
          <cell r="K5" t="e">
            <v>#N/A</v>
          </cell>
          <cell r="R5">
            <v>85</v>
          </cell>
        </row>
        <row r="6">
          <cell r="K6" t="e">
            <v>#N/A</v>
          </cell>
          <cell r="R6">
            <v>85</v>
          </cell>
        </row>
        <row r="7">
          <cell r="K7" t="e">
            <v>#N/A</v>
          </cell>
          <cell r="R7">
            <v>85</v>
          </cell>
        </row>
        <row r="8">
          <cell r="K8" t="e">
            <v>#N/A</v>
          </cell>
          <cell r="R8">
            <v>85</v>
          </cell>
        </row>
      </sheetData>
      <sheetData sheetId="8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60</v>
          </cell>
        </row>
        <row r="6">
          <cell r="L6" t="str">
            <v>2C</v>
          </cell>
          <cell r="S6">
            <v>60</v>
          </cell>
        </row>
        <row r="7">
          <cell r="L7" t="str">
            <v>2C</v>
          </cell>
          <cell r="S7">
            <v>60</v>
          </cell>
        </row>
        <row r="8">
          <cell r="L8" t="str">
            <v>2C</v>
          </cell>
          <cell r="S8">
            <v>60</v>
          </cell>
        </row>
        <row r="9">
          <cell r="L9" t="str">
            <v>2C</v>
          </cell>
          <cell r="S9">
            <v>60</v>
          </cell>
        </row>
        <row r="10">
          <cell r="L10" t="str">
            <v>2C</v>
          </cell>
          <cell r="S10">
            <v>60</v>
          </cell>
        </row>
        <row r="11">
          <cell r="L11" t="str">
            <v>2C</v>
          </cell>
          <cell r="S11">
            <v>60</v>
          </cell>
        </row>
        <row r="12">
          <cell r="L12" t="str">
            <v>2C</v>
          </cell>
          <cell r="S12">
            <v>60</v>
          </cell>
        </row>
        <row r="13">
          <cell r="L13" t="str">
            <v>2C</v>
          </cell>
          <cell r="S13">
            <v>60</v>
          </cell>
        </row>
        <row r="14">
          <cell r="L14" t="str">
            <v>2C</v>
          </cell>
          <cell r="S14">
            <v>65</v>
          </cell>
        </row>
        <row r="15">
          <cell r="L15" t="str">
            <v>2C</v>
          </cell>
          <cell r="S15">
            <v>65</v>
          </cell>
        </row>
        <row r="16">
          <cell r="L16" t="str">
            <v>2C</v>
          </cell>
          <cell r="S16">
            <v>65</v>
          </cell>
        </row>
        <row r="17">
          <cell r="L17" t="str">
            <v>2C</v>
          </cell>
          <cell r="S17">
            <v>65</v>
          </cell>
        </row>
        <row r="18">
          <cell r="L18" t="str">
            <v>2C</v>
          </cell>
          <cell r="S18">
            <v>65</v>
          </cell>
        </row>
        <row r="19">
          <cell r="L19" t="str">
            <v>2C</v>
          </cell>
          <cell r="S19">
            <v>65</v>
          </cell>
        </row>
        <row r="20">
          <cell r="L20" t="str">
            <v>2C</v>
          </cell>
          <cell r="S20">
            <v>55</v>
          </cell>
        </row>
        <row r="21">
          <cell r="L21" t="str">
            <v>2C</v>
          </cell>
          <cell r="S21">
            <v>55</v>
          </cell>
        </row>
        <row r="22">
          <cell r="L22" t="str">
            <v>2C</v>
          </cell>
          <cell r="S22">
            <v>55</v>
          </cell>
        </row>
        <row r="23">
          <cell r="L23" t="str">
            <v>2C</v>
          </cell>
          <cell r="S23">
            <v>65</v>
          </cell>
        </row>
        <row r="24">
          <cell r="L24" t="str">
            <v>2C</v>
          </cell>
          <cell r="S24">
            <v>65</v>
          </cell>
        </row>
        <row r="25">
          <cell r="L25" t="str">
            <v>2C</v>
          </cell>
          <cell r="S25">
            <v>65</v>
          </cell>
        </row>
        <row r="26">
          <cell r="L26" t="str">
            <v>2C</v>
          </cell>
        </row>
        <row r="27">
          <cell r="L27" t="str">
            <v>2C</v>
          </cell>
        </row>
        <row r="28">
          <cell r="L28" t="str">
            <v>2C</v>
          </cell>
        </row>
        <row r="29">
          <cell r="L29" t="str">
            <v>2C</v>
          </cell>
        </row>
        <row r="30">
          <cell r="L30" t="str">
            <v>2C</v>
          </cell>
        </row>
        <row r="39">
          <cell r="L39" t="str">
            <v>2C</v>
          </cell>
        </row>
        <row r="40">
          <cell r="L40" t="str">
            <v>2C</v>
          </cell>
        </row>
        <row r="41">
          <cell r="L41" t="str">
            <v>2C</v>
          </cell>
        </row>
        <row r="42">
          <cell r="L42" t="str">
            <v>2C</v>
          </cell>
        </row>
        <row r="43">
          <cell r="L43" t="str">
            <v>2C</v>
          </cell>
        </row>
        <row r="44">
          <cell r="L44" t="str">
            <v>2C</v>
          </cell>
        </row>
        <row r="45">
          <cell r="L45" t="str">
            <v>2C</v>
          </cell>
        </row>
        <row r="46">
          <cell r="L46" t="str">
            <v>2C</v>
          </cell>
        </row>
        <row r="47">
          <cell r="L47" t="str">
            <v>2C</v>
          </cell>
        </row>
        <row r="48">
          <cell r="L48" t="str">
            <v>2C</v>
          </cell>
        </row>
        <row r="49">
          <cell r="L49" t="str">
            <v>2C</v>
          </cell>
        </row>
        <row r="50">
          <cell r="L50" t="str">
            <v>2C</v>
          </cell>
        </row>
        <row r="51">
          <cell r="L51" t="str">
            <v>2C</v>
          </cell>
        </row>
        <row r="52">
          <cell r="L52" t="str">
            <v>2C</v>
          </cell>
        </row>
        <row r="53">
          <cell r="L53" t="str">
            <v>2C</v>
          </cell>
        </row>
        <row r="54">
          <cell r="L54" t="str">
            <v>2C</v>
          </cell>
        </row>
        <row r="55">
          <cell r="L55" t="str">
            <v>2C</v>
          </cell>
        </row>
        <row r="56">
          <cell r="L56" t="str">
            <v>2C</v>
          </cell>
        </row>
        <row r="57">
          <cell r="L57" t="str">
            <v>2C</v>
          </cell>
        </row>
        <row r="58">
          <cell r="L58" t="str">
            <v>2C</v>
          </cell>
        </row>
        <row r="59">
          <cell r="L59" t="str">
            <v>2C</v>
          </cell>
        </row>
        <row r="60">
          <cell r="L60" t="str">
            <v>2C</v>
          </cell>
        </row>
        <row r="61">
          <cell r="L61" t="str">
            <v>2C</v>
          </cell>
        </row>
        <row r="62">
          <cell r="L62" t="str">
            <v>2C</v>
          </cell>
        </row>
        <row r="63">
          <cell r="L63" t="str">
            <v>2C</v>
          </cell>
        </row>
        <row r="64">
          <cell r="L64" t="str">
            <v>2C</v>
          </cell>
        </row>
        <row r="73">
          <cell r="L73" t="str">
            <v>2C</v>
          </cell>
        </row>
        <row r="74">
          <cell r="L74" t="str">
            <v>2C</v>
          </cell>
        </row>
        <row r="75">
          <cell r="L75" t="str">
            <v>2C</v>
          </cell>
        </row>
        <row r="76">
          <cell r="L76" t="str">
            <v>2C</v>
          </cell>
        </row>
        <row r="77">
          <cell r="L77" t="str">
            <v>2C</v>
          </cell>
        </row>
        <row r="78">
          <cell r="L78" t="str">
            <v>2C</v>
          </cell>
        </row>
        <row r="79">
          <cell r="L79" t="str">
            <v>2C</v>
          </cell>
        </row>
        <row r="80">
          <cell r="L80" t="str">
            <v>2C</v>
          </cell>
        </row>
        <row r="81">
          <cell r="L81" t="str">
            <v>2C</v>
          </cell>
        </row>
        <row r="82">
          <cell r="L82" t="str">
            <v>2C</v>
          </cell>
        </row>
        <row r="83">
          <cell r="L83" t="str">
            <v>2C</v>
          </cell>
        </row>
        <row r="84">
          <cell r="L84" t="str">
            <v>2C</v>
          </cell>
        </row>
        <row r="85">
          <cell r="L85" t="str">
            <v>2C</v>
          </cell>
        </row>
        <row r="86">
          <cell r="L86" t="str">
            <v>2C</v>
          </cell>
        </row>
        <row r="87">
          <cell r="L87" t="str">
            <v>2C</v>
          </cell>
        </row>
        <row r="88">
          <cell r="L88" t="str">
            <v>2C</v>
          </cell>
        </row>
        <row r="89">
          <cell r="L89" t="str">
            <v>2C</v>
          </cell>
        </row>
        <row r="90">
          <cell r="L90" t="str">
            <v>2C</v>
          </cell>
        </row>
        <row r="91">
          <cell r="L91" t="str">
            <v>2C</v>
          </cell>
        </row>
        <row r="92">
          <cell r="L92" t="str">
            <v>2C</v>
          </cell>
        </row>
        <row r="93">
          <cell r="L93" t="str">
            <v>2C</v>
          </cell>
        </row>
        <row r="94">
          <cell r="L94" t="str">
            <v>2C</v>
          </cell>
        </row>
        <row r="95">
          <cell r="L95" t="str">
            <v>2C</v>
          </cell>
        </row>
        <row r="96">
          <cell r="L96" t="str">
            <v>2C</v>
          </cell>
        </row>
        <row r="97">
          <cell r="L97" t="str">
            <v>2C</v>
          </cell>
        </row>
        <row r="98">
          <cell r="L98" t="str">
            <v>2C</v>
          </cell>
        </row>
        <row r="107">
          <cell r="L107" t="str">
            <v>2C</v>
          </cell>
        </row>
        <row r="108">
          <cell r="L108" t="str">
            <v>2C</v>
          </cell>
        </row>
        <row r="109">
          <cell r="L109" t="str">
            <v>2C</v>
          </cell>
        </row>
        <row r="110">
          <cell r="L110" t="str">
            <v>2C</v>
          </cell>
        </row>
        <row r="111">
          <cell r="L111" t="str">
            <v>2C</v>
          </cell>
        </row>
        <row r="112">
          <cell r="L112" t="str">
            <v>2C</v>
          </cell>
        </row>
        <row r="113">
          <cell r="L113" t="str">
            <v>2C</v>
          </cell>
        </row>
        <row r="114">
          <cell r="L114" t="str">
            <v>2C</v>
          </cell>
        </row>
        <row r="115">
          <cell r="L115" t="str">
            <v>2C</v>
          </cell>
        </row>
        <row r="116">
          <cell r="L116" t="str">
            <v>2C</v>
          </cell>
        </row>
        <row r="117">
          <cell r="L117" t="str">
            <v>2C</v>
          </cell>
        </row>
        <row r="118">
          <cell r="L118" t="str">
            <v>2C</v>
          </cell>
        </row>
        <row r="119">
          <cell r="L119" t="str">
            <v>2C</v>
          </cell>
        </row>
        <row r="120">
          <cell r="L120" t="str">
            <v>2C</v>
          </cell>
        </row>
        <row r="121">
          <cell r="L121" t="str">
            <v>2C</v>
          </cell>
        </row>
        <row r="122">
          <cell r="L122" t="str">
            <v>2C</v>
          </cell>
          <cell r="S122">
            <v>55</v>
          </cell>
        </row>
        <row r="123">
          <cell r="L123" t="str">
            <v>20C</v>
          </cell>
          <cell r="S123">
            <v>178</v>
          </cell>
        </row>
        <row r="124">
          <cell r="L124" t="str">
            <v>2P</v>
          </cell>
          <cell r="S124">
            <v>55</v>
          </cell>
        </row>
        <row r="125">
          <cell r="L125" t="str">
            <v>2C</v>
          </cell>
          <cell r="S125">
            <v>50</v>
          </cell>
        </row>
        <row r="126">
          <cell r="L126" t="str">
            <v>20C</v>
          </cell>
          <cell r="S126">
            <v>173</v>
          </cell>
        </row>
        <row r="128">
          <cell r="L128" t="str">
            <v>2C</v>
          </cell>
          <cell r="S128">
            <v>50</v>
          </cell>
        </row>
        <row r="129">
          <cell r="L129" t="str">
            <v>20C</v>
          </cell>
          <cell r="S129">
            <v>173</v>
          </cell>
        </row>
        <row r="130">
          <cell r="L130" t="str">
            <v>2P</v>
          </cell>
          <cell r="S130">
            <v>50</v>
          </cell>
        </row>
        <row r="131">
          <cell r="L131" t="str">
            <v>2C</v>
          </cell>
          <cell r="S131">
            <v>55</v>
          </cell>
        </row>
        <row r="132">
          <cell r="L132" t="str">
            <v>20C</v>
          </cell>
          <cell r="S132">
            <v>178</v>
          </cell>
        </row>
        <row r="141">
          <cell r="L141" t="str">
            <v>2P</v>
          </cell>
          <cell r="S141">
            <v>65</v>
          </cell>
        </row>
        <row r="142">
          <cell r="L142" t="str">
            <v>2C</v>
          </cell>
          <cell r="S142">
            <v>60</v>
          </cell>
        </row>
        <row r="143">
          <cell r="L143" t="str">
            <v>20C</v>
          </cell>
          <cell r="S143">
            <v>178</v>
          </cell>
        </row>
        <row r="144">
          <cell r="L144" t="str">
            <v>2P</v>
          </cell>
          <cell r="S144">
            <v>65</v>
          </cell>
        </row>
        <row r="145">
          <cell r="L145" t="str">
            <v>2C</v>
          </cell>
          <cell r="S145">
            <v>55</v>
          </cell>
        </row>
        <row r="146">
          <cell r="L146" t="str">
            <v>20C</v>
          </cell>
          <cell r="S146">
            <v>173</v>
          </cell>
        </row>
        <row r="148">
          <cell r="L148" t="str">
            <v>2C</v>
          </cell>
          <cell r="S148">
            <v>50</v>
          </cell>
        </row>
        <row r="149">
          <cell r="L149" t="str">
            <v>20C</v>
          </cell>
          <cell r="S149">
            <v>168</v>
          </cell>
        </row>
        <row r="151">
          <cell r="L151" t="str">
            <v>2C</v>
          </cell>
          <cell r="S151">
            <v>50</v>
          </cell>
        </row>
        <row r="152">
          <cell r="L152" t="str">
            <v>20C</v>
          </cell>
          <cell r="S152">
            <v>163</v>
          </cell>
        </row>
        <row r="153">
          <cell r="L153" t="str">
            <v>2C</v>
          </cell>
          <cell r="S153">
            <v>40</v>
          </cell>
        </row>
        <row r="154">
          <cell r="L154" t="str">
            <v>20C</v>
          </cell>
          <cell r="S154">
            <v>128</v>
          </cell>
        </row>
        <row r="156">
          <cell r="L156" t="str">
            <v>2C</v>
          </cell>
          <cell r="S156">
            <v>55</v>
          </cell>
        </row>
        <row r="157">
          <cell r="L157" t="str">
            <v>4P</v>
          </cell>
          <cell r="S157">
            <v>55</v>
          </cell>
        </row>
        <row r="158">
          <cell r="L158" t="str">
            <v>4P</v>
          </cell>
          <cell r="S158">
            <v>55</v>
          </cell>
        </row>
        <row r="159">
          <cell r="L159" t="str">
            <v>4P</v>
          </cell>
          <cell r="S159">
            <v>65</v>
          </cell>
        </row>
        <row r="160">
          <cell r="L160" t="str">
            <v>4P</v>
          </cell>
          <cell r="S160">
            <v>50</v>
          </cell>
        </row>
        <row r="161">
          <cell r="L161" t="str">
            <v>4P</v>
          </cell>
          <cell r="S161">
            <v>65</v>
          </cell>
        </row>
        <row r="162">
          <cell r="L162" t="str">
            <v>4P</v>
          </cell>
          <cell r="S162">
            <v>65</v>
          </cell>
        </row>
        <row r="163">
          <cell r="L163" t="str">
            <v>4P</v>
          </cell>
          <cell r="S163">
            <v>55</v>
          </cell>
        </row>
        <row r="164">
          <cell r="L164" t="str">
            <v>4P</v>
          </cell>
          <cell r="S164">
            <v>55</v>
          </cell>
        </row>
        <row r="165">
          <cell r="L165" t="str">
            <v>4P</v>
          </cell>
          <cell r="S165">
            <v>60</v>
          </cell>
        </row>
        <row r="166">
          <cell r="L166" t="str">
            <v>4P</v>
          </cell>
          <cell r="S166">
            <v>60</v>
          </cell>
        </row>
        <row r="175">
          <cell r="L175" t="str">
            <v>4P</v>
          </cell>
          <cell r="S175">
            <v>60</v>
          </cell>
        </row>
        <row r="176">
          <cell r="L176" t="str">
            <v>4P</v>
          </cell>
          <cell r="S176">
            <v>55</v>
          </cell>
        </row>
        <row r="177">
          <cell r="L177" t="str">
            <v>2P</v>
          </cell>
          <cell r="S177">
            <v>60</v>
          </cell>
        </row>
        <row r="178">
          <cell r="L178" t="str">
            <v>2P</v>
          </cell>
          <cell r="S178">
            <v>60</v>
          </cell>
        </row>
        <row r="179">
          <cell r="L179" t="str">
            <v>2P</v>
          </cell>
          <cell r="S179">
            <v>40</v>
          </cell>
        </row>
        <row r="180">
          <cell r="L180" t="str">
            <v>2P</v>
          </cell>
          <cell r="S180">
            <v>60</v>
          </cell>
        </row>
        <row r="181">
          <cell r="L181" t="str">
            <v>2P</v>
          </cell>
          <cell r="S181">
            <v>50</v>
          </cell>
        </row>
        <row r="182">
          <cell r="L182" t="str">
            <v>2P</v>
          </cell>
          <cell r="S182">
            <v>60</v>
          </cell>
        </row>
        <row r="183">
          <cell r="L183" t="str">
            <v>2P</v>
          </cell>
          <cell r="S183">
            <v>50</v>
          </cell>
        </row>
        <row r="184">
          <cell r="L184" t="str">
            <v>2P</v>
          </cell>
          <cell r="S184">
            <v>50</v>
          </cell>
        </row>
        <row r="185">
          <cell r="L185" t="str">
            <v>2P</v>
          </cell>
          <cell r="S185">
            <v>60</v>
          </cell>
        </row>
        <row r="186">
          <cell r="L186" t="str">
            <v>2P</v>
          </cell>
          <cell r="S186">
            <v>60</v>
          </cell>
        </row>
        <row r="187">
          <cell r="L187" t="str">
            <v>2P</v>
          </cell>
          <cell r="S187">
            <v>60</v>
          </cell>
        </row>
        <row r="188">
          <cell r="L188" t="str">
            <v>2P</v>
          </cell>
          <cell r="S188">
            <v>55</v>
          </cell>
        </row>
        <row r="189">
          <cell r="L189" t="str">
            <v>2P</v>
          </cell>
          <cell r="S189">
            <v>65</v>
          </cell>
        </row>
        <row r="190">
          <cell r="L190" t="str">
            <v>2P</v>
          </cell>
          <cell r="S190">
            <v>40</v>
          </cell>
        </row>
        <row r="191">
          <cell r="L191" t="str">
            <v>2P</v>
          </cell>
          <cell r="S191">
            <v>45</v>
          </cell>
        </row>
        <row r="192">
          <cell r="L192" t="str">
            <v>2P</v>
          </cell>
          <cell r="S192">
            <v>60</v>
          </cell>
        </row>
        <row r="193">
          <cell r="L193" t="str">
            <v>2P</v>
          </cell>
          <cell r="S193">
            <v>65</v>
          </cell>
        </row>
        <row r="194">
          <cell r="L194" t="str">
            <v>2P</v>
          </cell>
          <cell r="S194">
            <v>65</v>
          </cell>
        </row>
        <row r="195">
          <cell r="L195" t="str">
            <v>2P</v>
          </cell>
          <cell r="S195">
            <v>55</v>
          </cell>
        </row>
        <row r="196">
          <cell r="L196" t="str">
            <v>2P</v>
          </cell>
          <cell r="S196">
            <v>25</v>
          </cell>
        </row>
        <row r="197">
          <cell r="L197" t="str">
            <v>2P</v>
          </cell>
          <cell r="S197">
            <v>25</v>
          </cell>
        </row>
        <row r="198">
          <cell r="L198" t="str">
            <v>2P</v>
          </cell>
          <cell r="S198">
            <v>25</v>
          </cell>
        </row>
        <row r="199">
          <cell r="L199" t="str">
            <v>2P</v>
          </cell>
          <cell r="S199">
            <v>45</v>
          </cell>
        </row>
        <row r="200">
          <cell r="L200" t="str">
            <v>2P</v>
          </cell>
          <cell r="S200">
            <v>45</v>
          </cell>
        </row>
        <row r="209">
          <cell r="L209" t="str">
            <v>2P</v>
          </cell>
          <cell r="S209">
            <v>25</v>
          </cell>
        </row>
        <row r="210">
          <cell r="L210" t="str">
            <v>2P</v>
          </cell>
          <cell r="S210">
            <v>25</v>
          </cell>
        </row>
        <row r="211">
          <cell r="L211" t="str">
            <v>2P</v>
          </cell>
          <cell r="S211">
            <v>35</v>
          </cell>
        </row>
        <row r="212">
          <cell r="L212" t="str">
            <v>2P</v>
          </cell>
          <cell r="S212">
            <v>35</v>
          </cell>
        </row>
        <row r="213">
          <cell r="L213" t="str">
            <v>2P</v>
          </cell>
          <cell r="S213">
            <v>35</v>
          </cell>
        </row>
        <row r="214">
          <cell r="L214" t="str">
            <v>2P</v>
          </cell>
          <cell r="S214">
            <v>35</v>
          </cell>
        </row>
        <row r="215">
          <cell r="L215" t="str">
            <v>2P</v>
          </cell>
          <cell r="S215">
            <v>35</v>
          </cell>
        </row>
        <row r="216">
          <cell r="L216" t="str">
            <v>2P</v>
          </cell>
          <cell r="S216">
            <v>35</v>
          </cell>
        </row>
        <row r="217">
          <cell r="L217" t="str">
            <v>2P</v>
          </cell>
          <cell r="S217">
            <v>35</v>
          </cell>
        </row>
        <row r="218">
          <cell r="L218" t="str">
            <v>2P</v>
          </cell>
          <cell r="S218">
            <v>35</v>
          </cell>
        </row>
        <row r="219">
          <cell r="L219" t="str">
            <v>2P</v>
          </cell>
          <cell r="S219">
            <v>45</v>
          </cell>
        </row>
        <row r="220">
          <cell r="L220" t="str">
            <v>2P</v>
          </cell>
          <cell r="S220">
            <v>30</v>
          </cell>
        </row>
        <row r="221">
          <cell r="L221" t="str">
            <v>2P</v>
          </cell>
          <cell r="S221">
            <v>45</v>
          </cell>
        </row>
        <row r="222">
          <cell r="L222" t="str">
            <v>2P</v>
          </cell>
          <cell r="S222">
            <v>45</v>
          </cell>
        </row>
        <row r="223">
          <cell r="L223" t="str">
            <v>2P</v>
          </cell>
          <cell r="S223">
            <v>60</v>
          </cell>
        </row>
        <row r="224">
          <cell r="L224" t="str">
            <v>2P</v>
          </cell>
          <cell r="S224">
            <v>60</v>
          </cell>
        </row>
        <row r="225">
          <cell r="L225" t="str">
            <v>2P</v>
          </cell>
          <cell r="S225">
            <v>60</v>
          </cell>
        </row>
        <row r="226">
          <cell r="L226" t="str">
            <v>2P</v>
          </cell>
          <cell r="S226">
            <v>50</v>
          </cell>
        </row>
        <row r="227">
          <cell r="L227" t="str">
            <v>2P</v>
          </cell>
          <cell r="S227">
            <v>50</v>
          </cell>
        </row>
        <row r="228">
          <cell r="L228" t="str">
            <v>2P</v>
          </cell>
          <cell r="S228">
            <v>50</v>
          </cell>
        </row>
        <row r="229">
          <cell r="L229" t="str">
            <v>2P</v>
          </cell>
          <cell r="S229">
            <v>50</v>
          </cell>
        </row>
        <row r="230">
          <cell r="L230" t="str">
            <v>2P</v>
          </cell>
          <cell r="S230">
            <v>60</v>
          </cell>
        </row>
        <row r="231">
          <cell r="L231" t="str">
            <v>2P</v>
          </cell>
          <cell r="S231">
            <v>60</v>
          </cell>
        </row>
        <row r="232">
          <cell r="L232" t="str">
            <v>2P</v>
          </cell>
          <cell r="S232">
            <v>60</v>
          </cell>
        </row>
        <row r="233">
          <cell r="L233" t="str">
            <v>2P</v>
          </cell>
          <cell r="S233">
            <v>70</v>
          </cell>
        </row>
        <row r="234">
          <cell r="L234" t="str">
            <v>2P</v>
          </cell>
          <cell r="S234">
            <v>40</v>
          </cell>
        </row>
        <row r="243">
          <cell r="L243" t="str">
            <v>2P</v>
          </cell>
          <cell r="S243">
            <v>40</v>
          </cell>
        </row>
        <row r="244">
          <cell r="L244" t="str">
            <v>2P</v>
          </cell>
          <cell r="S244">
            <v>50</v>
          </cell>
        </row>
        <row r="245">
          <cell r="L245" t="str">
            <v>2P</v>
          </cell>
        </row>
        <row r="246">
          <cell r="L246" t="str">
            <v>2P</v>
          </cell>
          <cell r="S246">
            <v>30</v>
          </cell>
        </row>
        <row r="247">
          <cell r="L247" t="str">
            <v>2P</v>
          </cell>
          <cell r="S247">
            <v>30</v>
          </cell>
        </row>
        <row r="248">
          <cell r="L248" t="str">
            <v>2P</v>
          </cell>
          <cell r="S248">
            <v>30</v>
          </cell>
        </row>
        <row r="249">
          <cell r="L249" t="str">
            <v>20C</v>
          </cell>
          <cell r="S249">
            <v>148</v>
          </cell>
        </row>
        <row r="250">
          <cell r="L250" t="str">
            <v>20C</v>
          </cell>
          <cell r="S250">
            <v>148</v>
          </cell>
        </row>
        <row r="251">
          <cell r="L251" t="str">
            <v>20C</v>
          </cell>
          <cell r="S251">
            <v>148</v>
          </cell>
        </row>
        <row r="252">
          <cell r="L252" t="str">
            <v>2OC</v>
          </cell>
          <cell r="S252">
            <v>148</v>
          </cell>
        </row>
        <row r="253">
          <cell r="L253" t="str">
            <v>8P</v>
          </cell>
          <cell r="S253">
            <v>148</v>
          </cell>
        </row>
        <row r="254">
          <cell r="L254" t="str">
            <v>8P</v>
          </cell>
          <cell r="S254">
            <v>148</v>
          </cell>
        </row>
        <row r="255">
          <cell r="L255" t="str">
            <v>30C</v>
          </cell>
          <cell r="S255">
            <v>178</v>
          </cell>
        </row>
        <row r="256">
          <cell r="L256" t="str">
            <v>30C</v>
          </cell>
          <cell r="S256">
            <v>178</v>
          </cell>
        </row>
        <row r="257">
          <cell r="L257" t="str">
            <v>30C</v>
          </cell>
          <cell r="S257">
            <v>178</v>
          </cell>
        </row>
        <row r="258">
          <cell r="L258" t="str">
            <v>30C</v>
          </cell>
          <cell r="S258">
            <v>198</v>
          </cell>
        </row>
        <row r="259">
          <cell r="L259" t="str">
            <v>30C</v>
          </cell>
          <cell r="S259">
            <v>198</v>
          </cell>
        </row>
        <row r="260">
          <cell r="L260" t="str">
            <v>30C</v>
          </cell>
          <cell r="S260">
            <v>198</v>
          </cell>
        </row>
        <row r="261">
          <cell r="L261" t="str">
            <v>20C</v>
          </cell>
          <cell r="S261">
            <v>148</v>
          </cell>
        </row>
        <row r="262">
          <cell r="L262" t="str">
            <v>20C</v>
          </cell>
          <cell r="S262">
            <v>148</v>
          </cell>
        </row>
        <row r="263">
          <cell r="L263" t="str">
            <v>12P</v>
          </cell>
          <cell r="S263">
            <v>148</v>
          </cell>
        </row>
        <row r="264">
          <cell r="L264" t="str">
            <v>12P</v>
          </cell>
          <cell r="S264">
            <v>148</v>
          </cell>
        </row>
        <row r="265">
          <cell r="L265" t="str">
            <v>12P</v>
          </cell>
          <cell r="S265">
            <v>148</v>
          </cell>
        </row>
        <row r="266">
          <cell r="L266" t="str">
            <v>12P</v>
          </cell>
          <cell r="S266">
            <v>148</v>
          </cell>
        </row>
        <row r="267">
          <cell r="L267" t="str">
            <v>12P</v>
          </cell>
          <cell r="S267">
            <v>148</v>
          </cell>
        </row>
        <row r="268">
          <cell r="L268" t="str">
            <v>12P</v>
          </cell>
          <cell r="S268">
            <v>148</v>
          </cell>
        </row>
        <row r="277">
          <cell r="L277" t="str">
            <v>12P</v>
          </cell>
          <cell r="S277">
            <v>148</v>
          </cell>
        </row>
        <row r="278">
          <cell r="L278" t="str">
            <v>12P</v>
          </cell>
          <cell r="S278">
            <v>148</v>
          </cell>
        </row>
        <row r="279">
          <cell r="L279" t="str">
            <v>12P</v>
          </cell>
          <cell r="S279">
            <v>148</v>
          </cell>
        </row>
        <row r="280">
          <cell r="L280" t="str">
            <v>8P</v>
          </cell>
          <cell r="S280">
            <v>118</v>
          </cell>
        </row>
        <row r="281">
          <cell r="L281" t="str">
            <v>4P</v>
          </cell>
          <cell r="S281">
            <v>118</v>
          </cell>
        </row>
        <row r="282">
          <cell r="L282" t="str">
            <v>30C</v>
          </cell>
          <cell r="S282">
            <v>148</v>
          </cell>
        </row>
        <row r="283">
          <cell r="L283" t="str">
            <v>30C</v>
          </cell>
          <cell r="S283">
            <v>198</v>
          </cell>
        </row>
        <row r="284">
          <cell r="L284" t="str">
            <v>2C</v>
          </cell>
          <cell r="S284">
            <v>58</v>
          </cell>
        </row>
        <row r="285">
          <cell r="L285" t="str">
            <v>8P</v>
          </cell>
          <cell r="S285">
            <v>178</v>
          </cell>
        </row>
        <row r="286">
          <cell r="L286" t="str">
            <v>2P</v>
          </cell>
        </row>
        <row r="287">
          <cell r="L287" t="str">
            <v>2P</v>
          </cell>
        </row>
        <row r="288">
          <cell r="L288" t="str">
            <v>2P</v>
          </cell>
        </row>
        <row r="289">
          <cell r="L289" t="str">
            <v>2P</v>
          </cell>
        </row>
        <row r="290">
          <cell r="L290" t="str">
            <v>2P</v>
          </cell>
        </row>
        <row r="291">
          <cell r="L291" t="str">
            <v>2P</v>
          </cell>
        </row>
        <row r="292">
          <cell r="L292" t="str">
            <v>2P</v>
          </cell>
        </row>
        <row r="293">
          <cell r="L293" t="str">
            <v>2P</v>
          </cell>
        </row>
        <row r="294">
          <cell r="L294" t="str">
            <v>2P</v>
          </cell>
        </row>
        <row r="295">
          <cell r="L295" t="str">
            <v>2P</v>
          </cell>
        </row>
        <row r="296">
          <cell r="L296" t="str">
            <v>2C</v>
          </cell>
        </row>
        <row r="297">
          <cell r="L297" t="str">
            <v>2C</v>
          </cell>
        </row>
        <row r="298">
          <cell r="L298" t="str">
            <v>2C</v>
          </cell>
        </row>
        <row r="299">
          <cell r="L299" t="str">
            <v>2C</v>
          </cell>
        </row>
        <row r="300">
          <cell r="L300" t="str">
            <v>2C</v>
          </cell>
        </row>
        <row r="301">
          <cell r="L301" t="str">
            <v>2C</v>
          </cell>
        </row>
        <row r="302">
          <cell r="L302" t="str">
            <v>2C</v>
          </cell>
        </row>
        <row r="303">
          <cell r="L303" t="str">
            <v>2C</v>
          </cell>
        </row>
        <row r="304">
          <cell r="L304" t="str">
            <v>2C</v>
          </cell>
        </row>
        <row r="305">
          <cell r="L305" t="str">
            <v>2C</v>
          </cell>
        </row>
      </sheetData>
      <sheetData sheetId="9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60</v>
          </cell>
        </row>
        <row r="6">
          <cell r="L6" t="str">
            <v>2C</v>
          </cell>
          <cell r="S6">
            <v>60</v>
          </cell>
        </row>
        <row r="7">
          <cell r="L7" t="str">
            <v>2C</v>
          </cell>
          <cell r="S7">
            <v>60</v>
          </cell>
        </row>
        <row r="8">
          <cell r="L8" t="str">
            <v>2C</v>
          </cell>
          <cell r="S8">
            <v>60</v>
          </cell>
        </row>
        <row r="9">
          <cell r="L9" t="str">
            <v>2C</v>
          </cell>
          <cell r="S9">
            <v>60</v>
          </cell>
        </row>
        <row r="10">
          <cell r="L10" t="str">
            <v>2C</v>
          </cell>
          <cell r="S10">
            <v>60</v>
          </cell>
        </row>
        <row r="11">
          <cell r="L11" t="str">
            <v>2C</v>
          </cell>
          <cell r="S11">
            <v>60</v>
          </cell>
        </row>
        <row r="12">
          <cell r="L12" t="str">
            <v>2C</v>
          </cell>
          <cell r="S12">
            <v>60</v>
          </cell>
        </row>
        <row r="13">
          <cell r="L13" t="str">
            <v>2C</v>
          </cell>
          <cell r="S13">
            <v>60</v>
          </cell>
        </row>
        <row r="14">
          <cell r="L14" t="str">
            <v>2C</v>
          </cell>
          <cell r="S14">
            <v>65</v>
          </cell>
        </row>
        <row r="15">
          <cell r="L15" t="str">
            <v>2C</v>
          </cell>
          <cell r="S15">
            <v>65</v>
          </cell>
        </row>
        <row r="16">
          <cell r="L16" t="str">
            <v>2C</v>
          </cell>
          <cell r="S16">
            <v>65</v>
          </cell>
        </row>
        <row r="17">
          <cell r="L17" t="str">
            <v>2C</v>
          </cell>
          <cell r="S17">
            <v>65</v>
          </cell>
        </row>
        <row r="18">
          <cell r="L18" t="str">
            <v>2C</v>
          </cell>
          <cell r="S18">
            <v>65</v>
          </cell>
        </row>
        <row r="19">
          <cell r="L19" t="str">
            <v>2C</v>
          </cell>
          <cell r="S19">
            <v>65</v>
          </cell>
        </row>
        <row r="20">
          <cell r="L20" t="str">
            <v>2C</v>
          </cell>
          <cell r="S20">
            <v>55</v>
          </cell>
        </row>
        <row r="21">
          <cell r="L21" t="str">
            <v>2C</v>
          </cell>
          <cell r="S21">
            <v>55</v>
          </cell>
        </row>
        <row r="22">
          <cell r="L22" t="str">
            <v>2C</v>
          </cell>
          <cell r="S22">
            <v>55</v>
          </cell>
        </row>
        <row r="23">
          <cell r="L23" t="str">
            <v>2C</v>
          </cell>
          <cell r="S23">
            <v>65</v>
          </cell>
        </row>
        <row r="24">
          <cell r="L24" t="str">
            <v>2C</v>
          </cell>
          <cell r="S24">
            <v>65</v>
          </cell>
        </row>
        <row r="25">
          <cell r="L25" t="str">
            <v>2C</v>
          </cell>
          <cell r="S25">
            <v>65</v>
          </cell>
        </row>
        <row r="26">
          <cell r="L26" t="str">
            <v>2C</v>
          </cell>
        </row>
        <row r="27">
          <cell r="L27" t="str">
            <v>2C</v>
          </cell>
        </row>
        <row r="28">
          <cell r="L28" t="str">
            <v>2C</v>
          </cell>
        </row>
        <row r="29">
          <cell r="L29" t="str">
            <v>2C</v>
          </cell>
        </row>
        <row r="30">
          <cell r="L30" t="str">
            <v>2C</v>
          </cell>
        </row>
        <row r="39">
          <cell r="L39" t="str">
            <v>2C</v>
          </cell>
        </row>
        <row r="40">
          <cell r="L40" t="str">
            <v>2C</v>
          </cell>
        </row>
        <row r="41">
          <cell r="L41" t="str">
            <v>2C</v>
          </cell>
        </row>
        <row r="42">
          <cell r="L42" t="str">
            <v>2C</v>
          </cell>
        </row>
        <row r="43">
          <cell r="L43" t="str">
            <v>2C</v>
          </cell>
        </row>
        <row r="44">
          <cell r="L44" t="str">
            <v>2C</v>
          </cell>
        </row>
        <row r="45">
          <cell r="L45" t="str">
            <v>2C</v>
          </cell>
        </row>
        <row r="46">
          <cell r="L46" t="str">
            <v>2C</v>
          </cell>
        </row>
        <row r="47">
          <cell r="L47" t="str">
            <v>2C</v>
          </cell>
        </row>
        <row r="48">
          <cell r="L48" t="str">
            <v>2C</v>
          </cell>
        </row>
        <row r="49">
          <cell r="L49" t="str">
            <v>2C</v>
          </cell>
        </row>
        <row r="50">
          <cell r="L50" t="str">
            <v>2C</v>
          </cell>
        </row>
        <row r="51">
          <cell r="L51" t="str">
            <v>2C</v>
          </cell>
        </row>
        <row r="52">
          <cell r="L52" t="str">
            <v>2C</v>
          </cell>
        </row>
        <row r="53">
          <cell r="L53" t="str">
            <v>2C</v>
          </cell>
        </row>
        <row r="54">
          <cell r="L54" t="str">
            <v>2C</v>
          </cell>
        </row>
        <row r="55">
          <cell r="L55" t="str">
            <v>2C</v>
          </cell>
        </row>
        <row r="56">
          <cell r="L56" t="str">
            <v>2C</v>
          </cell>
        </row>
        <row r="57">
          <cell r="L57" t="str">
            <v>2C</v>
          </cell>
        </row>
        <row r="58">
          <cell r="L58" t="str">
            <v>2C</v>
          </cell>
        </row>
        <row r="59">
          <cell r="L59" t="str">
            <v>2C</v>
          </cell>
        </row>
        <row r="60">
          <cell r="L60" t="str">
            <v>2C</v>
          </cell>
        </row>
        <row r="61">
          <cell r="L61" t="str">
            <v>2C</v>
          </cell>
        </row>
        <row r="62">
          <cell r="L62" t="str">
            <v>2C</v>
          </cell>
        </row>
        <row r="63">
          <cell r="L63" t="str">
            <v>2C</v>
          </cell>
        </row>
        <row r="64">
          <cell r="L64" t="str">
            <v>2C</v>
          </cell>
        </row>
        <row r="73">
          <cell r="L73" t="str">
            <v>2C</v>
          </cell>
        </row>
        <row r="74">
          <cell r="L74" t="str">
            <v>2C</v>
          </cell>
        </row>
        <row r="75">
          <cell r="L75" t="str">
            <v>2C</v>
          </cell>
        </row>
        <row r="76">
          <cell r="L76" t="str">
            <v>2C</v>
          </cell>
        </row>
        <row r="77">
          <cell r="L77" t="str">
            <v>2C</v>
          </cell>
        </row>
        <row r="78">
          <cell r="L78" t="str">
            <v>2C</v>
          </cell>
        </row>
        <row r="79">
          <cell r="L79" t="str">
            <v>2C</v>
          </cell>
        </row>
        <row r="80">
          <cell r="L80" t="str">
            <v>2C</v>
          </cell>
        </row>
        <row r="81">
          <cell r="L81" t="str">
            <v>2C</v>
          </cell>
        </row>
        <row r="82">
          <cell r="L82" t="str">
            <v>2C</v>
          </cell>
        </row>
        <row r="83">
          <cell r="L83" t="str">
            <v>2C</v>
          </cell>
        </row>
        <row r="84">
          <cell r="L84" t="str">
            <v>2C</v>
          </cell>
        </row>
        <row r="85">
          <cell r="L85" t="str">
            <v>2C</v>
          </cell>
        </row>
        <row r="86">
          <cell r="L86" t="str">
            <v>2C</v>
          </cell>
        </row>
        <row r="87">
          <cell r="L87" t="str">
            <v>2C</v>
          </cell>
        </row>
        <row r="88">
          <cell r="L88" t="str">
            <v>2C</v>
          </cell>
        </row>
        <row r="89">
          <cell r="L89" t="str">
            <v>2C</v>
          </cell>
        </row>
        <row r="90">
          <cell r="L90" t="str">
            <v>2C</v>
          </cell>
        </row>
        <row r="91">
          <cell r="L91" t="str">
            <v>2C</v>
          </cell>
        </row>
        <row r="92">
          <cell r="L92" t="str">
            <v>2C</v>
          </cell>
        </row>
        <row r="93">
          <cell r="L93" t="str">
            <v>2C</v>
          </cell>
        </row>
        <row r="94">
          <cell r="L94" t="str">
            <v>2C</v>
          </cell>
        </row>
        <row r="95">
          <cell r="L95" t="str">
            <v>2C</v>
          </cell>
        </row>
        <row r="96">
          <cell r="L96" t="str">
            <v>2C</v>
          </cell>
        </row>
        <row r="97">
          <cell r="L97" t="str">
            <v>2C</v>
          </cell>
        </row>
        <row r="98">
          <cell r="L98" t="str">
            <v>2C</v>
          </cell>
        </row>
        <row r="107">
          <cell r="L107" t="str">
            <v>2C</v>
          </cell>
        </row>
        <row r="108">
          <cell r="L108" t="str">
            <v>2C</v>
          </cell>
        </row>
        <row r="109">
          <cell r="L109" t="str">
            <v>2C</v>
          </cell>
        </row>
        <row r="110">
          <cell r="L110" t="str">
            <v>2C</v>
          </cell>
        </row>
        <row r="111">
          <cell r="L111" t="str">
            <v>2C</v>
          </cell>
        </row>
        <row r="112">
          <cell r="L112" t="str">
            <v>2C</v>
          </cell>
        </row>
        <row r="113">
          <cell r="L113" t="str">
            <v>2C</v>
          </cell>
        </row>
        <row r="114">
          <cell r="L114" t="str">
            <v>2C</v>
          </cell>
        </row>
        <row r="115">
          <cell r="L115" t="str">
            <v>2C</v>
          </cell>
        </row>
        <row r="116">
          <cell r="L116" t="str">
            <v>2C</v>
          </cell>
        </row>
        <row r="117">
          <cell r="L117" t="str">
            <v>2C</v>
          </cell>
        </row>
        <row r="118">
          <cell r="L118" t="str">
            <v>2C</v>
          </cell>
        </row>
        <row r="119">
          <cell r="L119" t="str">
            <v>2C</v>
          </cell>
        </row>
        <row r="120">
          <cell r="L120" t="str">
            <v>2C</v>
          </cell>
        </row>
        <row r="121">
          <cell r="L121" t="str">
            <v>2C</v>
          </cell>
        </row>
        <row r="122">
          <cell r="L122" t="str">
            <v>2C</v>
          </cell>
          <cell r="S122">
            <v>55</v>
          </cell>
        </row>
        <row r="123">
          <cell r="L123" t="str">
            <v>20C</v>
          </cell>
          <cell r="S123">
            <v>146</v>
          </cell>
        </row>
        <row r="124">
          <cell r="L124" t="str">
            <v>2P</v>
          </cell>
          <cell r="S124">
            <v>55</v>
          </cell>
        </row>
        <row r="125">
          <cell r="L125" t="str">
            <v>2C</v>
          </cell>
          <cell r="S125">
            <v>50</v>
          </cell>
        </row>
        <row r="126">
          <cell r="L126" t="str">
            <v>20C</v>
          </cell>
          <cell r="S126">
            <v>141</v>
          </cell>
        </row>
        <row r="128">
          <cell r="L128" t="str">
            <v>2C</v>
          </cell>
          <cell r="S128">
            <v>50</v>
          </cell>
        </row>
        <row r="129">
          <cell r="L129" t="str">
            <v>20C</v>
          </cell>
          <cell r="S129">
            <v>141</v>
          </cell>
        </row>
        <row r="130">
          <cell r="L130" t="str">
            <v>2P</v>
          </cell>
          <cell r="S130">
            <v>50</v>
          </cell>
        </row>
        <row r="131">
          <cell r="L131" t="str">
            <v>2C</v>
          </cell>
          <cell r="S131">
            <v>55</v>
          </cell>
        </row>
        <row r="132">
          <cell r="L132" t="str">
            <v>20C</v>
          </cell>
          <cell r="S132">
            <v>146</v>
          </cell>
        </row>
        <row r="141">
          <cell r="L141" t="str">
            <v>2P</v>
          </cell>
          <cell r="S141">
            <v>65</v>
          </cell>
        </row>
        <row r="142">
          <cell r="L142" t="str">
            <v>2C</v>
          </cell>
          <cell r="S142">
            <v>60</v>
          </cell>
        </row>
        <row r="143">
          <cell r="L143" t="str">
            <v>20C</v>
          </cell>
          <cell r="S143">
            <v>146</v>
          </cell>
        </row>
        <row r="144">
          <cell r="L144" t="str">
            <v>2P</v>
          </cell>
          <cell r="S144">
            <v>65</v>
          </cell>
        </row>
        <row r="145">
          <cell r="L145" t="str">
            <v>2C</v>
          </cell>
          <cell r="S145">
            <v>55</v>
          </cell>
        </row>
        <row r="146">
          <cell r="L146" t="str">
            <v>20C</v>
          </cell>
          <cell r="S146">
            <v>141</v>
          </cell>
        </row>
        <row r="148">
          <cell r="L148" t="str">
            <v>2C</v>
          </cell>
          <cell r="S148">
            <v>50</v>
          </cell>
        </row>
        <row r="149">
          <cell r="L149" t="str">
            <v>20C</v>
          </cell>
          <cell r="S149">
            <v>136</v>
          </cell>
        </row>
        <row r="151">
          <cell r="L151" t="str">
            <v>2C</v>
          </cell>
          <cell r="S151">
            <v>50</v>
          </cell>
        </row>
        <row r="152">
          <cell r="L152" t="str">
            <v>20C</v>
          </cell>
          <cell r="S152">
            <v>131</v>
          </cell>
        </row>
        <row r="153">
          <cell r="L153" t="str">
            <v>2C</v>
          </cell>
          <cell r="S153">
            <v>40</v>
          </cell>
        </row>
        <row r="154">
          <cell r="L154" t="str">
            <v>20C</v>
          </cell>
          <cell r="S154">
            <v>96</v>
          </cell>
        </row>
        <row r="156">
          <cell r="L156" t="str">
            <v>2C</v>
          </cell>
          <cell r="S156">
            <v>55</v>
          </cell>
        </row>
        <row r="157">
          <cell r="L157" t="str">
            <v>4P</v>
          </cell>
          <cell r="S157">
            <v>55</v>
          </cell>
        </row>
        <row r="158">
          <cell r="L158" t="str">
            <v>4P</v>
          </cell>
          <cell r="S158">
            <v>55</v>
          </cell>
        </row>
        <row r="159">
          <cell r="L159" t="str">
            <v>4P</v>
          </cell>
          <cell r="S159">
            <v>65</v>
          </cell>
        </row>
        <row r="160">
          <cell r="L160" t="str">
            <v>4P</v>
          </cell>
          <cell r="S160">
            <v>50</v>
          </cell>
        </row>
        <row r="161">
          <cell r="L161" t="str">
            <v>4P</v>
          </cell>
          <cell r="S161">
            <v>65</v>
          </cell>
        </row>
        <row r="162">
          <cell r="L162" t="str">
            <v>4P</v>
          </cell>
          <cell r="S162">
            <v>65</v>
          </cell>
        </row>
        <row r="163">
          <cell r="L163" t="str">
            <v>4P</v>
          </cell>
          <cell r="S163">
            <v>55</v>
          </cell>
        </row>
        <row r="164">
          <cell r="L164" t="str">
            <v>4P</v>
          </cell>
          <cell r="S164">
            <v>55</v>
          </cell>
        </row>
        <row r="165">
          <cell r="L165" t="str">
            <v>4P</v>
          </cell>
          <cell r="S165">
            <v>60</v>
          </cell>
        </row>
        <row r="166">
          <cell r="L166" t="str">
            <v>4P</v>
          </cell>
          <cell r="S166">
            <v>60</v>
          </cell>
        </row>
        <row r="175">
          <cell r="L175" t="str">
            <v>4P</v>
          </cell>
          <cell r="S175">
            <v>60</v>
          </cell>
        </row>
        <row r="176">
          <cell r="L176" t="str">
            <v>4P</v>
          </cell>
          <cell r="S176">
            <v>55</v>
          </cell>
        </row>
        <row r="177">
          <cell r="L177" t="str">
            <v>2P</v>
          </cell>
          <cell r="S177">
            <v>60</v>
          </cell>
        </row>
        <row r="178">
          <cell r="L178" t="str">
            <v>2P</v>
          </cell>
          <cell r="S178">
            <v>60</v>
          </cell>
        </row>
        <row r="179">
          <cell r="L179" t="str">
            <v>2P</v>
          </cell>
          <cell r="S179">
            <v>40</v>
          </cell>
        </row>
        <row r="180">
          <cell r="L180" t="str">
            <v>2P</v>
          </cell>
          <cell r="S180">
            <v>60</v>
          </cell>
        </row>
        <row r="181">
          <cell r="L181" t="str">
            <v>2P</v>
          </cell>
          <cell r="S181">
            <v>50</v>
          </cell>
        </row>
        <row r="182">
          <cell r="L182" t="str">
            <v>2P</v>
          </cell>
          <cell r="S182">
            <v>60</v>
          </cell>
        </row>
        <row r="183">
          <cell r="L183" t="str">
            <v>2P</v>
          </cell>
          <cell r="S183">
            <v>50</v>
          </cell>
        </row>
        <row r="184">
          <cell r="L184" t="str">
            <v>2P</v>
          </cell>
          <cell r="S184">
            <v>50</v>
          </cell>
        </row>
        <row r="185">
          <cell r="L185" t="str">
            <v>2P</v>
          </cell>
          <cell r="S185">
            <v>60</v>
          </cell>
        </row>
        <row r="186">
          <cell r="L186" t="str">
            <v>2P</v>
          </cell>
          <cell r="S186">
            <v>60</v>
          </cell>
        </row>
        <row r="187">
          <cell r="L187" t="str">
            <v>2P</v>
          </cell>
          <cell r="S187">
            <v>60</v>
          </cell>
        </row>
        <row r="188">
          <cell r="L188" t="str">
            <v>2P</v>
          </cell>
          <cell r="S188">
            <v>55</v>
          </cell>
        </row>
        <row r="189">
          <cell r="L189" t="str">
            <v>2P</v>
          </cell>
          <cell r="S189">
            <v>65</v>
          </cell>
        </row>
        <row r="190">
          <cell r="L190" t="str">
            <v>2P</v>
          </cell>
          <cell r="S190">
            <v>40</v>
          </cell>
        </row>
        <row r="191">
          <cell r="L191" t="str">
            <v>2P</v>
          </cell>
          <cell r="S191">
            <v>45</v>
          </cell>
        </row>
        <row r="192">
          <cell r="L192" t="str">
            <v>2P</v>
          </cell>
          <cell r="S192">
            <v>60</v>
          </cell>
        </row>
        <row r="193">
          <cell r="L193" t="str">
            <v>2P</v>
          </cell>
          <cell r="S193">
            <v>65</v>
          </cell>
        </row>
        <row r="194">
          <cell r="L194" t="str">
            <v>2P</v>
          </cell>
          <cell r="S194">
            <v>65</v>
          </cell>
        </row>
        <row r="195">
          <cell r="L195" t="str">
            <v>2P</v>
          </cell>
          <cell r="S195">
            <v>55</v>
          </cell>
        </row>
        <row r="196">
          <cell r="L196" t="str">
            <v>2P</v>
          </cell>
          <cell r="S196">
            <v>25</v>
          </cell>
        </row>
        <row r="197">
          <cell r="L197" t="str">
            <v>2P</v>
          </cell>
          <cell r="S197">
            <v>25</v>
          </cell>
        </row>
        <row r="198">
          <cell r="L198" t="str">
            <v>2P</v>
          </cell>
          <cell r="S198">
            <v>25</v>
          </cell>
        </row>
        <row r="199">
          <cell r="L199" t="str">
            <v>2P</v>
          </cell>
          <cell r="S199">
            <v>45</v>
          </cell>
        </row>
        <row r="200">
          <cell r="L200" t="str">
            <v>2P</v>
          </cell>
          <cell r="S200">
            <v>45</v>
          </cell>
        </row>
        <row r="209">
          <cell r="L209" t="str">
            <v>2P</v>
          </cell>
          <cell r="S209">
            <v>25</v>
          </cell>
        </row>
        <row r="210">
          <cell r="L210" t="str">
            <v>2P</v>
          </cell>
          <cell r="S210">
            <v>25</v>
          </cell>
        </row>
        <row r="211">
          <cell r="L211" t="str">
            <v>2P</v>
          </cell>
          <cell r="S211">
            <v>35</v>
          </cell>
        </row>
        <row r="212">
          <cell r="L212" t="str">
            <v>2P</v>
          </cell>
          <cell r="S212">
            <v>35</v>
          </cell>
        </row>
        <row r="213">
          <cell r="L213" t="str">
            <v>2P</v>
          </cell>
          <cell r="S213">
            <v>35</v>
          </cell>
        </row>
        <row r="214">
          <cell r="L214" t="str">
            <v>2P</v>
          </cell>
          <cell r="S214">
            <v>35</v>
          </cell>
        </row>
        <row r="215">
          <cell r="L215" t="str">
            <v>2P</v>
          </cell>
          <cell r="S215">
            <v>35</v>
          </cell>
        </row>
        <row r="216">
          <cell r="L216" t="str">
            <v>2P</v>
          </cell>
          <cell r="S216">
            <v>35</v>
          </cell>
        </row>
        <row r="217">
          <cell r="L217" t="str">
            <v>2P</v>
          </cell>
          <cell r="S217">
            <v>35</v>
          </cell>
        </row>
        <row r="218">
          <cell r="L218" t="str">
            <v>2P</v>
          </cell>
          <cell r="S218">
            <v>35</v>
          </cell>
        </row>
        <row r="219">
          <cell r="L219" t="str">
            <v>2P</v>
          </cell>
          <cell r="S219">
            <v>45</v>
          </cell>
        </row>
        <row r="220">
          <cell r="L220" t="str">
            <v>2P</v>
          </cell>
          <cell r="S220">
            <v>30</v>
          </cell>
        </row>
        <row r="221">
          <cell r="L221" t="str">
            <v>2P</v>
          </cell>
          <cell r="S221">
            <v>45</v>
          </cell>
        </row>
        <row r="222">
          <cell r="L222" t="str">
            <v>2P</v>
          </cell>
          <cell r="S222">
            <v>45</v>
          </cell>
        </row>
        <row r="223">
          <cell r="L223" t="str">
            <v>2P</v>
          </cell>
          <cell r="S223">
            <v>60</v>
          </cell>
        </row>
        <row r="224">
          <cell r="L224" t="str">
            <v>2P</v>
          </cell>
          <cell r="S224">
            <v>60</v>
          </cell>
        </row>
        <row r="225">
          <cell r="L225" t="str">
            <v>2P</v>
          </cell>
          <cell r="S225">
            <v>60</v>
          </cell>
        </row>
        <row r="226">
          <cell r="L226" t="str">
            <v>2P</v>
          </cell>
          <cell r="S226">
            <v>50</v>
          </cell>
        </row>
        <row r="227">
          <cell r="L227" t="str">
            <v>2P</v>
          </cell>
          <cell r="S227">
            <v>50</v>
          </cell>
        </row>
        <row r="228">
          <cell r="L228" t="str">
            <v>2P</v>
          </cell>
          <cell r="S228">
            <v>50</v>
          </cell>
        </row>
        <row r="229">
          <cell r="L229" t="str">
            <v>2P</v>
          </cell>
          <cell r="S229">
            <v>50</v>
          </cell>
        </row>
        <row r="230">
          <cell r="L230" t="str">
            <v>2P</v>
          </cell>
          <cell r="S230">
            <v>60</v>
          </cell>
        </row>
        <row r="231">
          <cell r="L231" t="str">
            <v>2P</v>
          </cell>
          <cell r="S231">
            <v>60</v>
          </cell>
        </row>
        <row r="232">
          <cell r="L232" t="str">
            <v>2P</v>
          </cell>
          <cell r="S232">
            <v>60</v>
          </cell>
        </row>
        <row r="233">
          <cell r="L233" t="str">
            <v>2P</v>
          </cell>
          <cell r="S233">
            <v>70</v>
          </cell>
        </row>
        <row r="234">
          <cell r="L234" t="str">
            <v>2P</v>
          </cell>
          <cell r="S234">
            <v>40</v>
          </cell>
        </row>
        <row r="243">
          <cell r="L243" t="str">
            <v>2P</v>
          </cell>
          <cell r="S243">
            <v>40</v>
          </cell>
        </row>
        <row r="244">
          <cell r="L244" t="str">
            <v>2P</v>
          </cell>
          <cell r="S244">
            <v>50</v>
          </cell>
        </row>
        <row r="245">
          <cell r="L245" t="str">
            <v>2P</v>
          </cell>
        </row>
        <row r="246">
          <cell r="L246" t="str">
            <v>2P</v>
          </cell>
          <cell r="S246">
            <v>30</v>
          </cell>
        </row>
        <row r="247">
          <cell r="L247" t="str">
            <v>2P</v>
          </cell>
          <cell r="S247">
            <v>30</v>
          </cell>
        </row>
        <row r="248">
          <cell r="L248" t="str">
            <v>2P</v>
          </cell>
          <cell r="S248">
            <v>30</v>
          </cell>
        </row>
        <row r="249">
          <cell r="L249" t="str">
            <v>20C</v>
          </cell>
          <cell r="S249">
            <v>116</v>
          </cell>
        </row>
        <row r="250">
          <cell r="L250" t="str">
            <v>20C</v>
          </cell>
          <cell r="S250">
            <v>116</v>
          </cell>
        </row>
        <row r="251">
          <cell r="L251" t="str">
            <v>20C</v>
          </cell>
          <cell r="S251">
            <v>116</v>
          </cell>
        </row>
        <row r="252">
          <cell r="L252" t="str">
            <v>2OC</v>
          </cell>
          <cell r="S252">
            <v>116</v>
          </cell>
        </row>
        <row r="253">
          <cell r="L253" t="str">
            <v>8P</v>
          </cell>
          <cell r="S253">
            <v>116</v>
          </cell>
        </row>
        <row r="254">
          <cell r="L254" t="str">
            <v>8P</v>
          </cell>
          <cell r="S254">
            <v>116</v>
          </cell>
        </row>
        <row r="255">
          <cell r="L255" t="str">
            <v>30C</v>
          </cell>
          <cell r="S255">
            <v>146</v>
          </cell>
        </row>
        <row r="256">
          <cell r="L256" t="str">
            <v>30C</v>
          </cell>
          <cell r="S256">
            <v>146</v>
          </cell>
        </row>
        <row r="257">
          <cell r="L257" t="str">
            <v>30C</v>
          </cell>
          <cell r="S257">
            <v>146</v>
          </cell>
        </row>
        <row r="258">
          <cell r="L258" t="str">
            <v>30C</v>
          </cell>
          <cell r="S258">
            <v>166</v>
          </cell>
        </row>
        <row r="259">
          <cell r="L259" t="str">
            <v>30C</v>
          </cell>
          <cell r="S259">
            <v>166</v>
          </cell>
        </row>
        <row r="260">
          <cell r="L260" t="str">
            <v>30C</v>
          </cell>
          <cell r="S260">
            <v>166</v>
          </cell>
        </row>
        <row r="261">
          <cell r="L261" t="str">
            <v>20C</v>
          </cell>
          <cell r="S261">
            <v>116</v>
          </cell>
        </row>
        <row r="262">
          <cell r="L262" t="str">
            <v>20C</v>
          </cell>
          <cell r="S262">
            <v>116</v>
          </cell>
        </row>
        <row r="263">
          <cell r="L263" t="str">
            <v>12P</v>
          </cell>
          <cell r="S263">
            <v>116</v>
          </cell>
        </row>
        <row r="264">
          <cell r="L264" t="str">
            <v>12P</v>
          </cell>
          <cell r="S264">
            <v>116</v>
          </cell>
        </row>
        <row r="265">
          <cell r="L265" t="str">
            <v>12P</v>
          </cell>
          <cell r="S265">
            <v>116</v>
          </cell>
        </row>
        <row r="266">
          <cell r="L266" t="str">
            <v>12P</v>
          </cell>
          <cell r="S266">
            <v>116</v>
          </cell>
        </row>
        <row r="267">
          <cell r="L267" t="str">
            <v>12P</v>
          </cell>
          <cell r="S267">
            <v>116</v>
          </cell>
        </row>
        <row r="268">
          <cell r="L268" t="str">
            <v>12P</v>
          </cell>
          <cell r="S268">
            <v>116</v>
          </cell>
        </row>
        <row r="277">
          <cell r="L277" t="str">
            <v>12P</v>
          </cell>
          <cell r="S277">
            <v>116</v>
          </cell>
        </row>
        <row r="278">
          <cell r="L278" t="str">
            <v>12P</v>
          </cell>
          <cell r="S278">
            <v>116</v>
          </cell>
        </row>
        <row r="279">
          <cell r="L279" t="str">
            <v>12P</v>
          </cell>
          <cell r="S279">
            <v>116</v>
          </cell>
        </row>
        <row r="280">
          <cell r="L280" t="str">
            <v>8P</v>
          </cell>
          <cell r="S280">
            <v>86</v>
          </cell>
        </row>
        <row r="281">
          <cell r="L281" t="str">
            <v>4P</v>
          </cell>
          <cell r="S281">
            <v>86</v>
          </cell>
        </row>
        <row r="282">
          <cell r="L282" t="str">
            <v>30C</v>
          </cell>
          <cell r="S282">
            <v>116</v>
          </cell>
        </row>
        <row r="283">
          <cell r="L283" t="str">
            <v>30C</v>
          </cell>
          <cell r="S283">
            <v>166</v>
          </cell>
        </row>
        <row r="284">
          <cell r="L284" t="str">
            <v>2C</v>
          </cell>
          <cell r="S284">
            <v>26</v>
          </cell>
        </row>
        <row r="285">
          <cell r="L285" t="str">
            <v>8P</v>
          </cell>
          <cell r="S285">
            <v>146</v>
          </cell>
        </row>
        <row r="286">
          <cell r="L286" t="str">
            <v>2P</v>
          </cell>
        </row>
        <row r="287">
          <cell r="L287" t="str">
            <v>2P</v>
          </cell>
        </row>
        <row r="288">
          <cell r="L288" t="str">
            <v>2P</v>
          </cell>
        </row>
        <row r="289">
          <cell r="L289" t="str">
            <v>2P</v>
          </cell>
        </row>
        <row r="290">
          <cell r="L290" t="str">
            <v>2P</v>
          </cell>
        </row>
        <row r="291">
          <cell r="L291" t="str">
            <v>2P</v>
          </cell>
        </row>
        <row r="292">
          <cell r="L292" t="str">
            <v>2P</v>
          </cell>
        </row>
        <row r="293">
          <cell r="L293" t="str">
            <v>2P</v>
          </cell>
        </row>
        <row r="294">
          <cell r="L294" t="str">
            <v>2P</v>
          </cell>
        </row>
        <row r="295">
          <cell r="L295" t="str">
            <v>2P</v>
          </cell>
        </row>
        <row r="296">
          <cell r="L296" t="str">
            <v>2C</v>
          </cell>
        </row>
        <row r="297">
          <cell r="L297" t="str">
            <v>2C</v>
          </cell>
        </row>
        <row r="298">
          <cell r="L298" t="str">
            <v>2C</v>
          </cell>
        </row>
        <row r="299">
          <cell r="L299" t="str">
            <v>2C</v>
          </cell>
        </row>
        <row r="300">
          <cell r="L300" t="str">
            <v>2C</v>
          </cell>
        </row>
        <row r="301">
          <cell r="L301" t="str">
            <v>2C</v>
          </cell>
        </row>
        <row r="302">
          <cell r="L302" t="str">
            <v>2C</v>
          </cell>
        </row>
        <row r="303">
          <cell r="L303" t="str">
            <v>2C</v>
          </cell>
        </row>
        <row r="304">
          <cell r="L304" t="str">
            <v>2C</v>
          </cell>
        </row>
        <row r="305">
          <cell r="L305" t="str">
            <v>2C</v>
          </cell>
        </row>
      </sheetData>
      <sheetData sheetId="10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60</v>
          </cell>
        </row>
        <row r="6">
          <cell r="L6" t="str">
            <v>2C</v>
          </cell>
          <cell r="S6">
            <v>60</v>
          </cell>
        </row>
        <row r="7">
          <cell r="L7" t="str">
            <v>2C</v>
          </cell>
          <cell r="S7">
            <v>60</v>
          </cell>
        </row>
        <row r="8">
          <cell r="L8" t="str">
            <v>2C</v>
          </cell>
          <cell r="S8">
            <v>60</v>
          </cell>
        </row>
        <row r="9">
          <cell r="L9" t="str">
            <v>2C</v>
          </cell>
          <cell r="S9">
            <v>60</v>
          </cell>
        </row>
        <row r="10">
          <cell r="L10" t="str">
            <v>2C</v>
          </cell>
          <cell r="S10">
            <v>60</v>
          </cell>
        </row>
        <row r="11">
          <cell r="L11" t="str">
            <v>2C</v>
          </cell>
          <cell r="S11">
            <v>60</v>
          </cell>
        </row>
        <row r="12">
          <cell r="L12" t="str">
            <v>2C</v>
          </cell>
          <cell r="S12">
            <v>60</v>
          </cell>
        </row>
        <row r="13">
          <cell r="L13" t="str">
            <v>2C</v>
          </cell>
          <cell r="S13">
            <v>60</v>
          </cell>
        </row>
        <row r="14">
          <cell r="L14" t="str">
            <v>2C</v>
          </cell>
          <cell r="S14">
            <v>65</v>
          </cell>
        </row>
        <row r="15">
          <cell r="L15" t="str">
            <v>2C</v>
          </cell>
          <cell r="S15">
            <v>65</v>
          </cell>
        </row>
        <row r="16">
          <cell r="L16" t="str">
            <v>2C</v>
          </cell>
          <cell r="S16">
            <v>65</v>
          </cell>
        </row>
        <row r="17">
          <cell r="L17" t="str">
            <v>2C</v>
          </cell>
          <cell r="S17">
            <v>65</v>
          </cell>
        </row>
        <row r="18">
          <cell r="L18" t="str">
            <v>2C</v>
          </cell>
          <cell r="S18">
            <v>65</v>
          </cell>
        </row>
        <row r="19">
          <cell r="L19" t="str">
            <v>2C</v>
          </cell>
          <cell r="S19">
            <v>65</v>
          </cell>
        </row>
        <row r="20">
          <cell r="L20" t="str">
            <v>2C</v>
          </cell>
          <cell r="S20">
            <v>55</v>
          </cell>
        </row>
        <row r="21">
          <cell r="L21" t="str">
            <v>2C</v>
          </cell>
          <cell r="S21">
            <v>55</v>
          </cell>
        </row>
        <row r="22">
          <cell r="L22" t="str">
            <v>2C</v>
          </cell>
          <cell r="S22">
            <v>55</v>
          </cell>
        </row>
        <row r="23">
          <cell r="L23" t="str">
            <v>2C</v>
          </cell>
          <cell r="S23">
            <v>65</v>
          </cell>
        </row>
        <row r="24">
          <cell r="L24" t="str">
            <v>2C</v>
          </cell>
          <cell r="S24">
            <v>65</v>
          </cell>
        </row>
        <row r="25">
          <cell r="L25" t="str">
            <v>2C</v>
          </cell>
          <cell r="S25">
            <v>65</v>
          </cell>
        </row>
        <row r="26">
          <cell r="L26" t="str">
            <v>2C</v>
          </cell>
        </row>
        <row r="27">
          <cell r="L27" t="str">
            <v>2C</v>
          </cell>
        </row>
        <row r="28">
          <cell r="L28" t="str">
            <v>2C</v>
          </cell>
        </row>
        <row r="29">
          <cell r="L29" t="str">
            <v>2C</v>
          </cell>
        </row>
        <row r="30">
          <cell r="L30" t="str">
            <v>2C</v>
          </cell>
        </row>
        <row r="39">
          <cell r="L39" t="str">
            <v>2C</v>
          </cell>
        </row>
        <row r="40">
          <cell r="L40" t="str">
            <v>2C</v>
          </cell>
        </row>
        <row r="41">
          <cell r="L41" t="str">
            <v>2C</v>
          </cell>
        </row>
        <row r="42">
          <cell r="L42" t="str">
            <v>2C</v>
          </cell>
        </row>
        <row r="43">
          <cell r="L43" t="str">
            <v>2C</v>
          </cell>
        </row>
        <row r="44">
          <cell r="L44" t="str">
            <v>2C</v>
          </cell>
        </row>
        <row r="45">
          <cell r="L45" t="str">
            <v>2C</v>
          </cell>
        </row>
        <row r="46">
          <cell r="L46" t="str">
            <v>2C</v>
          </cell>
        </row>
        <row r="47">
          <cell r="L47" t="str">
            <v>2C</v>
          </cell>
        </row>
        <row r="48">
          <cell r="L48" t="str">
            <v>2C</v>
          </cell>
        </row>
        <row r="49">
          <cell r="L49" t="str">
            <v>2C</v>
          </cell>
        </row>
        <row r="50">
          <cell r="L50" t="str">
            <v>2C</v>
          </cell>
        </row>
        <row r="51">
          <cell r="L51" t="str">
            <v>2C</v>
          </cell>
        </row>
        <row r="52">
          <cell r="L52" t="str">
            <v>2C</v>
          </cell>
        </row>
        <row r="53">
          <cell r="L53" t="str">
            <v>2C</v>
          </cell>
        </row>
        <row r="54">
          <cell r="L54" t="str">
            <v>2C</v>
          </cell>
        </row>
        <row r="55">
          <cell r="L55" t="str">
            <v>2C</v>
          </cell>
        </row>
        <row r="56">
          <cell r="L56" t="str">
            <v>2C</v>
          </cell>
        </row>
        <row r="57">
          <cell r="L57" t="str">
            <v>2C</v>
          </cell>
        </row>
        <row r="58">
          <cell r="L58" t="str">
            <v>2C</v>
          </cell>
        </row>
        <row r="59">
          <cell r="L59" t="str">
            <v>2C</v>
          </cell>
        </row>
        <row r="60">
          <cell r="L60" t="str">
            <v>2C</v>
          </cell>
        </row>
        <row r="61">
          <cell r="L61" t="str">
            <v>2C</v>
          </cell>
        </row>
        <row r="62">
          <cell r="L62" t="str">
            <v>2C</v>
          </cell>
        </row>
        <row r="63">
          <cell r="L63" t="str">
            <v>2C</v>
          </cell>
        </row>
        <row r="64">
          <cell r="L64" t="str">
            <v>2C</v>
          </cell>
        </row>
        <row r="73">
          <cell r="L73" t="str">
            <v>2C</v>
          </cell>
        </row>
        <row r="74">
          <cell r="L74" t="str">
            <v>2C</v>
          </cell>
        </row>
        <row r="75">
          <cell r="L75" t="str">
            <v>2C</v>
          </cell>
        </row>
        <row r="76">
          <cell r="L76" t="str">
            <v>2C</v>
          </cell>
        </row>
        <row r="77">
          <cell r="L77" t="str">
            <v>2C</v>
          </cell>
        </row>
        <row r="78">
          <cell r="L78" t="str">
            <v>2C</v>
          </cell>
        </row>
        <row r="79">
          <cell r="L79" t="str">
            <v>2C</v>
          </cell>
        </row>
        <row r="80">
          <cell r="L80" t="str">
            <v>2C</v>
          </cell>
        </row>
        <row r="81">
          <cell r="L81" t="str">
            <v>2C</v>
          </cell>
        </row>
        <row r="82">
          <cell r="L82" t="str">
            <v>2C</v>
          </cell>
        </row>
        <row r="83">
          <cell r="L83" t="str">
            <v>2C</v>
          </cell>
        </row>
        <row r="84">
          <cell r="L84" t="str">
            <v>2C</v>
          </cell>
        </row>
        <row r="85">
          <cell r="L85" t="str">
            <v>2C</v>
          </cell>
        </row>
        <row r="86">
          <cell r="L86" t="str">
            <v>2C</v>
          </cell>
        </row>
        <row r="87">
          <cell r="L87" t="str">
            <v>2C</v>
          </cell>
        </row>
        <row r="88">
          <cell r="L88" t="str">
            <v>2C</v>
          </cell>
        </row>
        <row r="89">
          <cell r="L89" t="str">
            <v>2C</v>
          </cell>
        </row>
        <row r="90">
          <cell r="L90" t="str">
            <v>2C</v>
          </cell>
        </row>
        <row r="91">
          <cell r="L91" t="str">
            <v>2C</v>
          </cell>
        </row>
        <row r="92">
          <cell r="L92" t="str">
            <v>2C</v>
          </cell>
        </row>
        <row r="93">
          <cell r="L93" t="str">
            <v>2C</v>
          </cell>
        </row>
        <row r="94">
          <cell r="L94" t="str">
            <v>2C</v>
          </cell>
        </row>
        <row r="95">
          <cell r="L95" t="str">
            <v>2C</v>
          </cell>
        </row>
        <row r="96">
          <cell r="L96" t="str">
            <v>2C</v>
          </cell>
        </row>
        <row r="97">
          <cell r="L97" t="str">
            <v>2C</v>
          </cell>
        </row>
        <row r="98">
          <cell r="L98" t="str">
            <v>2C</v>
          </cell>
        </row>
        <row r="107">
          <cell r="L107" t="str">
            <v>2C</v>
          </cell>
        </row>
        <row r="108">
          <cell r="L108" t="str">
            <v>2C</v>
          </cell>
        </row>
        <row r="109">
          <cell r="L109" t="str">
            <v>2C</v>
          </cell>
        </row>
        <row r="110">
          <cell r="L110" t="str">
            <v>2C</v>
          </cell>
        </row>
        <row r="111">
          <cell r="L111" t="str">
            <v>2C</v>
          </cell>
        </row>
        <row r="112">
          <cell r="L112" t="str">
            <v>2C</v>
          </cell>
        </row>
        <row r="113">
          <cell r="L113" t="str">
            <v>2C</v>
          </cell>
        </row>
        <row r="114">
          <cell r="L114" t="str">
            <v>2C</v>
          </cell>
        </row>
        <row r="115">
          <cell r="L115" t="str">
            <v>2C</v>
          </cell>
        </row>
        <row r="116">
          <cell r="L116" t="str">
            <v>2C</v>
          </cell>
        </row>
        <row r="117">
          <cell r="L117" t="str">
            <v>2C</v>
          </cell>
        </row>
        <row r="118">
          <cell r="L118" t="str">
            <v>2C</v>
          </cell>
        </row>
        <row r="119">
          <cell r="L119" t="str">
            <v>2C</v>
          </cell>
        </row>
        <row r="120">
          <cell r="L120" t="str">
            <v>2C</v>
          </cell>
        </row>
        <row r="121">
          <cell r="L121" t="str">
            <v>2C</v>
          </cell>
        </row>
        <row r="122">
          <cell r="L122" t="str">
            <v>2C</v>
          </cell>
          <cell r="S122">
            <v>55</v>
          </cell>
        </row>
        <row r="123">
          <cell r="L123" t="str">
            <v>20C</v>
          </cell>
          <cell r="S123">
            <v>137</v>
          </cell>
        </row>
        <row r="124">
          <cell r="L124" t="str">
            <v>2P</v>
          </cell>
          <cell r="S124">
            <v>55</v>
          </cell>
        </row>
        <row r="125">
          <cell r="L125" t="str">
            <v>2C</v>
          </cell>
          <cell r="S125">
            <v>50</v>
          </cell>
        </row>
        <row r="126">
          <cell r="L126" t="str">
            <v>20C</v>
          </cell>
          <cell r="S126">
            <v>132</v>
          </cell>
        </row>
        <row r="128">
          <cell r="L128" t="str">
            <v>2C</v>
          </cell>
          <cell r="S128">
            <v>50</v>
          </cell>
        </row>
        <row r="129">
          <cell r="L129" t="str">
            <v>20C</v>
          </cell>
          <cell r="S129">
            <v>132</v>
          </cell>
        </row>
        <row r="130">
          <cell r="L130" t="str">
            <v>2P</v>
          </cell>
          <cell r="S130">
            <v>50</v>
          </cell>
        </row>
        <row r="131">
          <cell r="L131" t="str">
            <v>2C</v>
          </cell>
          <cell r="S131">
            <v>55</v>
          </cell>
        </row>
        <row r="132">
          <cell r="L132" t="str">
            <v>20C</v>
          </cell>
          <cell r="S132">
            <v>137</v>
          </cell>
        </row>
        <row r="141">
          <cell r="L141" t="str">
            <v>2P</v>
          </cell>
          <cell r="S141">
            <v>65</v>
          </cell>
        </row>
        <row r="142">
          <cell r="L142" t="str">
            <v>2C</v>
          </cell>
          <cell r="S142">
            <v>60</v>
          </cell>
        </row>
        <row r="143">
          <cell r="L143" t="str">
            <v>20C</v>
          </cell>
          <cell r="S143">
            <v>137</v>
          </cell>
        </row>
        <row r="144">
          <cell r="L144" t="str">
            <v>2P</v>
          </cell>
          <cell r="S144">
            <v>65</v>
          </cell>
        </row>
        <row r="145">
          <cell r="L145" t="str">
            <v>2C</v>
          </cell>
          <cell r="S145">
            <v>55</v>
          </cell>
        </row>
        <row r="146">
          <cell r="L146" t="str">
            <v>20C</v>
          </cell>
          <cell r="S146">
            <v>132</v>
          </cell>
        </row>
        <row r="148">
          <cell r="L148" t="str">
            <v>2C</v>
          </cell>
          <cell r="S148">
            <v>50</v>
          </cell>
        </row>
        <row r="149">
          <cell r="L149" t="str">
            <v>20C</v>
          </cell>
          <cell r="S149">
            <v>127</v>
          </cell>
        </row>
        <row r="151">
          <cell r="L151" t="str">
            <v>2C</v>
          </cell>
          <cell r="S151">
            <v>50</v>
          </cell>
        </row>
        <row r="152">
          <cell r="L152" t="str">
            <v>20C</v>
          </cell>
          <cell r="S152">
            <v>122</v>
          </cell>
        </row>
        <row r="153">
          <cell r="L153" t="str">
            <v>2C</v>
          </cell>
          <cell r="S153">
            <v>40</v>
          </cell>
        </row>
        <row r="154">
          <cell r="L154" t="str">
            <v>20C</v>
          </cell>
          <cell r="S154">
            <v>87</v>
          </cell>
        </row>
        <row r="156">
          <cell r="L156" t="str">
            <v>2C</v>
          </cell>
          <cell r="S156">
            <v>55</v>
          </cell>
        </row>
        <row r="157">
          <cell r="L157" t="str">
            <v>4P</v>
          </cell>
          <cell r="S157">
            <v>55</v>
          </cell>
        </row>
        <row r="158">
          <cell r="L158" t="str">
            <v>4P</v>
          </cell>
          <cell r="S158">
            <v>55</v>
          </cell>
        </row>
        <row r="159">
          <cell r="L159" t="str">
            <v>4P</v>
          </cell>
          <cell r="S159">
            <v>65</v>
          </cell>
        </row>
        <row r="160">
          <cell r="L160" t="str">
            <v>4P</v>
          </cell>
          <cell r="S160">
            <v>50</v>
          </cell>
        </row>
        <row r="161">
          <cell r="L161" t="str">
            <v>4P</v>
          </cell>
          <cell r="S161">
            <v>65</v>
          </cell>
        </row>
        <row r="162">
          <cell r="L162" t="str">
            <v>4P</v>
          </cell>
          <cell r="S162">
            <v>65</v>
          </cell>
        </row>
        <row r="163">
          <cell r="L163" t="str">
            <v>4P</v>
          </cell>
          <cell r="S163">
            <v>55</v>
          </cell>
        </row>
        <row r="164">
          <cell r="L164" t="str">
            <v>4P</v>
          </cell>
          <cell r="S164">
            <v>55</v>
          </cell>
        </row>
        <row r="165">
          <cell r="L165" t="str">
            <v>4P</v>
          </cell>
          <cell r="S165">
            <v>60</v>
          </cell>
        </row>
        <row r="166">
          <cell r="L166" t="str">
            <v>4P</v>
          </cell>
          <cell r="S166">
            <v>60</v>
          </cell>
        </row>
        <row r="175">
          <cell r="L175" t="str">
            <v>4P</v>
          </cell>
          <cell r="S175">
            <v>60</v>
          </cell>
        </row>
        <row r="176">
          <cell r="L176" t="str">
            <v>4P</v>
          </cell>
          <cell r="S176">
            <v>55</v>
          </cell>
        </row>
        <row r="177">
          <cell r="L177" t="str">
            <v>2P</v>
          </cell>
          <cell r="S177">
            <v>60</v>
          </cell>
        </row>
        <row r="178">
          <cell r="L178" t="str">
            <v>2P</v>
          </cell>
          <cell r="S178">
            <v>60</v>
          </cell>
        </row>
        <row r="179">
          <cell r="L179" t="str">
            <v>2P</v>
          </cell>
          <cell r="S179">
            <v>40</v>
          </cell>
        </row>
        <row r="180">
          <cell r="L180" t="str">
            <v>2P</v>
          </cell>
          <cell r="S180">
            <v>60</v>
          </cell>
        </row>
        <row r="181">
          <cell r="L181" t="str">
            <v>2P</v>
          </cell>
          <cell r="S181">
            <v>50</v>
          </cell>
        </row>
        <row r="182">
          <cell r="L182" t="str">
            <v>2P</v>
          </cell>
          <cell r="S182">
            <v>60</v>
          </cell>
        </row>
        <row r="183">
          <cell r="L183" t="str">
            <v>2P</v>
          </cell>
          <cell r="S183">
            <v>50</v>
          </cell>
        </row>
        <row r="184">
          <cell r="L184" t="str">
            <v>2P</v>
          </cell>
          <cell r="S184">
            <v>50</v>
          </cell>
        </row>
        <row r="185">
          <cell r="L185" t="str">
            <v>2P</v>
          </cell>
          <cell r="S185">
            <v>60</v>
          </cell>
        </row>
        <row r="186">
          <cell r="L186" t="str">
            <v>2P</v>
          </cell>
          <cell r="S186">
            <v>60</v>
          </cell>
        </row>
        <row r="187">
          <cell r="L187" t="str">
            <v>2P</v>
          </cell>
          <cell r="S187">
            <v>60</v>
          </cell>
        </row>
        <row r="188">
          <cell r="L188" t="str">
            <v>2P</v>
          </cell>
          <cell r="S188">
            <v>55</v>
          </cell>
        </row>
        <row r="189">
          <cell r="L189" t="str">
            <v>2P</v>
          </cell>
          <cell r="S189">
            <v>65</v>
          </cell>
        </row>
        <row r="190">
          <cell r="L190" t="str">
            <v>2P</v>
          </cell>
          <cell r="S190">
            <v>40</v>
          </cell>
        </row>
        <row r="191">
          <cell r="L191" t="str">
            <v>2P</v>
          </cell>
          <cell r="S191">
            <v>45</v>
          </cell>
        </row>
        <row r="192">
          <cell r="L192" t="str">
            <v>2P</v>
          </cell>
          <cell r="S192">
            <v>60</v>
          </cell>
        </row>
        <row r="193">
          <cell r="L193" t="str">
            <v>2P</v>
          </cell>
          <cell r="S193">
            <v>65</v>
          </cell>
        </row>
        <row r="194">
          <cell r="L194" t="str">
            <v>2P</v>
          </cell>
          <cell r="S194">
            <v>65</v>
          </cell>
        </row>
        <row r="195">
          <cell r="L195" t="str">
            <v>2P</v>
          </cell>
          <cell r="S195">
            <v>55</v>
          </cell>
        </row>
        <row r="196">
          <cell r="L196" t="str">
            <v>2P</v>
          </cell>
          <cell r="S196">
            <v>25</v>
          </cell>
        </row>
        <row r="197">
          <cell r="L197" t="str">
            <v>2P</v>
          </cell>
          <cell r="S197">
            <v>25</v>
          </cell>
        </row>
        <row r="198">
          <cell r="L198" t="str">
            <v>2P</v>
          </cell>
          <cell r="S198">
            <v>25</v>
          </cell>
        </row>
        <row r="199">
          <cell r="L199" t="str">
            <v>2P</v>
          </cell>
          <cell r="S199">
            <v>45</v>
          </cell>
        </row>
        <row r="200">
          <cell r="L200" t="str">
            <v>2P</v>
          </cell>
          <cell r="S200">
            <v>45</v>
          </cell>
        </row>
        <row r="209">
          <cell r="L209" t="str">
            <v>2P</v>
          </cell>
          <cell r="S209">
            <v>25</v>
          </cell>
        </row>
        <row r="210">
          <cell r="L210" t="str">
            <v>2P</v>
          </cell>
          <cell r="S210">
            <v>25</v>
          </cell>
        </row>
        <row r="211">
          <cell r="L211" t="str">
            <v>2P</v>
          </cell>
          <cell r="S211">
            <v>35</v>
          </cell>
        </row>
        <row r="212">
          <cell r="L212" t="str">
            <v>2P</v>
          </cell>
          <cell r="S212">
            <v>35</v>
          </cell>
        </row>
        <row r="213">
          <cell r="L213" t="str">
            <v>2P</v>
          </cell>
          <cell r="S213">
            <v>35</v>
          </cell>
        </row>
        <row r="214">
          <cell r="L214" t="str">
            <v>2P</v>
          </cell>
          <cell r="S214">
            <v>35</v>
          </cell>
        </row>
        <row r="215">
          <cell r="L215" t="str">
            <v>2P</v>
          </cell>
          <cell r="S215">
            <v>35</v>
          </cell>
        </row>
        <row r="216">
          <cell r="L216" t="str">
            <v>2P</v>
          </cell>
          <cell r="S216">
            <v>35</v>
          </cell>
        </row>
        <row r="217">
          <cell r="L217" t="str">
            <v>2P</v>
          </cell>
          <cell r="S217">
            <v>35</v>
          </cell>
        </row>
        <row r="218">
          <cell r="L218" t="str">
            <v>2P</v>
          </cell>
          <cell r="S218">
            <v>35</v>
          </cell>
        </row>
        <row r="219">
          <cell r="L219" t="str">
            <v>2P</v>
          </cell>
          <cell r="S219">
            <v>45</v>
          </cell>
        </row>
        <row r="220">
          <cell r="L220" t="str">
            <v>2P</v>
          </cell>
          <cell r="S220">
            <v>30</v>
          </cell>
        </row>
        <row r="221">
          <cell r="L221" t="str">
            <v>2P</v>
          </cell>
          <cell r="S221">
            <v>45</v>
          </cell>
        </row>
        <row r="222">
          <cell r="L222" t="str">
            <v>2P</v>
          </cell>
          <cell r="S222">
            <v>45</v>
          </cell>
        </row>
        <row r="223">
          <cell r="L223" t="str">
            <v>2P</v>
          </cell>
          <cell r="S223">
            <v>60</v>
          </cell>
        </row>
        <row r="224">
          <cell r="L224" t="str">
            <v>2P</v>
          </cell>
          <cell r="S224">
            <v>60</v>
          </cell>
        </row>
        <row r="225">
          <cell r="L225" t="str">
            <v>2P</v>
          </cell>
          <cell r="S225">
            <v>60</v>
          </cell>
        </row>
        <row r="226">
          <cell r="L226" t="str">
            <v>2P</v>
          </cell>
          <cell r="S226">
            <v>50</v>
          </cell>
        </row>
        <row r="227">
          <cell r="L227" t="str">
            <v>2P</v>
          </cell>
          <cell r="S227">
            <v>50</v>
          </cell>
        </row>
        <row r="228">
          <cell r="L228" t="str">
            <v>2P</v>
          </cell>
          <cell r="S228">
            <v>50</v>
          </cell>
        </row>
        <row r="229">
          <cell r="L229" t="str">
            <v>2P</v>
          </cell>
          <cell r="S229">
            <v>50</v>
          </cell>
        </row>
        <row r="230">
          <cell r="L230" t="str">
            <v>2P</v>
          </cell>
          <cell r="S230">
            <v>60</v>
          </cell>
        </row>
        <row r="231">
          <cell r="L231" t="str">
            <v>2P</v>
          </cell>
          <cell r="S231">
            <v>60</v>
          </cell>
        </row>
        <row r="232">
          <cell r="L232" t="str">
            <v>2P</v>
          </cell>
          <cell r="S232">
            <v>60</v>
          </cell>
        </row>
        <row r="233">
          <cell r="L233" t="str">
            <v>2P</v>
          </cell>
          <cell r="S233">
            <v>70</v>
          </cell>
        </row>
        <row r="234">
          <cell r="L234" t="str">
            <v>2P</v>
          </cell>
          <cell r="S234">
            <v>40</v>
          </cell>
        </row>
        <row r="243">
          <cell r="L243" t="str">
            <v>2P</v>
          </cell>
          <cell r="S243">
            <v>40</v>
          </cell>
        </row>
        <row r="244">
          <cell r="L244" t="str">
            <v>2P</v>
          </cell>
          <cell r="S244">
            <v>50</v>
          </cell>
        </row>
        <row r="245">
          <cell r="L245" t="str">
            <v>2P</v>
          </cell>
        </row>
        <row r="246">
          <cell r="L246" t="str">
            <v>2P</v>
          </cell>
          <cell r="S246">
            <v>30</v>
          </cell>
        </row>
        <row r="247">
          <cell r="L247" t="str">
            <v>2P</v>
          </cell>
          <cell r="S247">
            <v>30</v>
          </cell>
        </row>
        <row r="248">
          <cell r="L248" t="str">
            <v>2P</v>
          </cell>
          <cell r="S248">
            <v>30</v>
          </cell>
        </row>
        <row r="249">
          <cell r="L249" t="str">
            <v>20C</v>
          </cell>
          <cell r="S249">
            <v>107</v>
          </cell>
        </row>
        <row r="250">
          <cell r="L250" t="str">
            <v>20C</v>
          </cell>
          <cell r="S250">
            <v>107</v>
          </cell>
        </row>
        <row r="251">
          <cell r="L251" t="str">
            <v>20C</v>
          </cell>
          <cell r="S251">
            <v>107</v>
          </cell>
        </row>
        <row r="252">
          <cell r="L252" t="str">
            <v>2OC</v>
          </cell>
          <cell r="S252">
            <v>107</v>
          </cell>
        </row>
        <row r="253">
          <cell r="L253" t="str">
            <v>8P</v>
          </cell>
          <cell r="S253">
            <v>107</v>
          </cell>
        </row>
        <row r="254">
          <cell r="L254" t="str">
            <v>8P</v>
          </cell>
          <cell r="S254">
            <v>107</v>
          </cell>
        </row>
        <row r="255">
          <cell r="L255" t="str">
            <v>30C</v>
          </cell>
          <cell r="S255">
            <v>137</v>
          </cell>
        </row>
        <row r="256">
          <cell r="L256" t="str">
            <v>30C</v>
          </cell>
          <cell r="S256">
            <v>137</v>
          </cell>
        </row>
        <row r="257">
          <cell r="L257" t="str">
            <v>30C</v>
          </cell>
          <cell r="S257">
            <v>137</v>
          </cell>
        </row>
        <row r="258">
          <cell r="L258" t="str">
            <v>30C</v>
          </cell>
          <cell r="S258">
            <v>157</v>
          </cell>
        </row>
        <row r="259">
          <cell r="L259" t="str">
            <v>30C</v>
          </cell>
          <cell r="S259">
            <v>157</v>
          </cell>
        </row>
        <row r="260">
          <cell r="L260" t="str">
            <v>30C</v>
          </cell>
          <cell r="S260">
            <v>157</v>
          </cell>
        </row>
        <row r="261">
          <cell r="L261" t="str">
            <v>20C</v>
          </cell>
          <cell r="S261">
            <v>107</v>
          </cell>
        </row>
        <row r="262">
          <cell r="L262" t="str">
            <v>20C</v>
          </cell>
          <cell r="S262">
            <v>107</v>
          </cell>
        </row>
        <row r="263">
          <cell r="L263" t="str">
            <v>12P</v>
          </cell>
          <cell r="S263">
            <v>107</v>
          </cell>
        </row>
        <row r="264">
          <cell r="L264" t="str">
            <v>12P</v>
          </cell>
          <cell r="S264">
            <v>107</v>
          </cell>
        </row>
        <row r="265">
          <cell r="L265" t="str">
            <v>12P</v>
          </cell>
          <cell r="S265">
            <v>107</v>
          </cell>
        </row>
        <row r="266">
          <cell r="L266" t="str">
            <v>12P</v>
          </cell>
          <cell r="S266">
            <v>107</v>
          </cell>
        </row>
        <row r="267">
          <cell r="L267" t="str">
            <v>12P</v>
          </cell>
          <cell r="S267">
            <v>107</v>
          </cell>
        </row>
        <row r="268">
          <cell r="L268" t="str">
            <v>12P</v>
          </cell>
          <cell r="S268">
            <v>107</v>
          </cell>
        </row>
        <row r="277">
          <cell r="L277" t="str">
            <v>12P</v>
          </cell>
          <cell r="S277">
            <v>107</v>
          </cell>
        </row>
        <row r="278">
          <cell r="L278" t="str">
            <v>12P</v>
          </cell>
          <cell r="S278">
            <v>107</v>
          </cell>
        </row>
        <row r="279">
          <cell r="L279" t="str">
            <v>12P</v>
          </cell>
          <cell r="S279">
            <v>107</v>
          </cell>
        </row>
        <row r="280">
          <cell r="L280" t="str">
            <v>8P</v>
          </cell>
          <cell r="S280">
            <v>77</v>
          </cell>
        </row>
        <row r="281">
          <cell r="L281" t="str">
            <v>4P</v>
          </cell>
          <cell r="S281">
            <v>77</v>
          </cell>
        </row>
        <row r="282">
          <cell r="L282" t="str">
            <v>30C</v>
          </cell>
          <cell r="S282">
            <v>107</v>
          </cell>
        </row>
        <row r="283">
          <cell r="L283" t="str">
            <v>30C</v>
          </cell>
          <cell r="S283">
            <v>157</v>
          </cell>
        </row>
        <row r="284">
          <cell r="L284" t="str">
            <v>2C</v>
          </cell>
          <cell r="S284">
            <v>17</v>
          </cell>
        </row>
        <row r="285">
          <cell r="L285" t="str">
            <v>8P</v>
          </cell>
          <cell r="S285">
            <v>137</v>
          </cell>
        </row>
        <row r="286">
          <cell r="L286" t="str">
            <v>2P</v>
          </cell>
        </row>
        <row r="287">
          <cell r="L287" t="str">
            <v>2P</v>
          </cell>
        </row>
        <row r="288">
          <cell r="L288" t="str">
            <v>2P</v>
          </cell>
        </row>
        <row r="289">
          <cell r="L289" t="str">
            <v>2P</v>
          </cell>
        </row>
        <row r="290">
          <cell r="L290" t="str">
            <v>2P</v>
          </cell>
        </row>
        <row r="291">
          <cell r="L291" t="str">
            <v>2P</v>
          </cell>
        </row>
        <row r="292">
          <cell r="L292" t="str">
            <v>2P</v>
          </cell>
        </row>
        <row r="293">
          <cell r="L293" t="str">
            <v>2P</v>
          </cell>
        </row>
        <row r="294">
          <cell r="L294" t="str">
            <v>2P</v>
          </cell>
        </row>
        <row r="295">
          <cell r="L295" t="str">
            <v>2P</v>
          </cell>
        </row>
        <row r="296">
          <cell r="L296" t="str">
            <v>2C</v>
          </cell>
        </row>
        <row r="297">
          <cell r="L297" t="str">
            <v>2C</v>
          </cell>
        </row>
        <row r="298">
          <cell r="L298" t="str">
            <v>2C</v>
          </cell>
        </row>
        <row r="299">
          <cell r="L299" t="str">
            <v>2C</v>
          </cell>
        </row>
        <row r="300">
          <cell r="L300" t="str">
            <v>2C</v>
          </cell>
        </row>
        <row r="301">
          <cell r="L301" t="str">
            <v>2C</v>
          </cell>
        </row>
        <row r="302">
          <cell r="L302" t="str">
            <v>2C</v>
          </cell>
        </row>
        <row r="303">
          <cell r="L303" t="str">
            <v>2C</v>
          </cell>
        </row>
        <row r="304">
          <cell r="L304" t="str">
            <v>2C</v>
          </cell>
        </row>
        <row r="305">
          <cell r="L305" t="str">
            <v>2C</v>
          </cell>
        </row>
      </sheetData>
      <sheetData sheetId="11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60</v>
          </cell>
        </row>
        <row r="6">
          <cell r="L6" t="str">
            <v>2C</v>
          </cell>
          <cell r="S6">
            <v>60</v>
          </cell>
        </row>
        <row r="7">
          <cell r="L7" t="str">
            <v>2C</v>
          </cell>
          <cell r="S7">
            <v>60</v>
          </cell>
        </row>
        <row r="8">
          <cell r="L8" t="str">
            <v>2C</v>
          </cell>
          <cell r="S8">
            <v>60</v>
          </cell>
        </row>
        <row r="9">
          <cell r="L9" t="str">
            <v>2C</v>
          </cell>
          <cell r="S9">
            <v>60</v>
          </cell>
        </row>
        <row r="10">
          <cell r="L10" t="str">
            <v>2C</v>
          </cell>
          <cell r="S10">
            <v>60</v>
          </cell>
        </row>
        <row r="11">
          <cell r="L11" t="str">
            <v>2C</v>
          </cell>
          <cell r="S11">
            <v>60</v>
          </cell>
        </row>
        <row r="12">
          <cell r="L12" t="str">
            <v>2C</v>
          </cell>
          <cell r="S12">
            <v>60</v>
          </cell>
        </row>
        <row r="13">
          <cell r="L13" t="str">
            <v>2C</v>
          </cell>
          <cell r="S13">
            <v>60</v>
          </cell>
        </row>
        <row r="14">
          <cell r="L14" t="str">
            <v>2C</v>
          </cell>
          <cell r="S14">
            <v>65</v>
          </cell>
        </row>
        <row r="15">
          <cell r="L15" t="str">
            <v>2C</v>
          </cell>
          <cell r="S15">
            <v>65</v>
          </cell>
        </row>
        <row r="16">
          <cell r="L16" t="str">
            <v>2C</v>
          </cell>
          <cell r="S16">
            <v>65</v>
          </cell>
        </row>
        <row r="17">
          <cell r="L17" t="str">
            <v>2C</v>
          </cell>
          <cell r="S17">
            <v>65</v>
          </cell>
        </row>
        <row r="18">
          <cell r="L18" t="str">
            <v>2C</v>
          </cell>
          <cell r="S18">
            <v>65</v>
          </cell>
        </row>
        <row r="19">
          <cell r="L19" t="str">
            <v>2C</v>
          </cell>
          <cell r="S19">
            <v>65</v>
          </cell>
        </row>
        <row r="20">
          <cell r="L20" t="str">
            <v>2C</v>
          </cell>
          <cell r="S20">
            <v>55</v>
          </cell>
        </row>
        <row r="21">
          <cell r="L21" t="str">
            <v>2C</v>
          </cell>
          <cell r="S21">
            <v>55</v>
          </cell>
        </row>
        <row r="22">
          <cell r="L22" t="str">
            <v>2C</v>
          </cell>
          <cell r="S22">
            <v>55</v>
          </cell>
        </row>
        <row r="23">
          <cell r="L23" t="str">
            <v>2C</v>
          </cell>
          <cell r="S23">
            <v>65</v>
          </cell>
        </row>
        <row r="24">
          <cell r="L24" t="str">
            <v>2C</v>
          </cell>
          <cell r="S24">
            <v>65</v>
          </cell>
        </row>
        <row r="25">
          <cell r="L25" t="str">
            <v>2C</v>
          </cell>
          <cell r="S25">
            <v>65</v>
          </cell>
        </row>
        <row r="26">
          <cell r="L26" t="str">
            <v>2C</v>
          </cell>
        </row>
        <row r="27">
          <cell r="L27" t="str">
            <v>2C</v>
          </cell>
        </row>
        <row r="28">
          <cell r="L28" t="str">
            <v>2C</v>
          </cell>
        </row>
        <row r="29">
          <cell r="L29" t="str">
            <v>2C</v>
          </cell>
        </row>
        <row r="30">
          <cell r="L30" t="str">
            <v>2C</v>
          </cell>
        </row>
        <row r="39">
          <cell r="L39" t="str">
            <v>2C</v>
          </cell>
        </row>
        <row r="40">
          <cell r="L40" t="str">
            <v>2C</v>
          </cell>
        </row>
        <row r="41">
          <cell r="L41" t="str">
            <v>2C</v>
          </cell>
        </row>
        <row r="42">
          <cell r="L42" t="str">
            <v>2C</v>
          </cell>
        </row>
        <row r="43">
          <cell r="L43" t="str">
            <v>2C</v>
          </cell>
        </row>
        <row r="44">
          <cell r="L44" t="str">
            <v>2C</v>
          </cell>
        </row>
        <row r="45">
          <cell r="L45" t="str">
            <v>2C</v>
          </cell>
        </row>
        <row r="46">
          <cell r="L46" t="str">
            <v>2C</v>
          </cell>
        </row>
        <row r="47">
          <cell r="L47" t="str">
            <v>2C</v>
          </cell>
        </row>
        <row r="48">
          <cell r="L48" t="str">
            <v>2C</v>
          </cell>
        </row>
        <row r="49">
          <cell r="L49" t="str">
            <v>2C</v>
          </cell>
        </row>
        <row r="50">
          <cell r="L50" t="str">
            <v>2C</v>
          </cell>
        </row>
        <row r="51">
          <cell r="L51" t="str">
            <v>2C</v>
          </cell>
        </row>
        <row r="52">
          <cell r="L52" t="str">
            <v>2C</v>
          </cell>
        </row>
        <row r="53">
          <cell r="L53" t="str">
            <v>2C</v>
          </cell>
        </row>
        <row r="54">
          <cell r="L54" t="str">
            <v>2C</v>
          </cell>
        </row>
        <row r="55">
          <cell r="L55" t="str">
            <v>2C</v>
          </cell>
        </row>
        <row r="56">
          <cell r="L56" t="str">
            <v>2C</v>
          </cell>
        </row>
        <row r="57">
          <cell r="L57" t="str">
            <v>2C</v>
          </cell>
        </row>
        <row r="58">
          <cell r="L58" t="str">
            <v>2C</v>
          </cell>
        </row>
        <row r="59">
          <cell r="L59" t="str">
            <v>2C</v>
          </cell>
        </row>
        <row r="60">
          <cell r="L60" t="str">
            <v>2C</v>
          </cell>
        </row>
        <row r="61">
          <cell r="L61" t="str">
            <v>2C</v>
          </cell>
        </row>
        <row r="62">
          <cell r="L62" t="str">
            <v>2C</v>
          </cell>
        </row>
        <row r="63">
          <cell r="L63" t="str">
            <v>2C</v>
          </cell>
        </row>
        <row r="64">
          <cell r="L64" t="str">
            <v>2C</v>
          </cell>
        </row>
        <row r="73">
          <cell r="L73" t="str">
            <v>2C</v>
          </cell>
        </row>
        <row r="74">
          <cell r="L74" t="str">
            <v>2C</v>
          </cell>
        </row>
        <row r="75">
          <cell r="L75" t="str">
            <v>2C</v>
          </cell>
        </row>
        <row r="76">
          <cell r="L76" t="str">
            <v>2C</v>
          </cell>
        </row>
        <row r="77">
          <cell r="L77" t="str">
            <v>2C</v>
          </cell>
        </row>
        <row r="78">
          <cell r="L78" t="str">
            <v>2C</v>
          </cell>
        </row>
        <row r="79">
          <cell r="L79" t="str">
            <v>2C</v>
          </cell>
        </row>
        <row r="80">
          <cell r="L80" t="str">
            <v>2C</v>
          </cell>
        </row>
        <row r="81">
          <cell r="L81" t="str">
            <v>2C</v>
          </cell>
        </row>
        <row r="82">
          <cell r="L82" t="str">
            <v>2C</v>
          </cell>
        </row>
        <row r="83">
          <cell r="L83" t="str">
            <v>2C</v>
          </cell>
        </row>
        <row r="84">
          <cell r="L84" t="str">
            <v>2C</v>
          </cell>
        </row>
        <row r="85">
          <cell r="L85" t="str">
            <v>2C</v>
          </cell>
        </row>
        <row r="86">
          <cell r="L86" t="str">
            <v>2C</v>
          </cell>
        </row>
        <row r="87">
          <cell r="L87" t="str">
            <v>2C</v>
          </cell>
        </row>
        <row r="88">
          <cell r="L88" t="str">
            <v>2C</v>
          </cell>
        </row>
        <row r="89">
          <cell r="L89" t="str">
            <v>2C</v>
          </cell>
        </row>
        <row r="90">
          <cell r="L90" t="str">
            <v>2C</v>
          </cell>
        </row>
        <row r="91">
          <cell r="L91" t="str">
            <v>2C</v>
          </cell>
        </row>
        <row r="92">
          <cell r="L92" t="str">
            <v>2C</v>
          </cell>
        </row>
        <row r="93">
          <cell r="L93" t="str">
            <v>2C</v>
          </cell>
        </row>
        <row r="94">
          <cell r="L94" t="str">
            <v>2C</v>
          </cell>
        </row>
        <row r="95">
          <cell r="L95" t="str">
            <v>2C</v>
          </cell>
        </row>
        <row r="96">
          <cell r="L96" t="str">
            <v>2C</v>
          </cell>
        </row>
        <row r="97">
          <cell r="L97" t="str">
            <v>2C</v>
          </cell>
        </row>
        <row r="98">
          <cell r="L98" t="str">
            <v>2C</v>
          </cell>
        </row>
        <row r="107">
          <cell r="L107" t="str">
            <v>2C</v>
          </cell>
        </row>
        <row r="108">
          <cell r="L108" t="str">
            <v>2C</v>
          </cell>
        </row>
        <row r="109">
          <cell r="L109" t="str">
            <v>2C</v>
          </cell>
        </row>
        <row r="110">
          <cell r="L110" t="str">
            <v>2C</v>
          </cell>
        </row>
        <row r="111">
          <cell r="L111" t="str">
            <v>2C</v>
          </cell>
        </row>
        <row r="112">
          <cell r="L112" t="str">
            <v>2C</v>
          </cell>
        </row>
        <row r="113">
          <cell r="L113" t="str">
            <v>2C</v>
          </cell>
        </row>
        <row r="114">
          <cell r="L114" t="str">
            <v>2C</v>
          </cell>
        </row>
        <row r="115">
          <cell r="L115" t="str">
            <v>2C</v>
          </cell>
        </row>
        <row r="116">
          <cell r="L116" t="str">
            <v>2C</v>
          </cell>
        </row>
        <row r="117">
          <cell r="L117" t="str">
            <v>2C</v>
          </cell>
        </row>
        <row r="118">
          <cell r="L118" t="str">
            <v>2C</v>
          </cell>
        </row>
        <row r="119">
          <cell r="L119" t="str">
            <v>2C</v>
          </cell>
        </row>
        <row r="120">
          <cell r="L120" t="str">
            <v>2C</v>
          </cell>
        </row>
        <row r="121">
          <cell r="L121" t="str">
            <v>2C</v>
          </cell>
        </row>
        <row r="122">
          <cell r="L122" t="str">
            <v>2C</v>
          </cell>
          <cell r="S122">
            <v>55</v>
          </cell>
        </row>
        <row r="123">
          <cell r="L123" t="str">
            <v>20C</v>
          </cell>
          <cell r="S123">
            <v>164</v>
          </cell>
        </row>
        <row r="124">
          <cell r="L124" t="str">
            <v>2P</v>
          </cell>
          <cell r="S124">
            <v>55</v>
          </cell>
        </row>
        <row r="125">
          <cell r="L125" t="str">
            <v>2C</v>
          </cell>
          <cell r="S125">
            <v>50</v>
          </cell>
        </row>
        <row r="126">
          <cell r="L126" t="str">
            <v>20C</v>
          </cell>
          <cell r="S126">
            <v>159</v>
          </cell>
        </row>
        <row r="128">
          <cell r="L128" t="str">
            <v>2C</v>
          </cell>
          <cell r="S128">
            <v>50</v>
          </cell>
        </row>
        <row r="129">
          <cell r="L129" t="str">
            <v>20C</v>
          </cell>
          <cell r="S129">
            <v>159</v>
          </cell>
        </row>
        <row r="130">
          <cell r="L130" t="str">
            <v>2P</v>
          </cell>
          <cell r="S130">
            <v>50</v>
          </cell>
        </row>
        <row r="131">
          <cell r="L131" t="str">
            <v>2C</v>
          </cell>
          <cell r="S131">
            <v>55</v>
          </cell>
        </row>
        <row r="132">
          <cell r="L132" t="str">
            <v>20C</v>
          </cell>
          <cell r="S132">
            <v>164</v>
          </cell>
        </row>
        <row r="141">
          <cell r="L141" t="str">
            <v>2P</v>
          </cell>
          <cell r="S141">
            <v>65</v>
          </cell>
        </row>
        <row r="142">
          <cell r="L142" t="str">
            <v>2C</v>
          </cell>
          <cell r="S142">
            <v>60</v>
          </cell>
        </row>
        <row r="143">
          <cell r="L143" t="str">
            <v>20C</v>
          </cell>
          <cell r="S143">
            <v>164</v>
          </cell>
        </row>
        <row r="144">
          <cell r="L144" t="str">
            <v>2P</v>
          </cell>
          <cell r="S144">
            <v>65</v>
          </cell>
        </row>
        <row r="145">
          <cell r="L145" t="str">
            <v>2C</v>
          </cell>
          <cell r="S145">
            <v>55</v>
          </cell>
        </row>
        <row r="146">
          <cell r="L146" t="str">
            <v>20C</v>
          </cell>
          <cell r="S146">
            <v>159</v>
          </cell>
        </row>
        <row r="148">
          <cell r="L148" t="str">
            <v>2C</v>
          </cell>
          <cell r="S148">
            <v>50</v>
          </cell>
        </row>
        <row r="149">
          <cell r="L149" t="str">
            <v>20C</v>
          </cell>
          <cell r="S149">
            <v>154</v>
          </cell>
        </row>
        <row r="151">
          <cell r="L151" t="str">
            <v>2C</v>
          </cell>
          <cell r="S151">
            <v>50</v>
          </cell>
        </row>
        <row r="152">
          <cell r="L152" t="str">
            <v>20C</v>
          </cell>
          <cell r="S152">
            <v>149</v>
          </cell>
        </row>
        <row r="153">
          <cell r="L153" t="str">
            <v>2C</v>
          </cell>
          <cell r="S153">
            <v>40</v>
          </cell>
        </row>
        <row r="154">
          <cell r="L154" t="str">
            <v>20C</v>
          </cell>
          <cell r="S154">
            <v>114</v>
          </cell>
        </row>
        <row r="156">
          <cell r="L156" t="str">
            <v>2C</v>
          </cell>
          <cell r="S156">
            <v>55</v>
          </cell>
        </row>
        <row r="157">
          <cell r="L157" t="str">
            <v>4P</v>
          </cell>
          <cell r="S157">
            <v>55</v>
          </cell>
        </row>
        <row r="158">
          <cell r="L158" t="str">
            <v>4P</v>
          </cell>
          <cell r="S158">
            <v>55</v>
          </cell>
        </row>
        <row r="159">
          <cell r="L159" t="str">
            <v>4P</v>
          </cell>
          <cell r="S159">
            <v>65</v>
          </cell>
        </row>
        <row r="160">
          <cell r="L160" t="str">
            <v>4P</v>
          </cell>
          <cell r="S160">
            <v>50</v>
          </cell>
        </row>
        <row r="161">
          <cell r="L161" t="str">
            <v>4P</v>
          </cell>
          <cell r="S161">
            <v>65</v>
          </cell>
        </row>
        <row r="162">
          <cell r="L162" t="str">
            <v>4P</v>
          </cell>
          <cell r="S162">
            <v>65</v>
          </cell>
        </row>
        <row r="163">
          <cell r="L163" t="str">
            <v>4P</v>
          </cell>
          <cell r="S163">
            <v>55</v>
          </cell>
        </row>
        <row r="164">
          <cell r="L164" t="str">
            <v>4P</v>
          </cell>
          <cell r="S164">
            <v>55</v>
          </cell>
        </row>
        <row r="165">
          <cell r="L165" t="str">
            <v>4P</v>
          </cell>
          <cell r="S165">
            <v>60</v>
          </cell>
        </row>
        <row r="166">
          <cell r="L166" t="str">
            <v>4P</v>
          </cell>
          <cell r="S166">
            <v>60</v>
          </cell>
        </row>
        <row r="175">
          <cell r="L175" t="str">
            <v>4P</v>
          </cell>
          <cell r="S175">
            <v>60</v>
          </cell>
        </row>
        <row r="176">
          <cell r="L176" t="str">
            <v>4P</v>
          </cell>
          <cell r="S176">
            <v>55</v>
          </cell>
        </row>
        <row r="177">
          <cell r="L177" t="str">
            <v>2P</v>
          </cell>
          <cell r="S177">
            <v>60</v>
          </cell>
        </row>
        <row r="178">
          <cell r="L178" t="str">
            <v>2P</v>
          </cell>
          <cell r="S178">
            <v>60</v>
          </cell>
        </row>
        <row r="179">
          <cell r="L179" t="str">
            <v>2P</v>
          </cell>
          <cell r="S179">
            <v>40</v>
          </cell>
        </row>
        <row r="180">
          <cell r="L180" t="str">
            <v>2P</v>
          </cell>
          <cell r="S180">
            <v>60</v>
          </cell>
        </row>
        <row r="181">
          <cell r="L181" t="str">
            <v>2P</v>
          </cell>
          <cell r="S181">
            <v>50</v>
          </cell>
        </row>
        <row r="182">
          <cell r="L182" t="str">
            <v>2P</v>
          </cell>
          <cell r="S182">
            <v>60</v>
          </cell>
        </row>
        <row r="183">
          <cell r="L183" t="str">
            <v>2P</v>
          </cell>
          <cell r="S183">
            <v>50</v>
          </cell>
        </row>
        <row r="184">
          <cell r="L184" t="str">
            <v>2P</v>
          </cell>
          <cell r="S184">
            <v>50</v>
          </cell>
        </row>
        <row r="185">
          <cell r="L185" t="str">
            <v>2P</v>
          </cell>
          <cell r="S185">
            <v>60</v>
          </cell>
        </row>
        <row r="186">
          <cell r="L186" t="str">
            <v>2P</v>
          </cell>
          <cell r="S186">
            <v>60</v>
          </cell>
        </row>
        <row r="187">
          <cell r="L187" t="str">
            <v>2P</v>
          </cell>
          <cell r="S187">
            <v>60</v>
          </cell>
        </row>
        <row r="188">
          <cell r="L188" t="str">
            <v>2P</v>
          </cell>
          <cell r="S188">
            <v>55</v>
          </cell>
        </row>
        <row r="189">
          <cell r="L189" t="str">
            <v>2P</v>
          </cell>
          <cell r="S189">
            <v>65</v>
          </cell>
        </row>
        <row r="190">
          <cell r="L190" t="str">
            <v>2P</v>
          </cell>
          <cell r="S190">
            <v>40</v>
          </cell>
        </row>
        <row r="191">
          <cell r="L191" t="str">
            <v>2P</v>
          </cell>
          <cell r="S191">
            <v>45</v>
          </cell>
        </row>
        <row r="192">
          <cell r="L192" t="str">
            <v>2P</v>
          </cell>
          <cell r="S192">
            <v>60</v>
          </cell>
        </row>
        <row r="193">
          <cell r="L193" t="str">
            <v>2P</v>
          </cell>
          <cell r="S193">
            <v>65</v>
          </cell>
        </row>
        <row r="194">
          <cell r="L194" t="str">
            <v>2P</v>
          </cell>
          <cell r="S194">
            <v>65</v>
          </cell>
        </row>
        <row r="195">
          <cell r="L195" t="str">
            <v>2P</v>
          </cell>
          <cell r="S195">
            <v>55</v>
          </cell>
        </row>
        <row r="196">
          <cell r="L196" t="str">
            <v>2P</v>
          </cell>
          <cell r="S196">
            <v>25</v>
          </cell>
        </row>
        <row r="197">
          <cell r="L197" t="str">
            <v>2P</v>
          </cell>
          <cell r="S197">
            <v>25</v>
          </cell>
        </row>
        <row r="198">
          <cell r="L198" t="str">
            <v>2P</v>
          </cell>
          <cell r="S198">
            <v>25</v>
          </cell>
        </row>
        <row r="199">
          <cell r="L199" t="str">
            <v>2P</v>
          </cell>
          <cell r="S199">
            <v>45</v>
          </cell>
        </row>
        <row r="200">
          <cell r="L200" t="str">
            <v>2P</v>
          </cell>
          <cell r="S200">
            <v>45</v>
          </cell>
        </row>
        <row r="209">
          <cell r="L209" t="str">
            <v>2P</v>
          </cell>
          <cell r="S209">
            <v>25</v>
          </cell>
        </row>
        <row r="210">
          <cell r="L210" t="str">
            <v>2P</v>
          </cell>
          <cell r="S210">
            <v>25</v>
          </cell>
        </row>
        <row r="211">
          <cell r="L211" t="str">
            <v>2P</v>
          </cell>
          <cell r="S211">
            <v>35</v>
          </cell>
        </row>
        <row r="212">
          <cell r="L212" t="str">
            <v>2P</v>
          </cell>
          <cell r="S212">
            <v>35</v>
          </cell>
        </row>
        <row r="213">
          <cell r="L213" t="str">
            <v>2P</v>
          </cell>
          <cell r="S213">
            <v>35</v>
          </cell>
        </row>
        <row r="214">
          <cell r="L214" t="str">
            <v>2P</v>
          </cell>
          <cell r="S214">
            <v>35</v>
          </cell>
        </row>
        <row r="215">
          <cell r="L215" t="str">
            <v>2P</v>
          </cell>
          <cell r="S215">
            <v>35</v>
          </cell>
        </row>
        <row r="216">
          <cell r="L216" t="str">
            <v>2P</v>
          </cell>
          <cell r="S216">
            <v>35</v>
          </cell>
        </row>
        <row r="217">
          <cell r="L217" t="str">
            <v>2P</v>
          </cell>
          <cell r="S217">
            <v>35</v>
          </cell>
        </row>
        <row r="218">
          <cell r="L218" t="str">
            <v>2P</v>
          </cell>
          <cell r="S218">
            <v>35</v>
          </cell>
        </row>
        <row r="219">
          <cell r="L219" t="str">
            <v>2P</v>
          </cell>
          <cell r="S219">
            <v>45</v>
          </cell>
        </row>
        <row r="220">
          <cell r="L220" t="str">
            <v>2P</v>
          </cell>
          <cell r="S220">
            <v>30</v>
          </cell>
        </row>
        <row r="221">
          <cell r="L221" t="str">
            <v>2P</v>
          </cell>
          <cell r="S221">
            <v>45</v>
          </cell>
        </row>
        <row r="222">
          <cell r="L222" t="str">
            <v>2P</v>
          </cell>
          <cell r="S222">
            <v>45</v>
          </cell>
        </row>
        <row r="223">
          <cell r="L223" t="str">
            <v>2P</v>
          </cell>
          <cell r="S223">
            <v>60</v>
          </cell>
        </row>
        <row r="224">
          <cell r="L224" t="str">
            <v>2P</v>
          </cell>
          <cell r="S224">
            <v>60</v>
          </cell>
        </row>
        <row r="225">
          <cell r="L225" t="str">
            <v>2P</v>
          </cell>
          <cell r="S225">
            <v>60</v>
          </cell>
        </row>
        <row r="226">
          <cell r="L226" t="str">
            <v>2P</v>
          </cell>
          <cell r="S226">
            <v>50</v>
          </cell>
        </row>
        <row r="227">
          <cell r="L227" t="str">
            <v>2P</v>
          </cell>
          <cell r="S227">
            <v>50</v>
          </cell>
        </row>
        <row r="228">
          <cell r="L228" t="str">
            <v>2P</v>
          </cell>
          <cell r="S228">
            <v>50</v>
          </cell>
        </row>
        <row r="229">
          <cell r="L229" t="str">
            <v>2P</v>
          </cell>
          <cell r="S229">
            <v>50</v>
          </cell>
        </row>
        <row r="230">
          <cell r="L230" t="str">
            <v>2P</v>
          </cell>
          <cell r="S230">
            <v>60</v>
          </cell>
        </row>
        <row r="231">
          <cell r="L231" t="str">
            <v>2P</v>
          </cell>
          <cell r="S231">
            <v>60</v>
          </cell>
        </row>
        <row r="232">
          <cell r="L232" t="str">
            <v>2P</v>
          </cell>
          <cell r="S232">
            <v>60</v>
          </cell>
        </row>
        <row r="233">
          <cell r="L233" t="str">
            <v>2P</v>
          </cell>
          <cell r="S233">
            <v>70</v>
          </cell>
        </row>
        <row r="234">
          <cell r="L234" t="str">
            <v>2P</v>
          </cell>
          <cell r="S234">
            <v>40</v>
          </cell>
        </row>
        <row r="243">
          <cell r="L243" t="str">
            <v>2P</v>
          </cell>
          <cell r="S243">
            <v>40</v>
          </cell>
        </row>
        <row r="244">
          <cell r="L244" t="str">
            <v>2P</v>
          </cell>
          <cell r="S244">
            <v>50</v>
          </cell>
        </row>
        <row r="245">
          <cell r="L245" t="str">
            <v>2P</v>
          </cell>
        </row>
        <row r="246">
          <cell r="L246" t="str">
            <v>2P</v>
          </cell>
          <cell r="S246">
            <v>30</v>
          </cell>
        </row>
        <row r="247">
          <cell r="L247" t="str">
            <v>2P</v>
          </cell>
          <cell r="S247">
            <v>30</v>
          </cell>
        </row>
        <row r="248">
          <cell r="L248" t="str">
            <v>2P</v>
          </cell>
          <cell r="S248">
            <v>30</v>
          </cell>
        </row>
        <row r="249">
          <cell r="L249" t="str">
            <v>20C</v>
          </cell>
          <cell r="S249">
            <v>134</v>
          </cell>
        </row>
        <row r="250">
          <cell r="L250" t="str">
            <v>20C</v>
          </cell>
          <cell r="S250">
            <v>134</v>
          </cell>
        </row>
        <row r="251">
          <cell r="L251" t="str">
            <v>20C</v>
          </cell>
          <cell r="S251">
            <v>134</v>
          </cell>
        </row>
        <row r="252">
          <cell r="L252" t="str">
            <v>2OC</v>
          </cell>
          <cell r="S252">
            <v>134</v>
          </cell>
        </row>
        <row r="253">
          <cell r="L253" t="str">
            <v>8P</v>
          </cell>
          <cell r="S253">
            <v>134</v>
          </cell>
        </row>
        <row r="254">
          <cell r="L254" t="str">
            <v>8P</v>
          </cell>
          <cell r="S254">
            <v>134</v>
          </cell>
        </row>
        <row r="255">
          <cell r="L255" t="str">
            <v>30C</v>
          </cell>
          <cell r="S255">
            <v>164</v>
          </cell>
        </row>
        <row r="256">
          <cell r="L256" t="str">
            <v>30C</v>
          </cell>
          <cell r="S256">
            <v>164</v>
          </cell>
        </row>
        <row r="257">
          <cell r="L257" t="str">
            <v>30C</v>
          </cell>
          <cell r="S257">
            <v>164</v>
          </cell>
        </row>
        <row r="258">
          <cell r="L258" t="str">
            <v>30C</v>
          </cell>
          <cell r="S258">
            <v>184</v>
          </cell>
        </row>
        <row r="259">
          <cell r="L259" t="str">
            <v>30C</v>
          </cell>
          <cell r="S259">
            <v>184</v>
          </cell>
        </row>
        <row r="260">
          <cell r="L260" t="str">
            <v>30C</v>
          </cell>
          <cell r="S260">
            <v>184</v>
          </cell>
        </row>
        <row r="261">
          <cell r="L261" t="str">
            <v>20C</v>
          </cell>
          <cell r="S261">
            <v>134</v>
          </cell>
        </row>
        <row r="262">
          <cell r="L262" t="str">
            <v>20C</v>
          </cell>
          <cell r="S262">
            <v>134</v>
          </cell>
        </row>
        <row r="263">
          <cell r="L263" t="str">
            <v>12P</v>
          </cell>
          <cell r="S263">
            <v>134</v>
          </cell>
        </row>
        <row r="264">
          <cell r="L264" t="str">
            <v>12P</v>
          </cell>
          <cell r="S264">
            <v>134</v>
          </cell>
        </row>
        <row r="265">
          <cell r="L265" t="str">
            <v>12P</v>
          </cell>
          <cell r="S265">
            <v>134</v>
          </cell>
        </row>
        <row r="266">
          <cell r="L266" t="str">
            <v>12P</v>
          </cell>
          <cell r="S266">
            <v>134</v>
          </cell>
        </row>
        <row r="267">
          <cell r="L267" t="str">
            <v>12P</v>
          </cell>
          <cell r="S267">
            <v>134</v>
          </cell>
        </row>
        <row r="268">
          <cell r="L268" t="str">
            <v>12P</v>
          </cell>
          <cell r="S268">
            <v>134</v>
          </cell>
        </row>
        <row r="277">
          <cell r="L277" t="str">
            <v>12P</v>
          </cell>
          <cell r="S277">
            <v>134</v>
          </cell>
        </row>
        <row r="278">
          <cell r="L278" t="str">
            <v>12P</v>
          </cell>
          <cell r="S278">
            <v>134</v>
          </cell>
        </row>
        <row r="279">
          <cell r="L279" t="str">
            <v>12P</v>
          </cell>
          <cell r="S279">
            <v>134</v>
          </cell>
        </row>
        <row r="280">
          <cell r="L280" t="str">
            <v>8P</v>
          </cell>
          <cell r="S280">
            <v>104</v>
          </cell>
        </row>
        <row r="281">
          <cell r="L281" t="str">
            <v>4P</v>
          </cell>
          <cell r="S281">
            <v>104</v>
          </cell>
        </row>
        <row r="282">
          <cell r="L282" t="str">
            <v>30C</v>
          </cell>
          <cell r="S282">
            <v>134</v>
          </cell>
        </row>
        <row r="283">
          <cell r="L283" t="str">
            <v>30C</v>
          </cell>
          <cell r="S283">
            <v>184</v>
          </cell>
        </row>
        <row r="284">
          <cell r="L284" t="str">
            <v>2C</v>
          </cell>
          <cell r="S284">
            <v>44</v>
          </cell>
        </row>
        <row r="285">
          <cell r="L285" t="str">
            <v>8P</v>
          </cell>
          <cell r="S285">
            <v>164</v>
          </cell>
        </row>
        <row r="286">
          <cell r="L286" t="str">
            <v>2P</v>
          </cell>
        </row>
        <row r="287">
          <cell r="L287" t="str">
            <v>2P</v>
          </cell>
        </row>
        <row r="288">
          <cell r="L288" t="str">
            <v>2P</v>
          </cell>
        </row>
        <row r="289">
          <cell r="L289" t="str">
            <v>2P</v>
          </cell>
        </row>
        <row r="290">
          <cell r="L290" t="str">
            <v>2P</v>
          </cell>
        </row>
        <row r="291">
          <cell r="L291" t="str">
            <v>2P</v>
          </cell>
        </row>
        <row r="292">
          <cell r="L292" t="str">
            <v>2P</v>
          </cell>
        </row>
        <row r="293">
          <cell r="L293" t="str">
            <v>2P</v>
          </cell>
        </row>
        <row r="294">
          <cell r="L294" t="str">
            <v>2P</v>
          </cell>
        </row>
        <row r="295">
          <cell r="L295" t="str">
            <v>2P</v>
          </cell>
        </row>
        <row r="296">
          <cell r="L296" t="str">
            <v>2C</v>
          </cell>
        </row>
        <row r="297">
          <cell r="L297" t="str">
            <v>2C</v>
          </cell>
        </row>
        <row r="298">
          <cell r="L298" t="str">
            <v>2C</v>
          </cell>
        </row>
        <row r="299">
          <cell r="L299" t="str">
            <v>2C</v>
          </cell>
        </row>
        <row r="300">
          <cell r="L300" t="str">
            <v>2C</v>
          </cell>
        </row>
        <row r="301">
          <cell r="L301" t="str">
            <v>2C</v>
          </cell>
        </row>
        <row r="302">
          <cell r="L302" t="str">
            <v>2C</v>
          </cell>
        </row>
        <row r="303">
          <cell r="L303" t="str">
            <v>2C</v>
          </cell>
        </row>
        <row r="304">
          <cell r="L304" t="str">
            <v>2C</v>
          </cell>
        </row>
        <row r="305">
          <cell r="L305" t="str">
            <v>2C</v>
          </cell>
        </row>
      </sheetData>
      <sheetData sheetId="12">
        <row r="2">
          <cell r="S2" t="str">
            <v>LENGTH</v>
          </cell>
        </row>
        <row r="3">
          <cell r="L3" t="str">
            <v>SPEC.</v>
          </cell>
          <cell r="S3" t="str">
            <v>(M)</v>
          </cell>
        </row>
        <row r="5">
          <cell r="L5" t="str">
            <v>2C</v>
          </cell>
          <cell r="S5">
            <v>60</v>
          </cell>
        </row>
        <row r="6">
          <cell r="L6" t="str">
            <v>2C</v>
          </cell>
          <cell r="S6">
            <v>60</v>
          </cell>
        </row>
        <row r="7">
          <cell r="L7" t="str">
            <v>2C</v>
          </cell>
          <cell r="S7">
            <v>60</v>
          </cell>
        </row>
        <row r="8">
          <cell r="L8" t="str">
            <v>2C</v>
          </cell>
          <cell r="S8">
            <v>60</v>
          </cell>
        </row>
        <row r="9">
          <cell r="L9" t="str">
            <v>2C</v>
          </cell>
          <cell r="S9">
            <v>60</v>
          </cell>
        </row>
        <row r="10">
          <cell r="L10" t="str">
            <v>2C</v>
          </cell>
          <cell r="S10">
            <v>60</v>
          </cell>
        </row>
        <row r="11">
          <cell r="L11" t="str">
            <v>2C</v>
          </cell>
          <cell r="S11">
            <v>60</v>
          </cell>
        </row>
        <row r="12">
          <cell r="L12" t="str">
            <v>2C</v>
          </cell>
          <cell r="S12">
            <v>60</v>
          </cell>
        </row>
        <row r="13">
          <cell r="L13" t="str">
            <v>2C</v>
          </cell>
          <cell r="S13">
            <v>60</v>
          </cell>
        </row>
        <row r="14">
          <cell r="L14" t="str">
            <v>2C</v>
          </cell>
          <cell r="S14">
            <v>65</v>
          </cell>
        </row>
        <row r="15">
          <cell r="L15" t="str">
            <v>2C</v>
          </cell>
          <cell r="S15">
            <v>65</v>
          </cell>
        </row>
        <row r="16">
          <cell r="L16" t="str">
            <v>2C</v>
          </cell>
          <cell r="S16">
            <v>65</v>
          </cell>
        </row>
        <row r="17">
          <cell r="L17" t="str">
            <v>2C</v>
          </cell>
          <cell r="S17">
            <v>65</v>
          </cell>
        </row>
        <row r="18">
          <cell r="L18" t="str">
            <v>2C</v>
          </cell>
          <cell r="S18">
            <v>65</v>
          </cell>
        </row>
        <row r="19">
          <cell r="L19" t="str">
            <v>2C</v>
          </cell>
          <cell r="S19">
            <v>65</v>
          </cell>
        </row>
        <row r="20">
          <cell r="L20" t="str">
            <v>2C</v>
          </cell>
          <cell r="S20">
            <v>55</v>
          </cell>
        </row>
        <row r="21">
          <cell r="L21" t="str">
            <v>2C</v>
          </cell>
          <cell r="S21">
            <v>55</v>
          </cell>
        </row>
        <row r="22">
          <cell r="L22" t="str">
            <v>2C</v>
          </cell>
          <cell r="S22">
            <v>55</v>
          </cell>
        </row>
        <row r="23">
          <cell r="L23" t="str">
            <v>2C</v>
          </cell>
          <cell r="S23">
            <v>65</v>
          </cell>
        </row>
        <row r="24">
          <cell r="L24" t="str">
            <v>2C</v>
          </cell>
          <cell r="S24">
            <v>65</v>
          </cell>
        </row>
        <row r="25">
          <cell r="L25" t="str">
            <v>2C</v>
          </cell>
          <cell r="S25">
            <v>65</v>
          </cell>
        </row>
        <row r="26">
          <cell r="L26" t="str">
            <v>2C</v>
          </cell>
        </row>
        <row r="27">
          <cell r="L27" t="str">
            <v>2C</v>
          </cell>
        </row>
        <row r="28">
          <cell r="L28" t="str">
            <v>2C</v>
          </cell>
        </row>
        <row r="29">
          <cell r="L29" t="str">
            <v>2C</v>
          </cell>
        </row>
        <row r="30">
          <cell r="L30" t="str">
            <v>2C</v>
          </cell>
        </row>
        <row r="39">
          <cell r="L39" t="str">
            <v>2C</v>
          </cell>
        </row>
        <row r="40">
          <cell r="L40" t="str">
            <v>2C</v>
          </cell>
        </row>
        <row r="41">
          <cell r="L41" t="str">
            <v>2C</v>
          </cell>
        </row>
        <row r="42">
          <cell r="L42" t="str">
            <v>2C</v>
          </cell>
        </row>
        <row r="43">
          <cell r="L43" t="str">
            <v>2C</v>
          </cell>
        </row>
        <row r="44">
          <cell r="L44" t="str">
            <v>2C</v>
          </cell>
        </row>
        <row r="45">
          <cell r="L45" t="str">
            <v>2C</v>
          </cell>
        </row>
        <row r="46">
          <cell r="L46" t="str">
            <v>2C</v>
          </cell>
        </row>
        <row r="47">
          <cell r="L47" t="str">
            <v>2C</v>
          </cell>
        </row>
        <row r="48">
          <cell r="L48" t="str">
            <v>2C</v>
          </cell>
        </row>
        <row r="49">
          <cell r="L49" t="str">
            <v>2C</v>
          </cell>
        </row>
        <row r="50">
          <cell r="L50" t="str">
            <v>2C</v>
          </cell>
        </row>
        <row r="51">
          <cell r="L51" t="str">
            <v>2C</v>
          </cell>
        </row>
        <row r="52">
          <cell r="L52" t="str">
            <v>2C</v>
          </cell>
        </row>
        <row r="53">
          <cell r="L53" t="str">
            <v>2C</v>
          </cell>
        </row>
        <row r="54">
          <cell r="L54" t="str">
            <v>2C</v>
          </cell>
        </row>
        <row r="55">
          <cell r="L55" t="str">
            <v>2C</v>
          </cell>
        </row>
        <row r="56">
          <cell r="L56" t="str">
            <v>2C</v>
          </cell>
        </row>
        <row r="57">
          <cell r="L57" t="str">
            <v>2C</v>
          </cell>
        </row>
        <row r="58">
          <cell r="L58" t="str">
            <v>2C</v>
          </cell>
        </row>
        <row r="59">
          <cell r="L59" t="str">
            <v>2C</v>
          </cell>
        </row>
        <row r="60">
          <cell r="L60" t="str">
            <v>2C</v>
          </cell>
        </row>
        <row r="61">
          <cell r="L61" t="str">
            <v>2C</v>
          </cell>
        </row>
        <row r="62">
          <cell r="L62" t="str">
            <v>2C</v>
          </cell>
        </row>
        <row r="63">
          <cell r="L63" t="str">
            <v>2C</v>
          </cell>
        </row>
        <row r="64">
          <cell r="L64" t="str">
            <v>2C</v>
          </cell>
        </row>
        <row r="73">
          <cell r="L73" t="str">
            <v>2C</v>
          </cell>
        </row>
        <row r="74">
          <cell r="L74" t="str">
            <v>2C</v>
          </cell>
        </row>
        <row r="75">
          <cell r="L75" t="str">
            <v>2C</v>
          </cell>
        </row>
        <row r="76">
          <cell r="L76" t="str">
            <v>2C</v>
          </cell>
        </row>
        <row r="77">
          <cell r="L77" t="str">
            <v>2C</v>
          </cell>
        </row>
        <row r="78">
          <cell r="L78" t="str">
            <v>2C</v>
          </cell>
        </row>
        <row r="79">
          <cell r="L79" t="str">
            <v>2C</v>
          </cell>
        </row>
        <row r="80">
          <cell r="L80" t="str">
            <v>2C</v>
          </cell>
        </row>
        <row r="81">
          <cell r="L81" t="str">
            <v>2C</v>
          </cell>
        </row>
        <row r="82">
          <cell r="L82" t="str">
            <v>2C</v>
          </cell>
        </row>
        <row r="83">
          <cell r="L83" t="str">
            <v>2C</v>
          </cell>
        </row>
        <row r="84">
          <cell r="L84" t="str">
            <v>2C</v>
          </cell>
        </row>
        <row r="85">
          <cell r="L85" t="str">
            <v>2C</v>
          </cell>
        </row>
        <row r="86">
          <cell r="L86" t="str">
            <v>2C</v>
          </cell>
        </row>
        <row r="87">
          <cell r="L87" t="str">
            <v>2C</v>
          </cell>
        </row>
        <row r="88">
          <cell r="L88" t="str">
            <v>2C</v>
          </cell>
        </row>
        <row r="89">
          <cell r="L89" t="str">
            <v>2C</v>
          </cell>
        </row>
        <row r="90">
          <cell r="L90" t="str">
            <v>2C</v>
          </cell>
        </row>
        <row r="91">
          <cell r="L91" t="str">
            <v>2C</v>
          </cell>
        </row>
        <row r="92">
          <cell r="L92" t="str">
            <v>2C</v>
          </cell>
        </row>
        <row r="93">
          <cell r="L93" t="str">
            <v>2C</v>
          </cell>
        </row>
        <row r="94">
          <cell r="L94" t="str">
            <v>2C</v>
          </cell>
        </row>
        <row r="95">
          <cell r="L95" t="str">
            <v>2C</v>
          </cell>
        </row>
        <row r="96">
          <cell r="L96" t="str">
            <v>2C</v>
          </cell>
        </row>
        <row r="97">
          <cell r="L97" t="str">
            <v>2C</v>
          </cell>
        </row>
        <row r="98">
          <cell r="L98" t="str">
            <v>2C</v>
          </cell>
        </row>
        <row r="107">
          <cell r="L107" t="str">
            <v>2C</v>
          </cell>
        </row>
        <row r="108">
          <cell r="L108" t="str">
            <v>2C</v>
          </cell>
        </row>
        <row r="109">
          <cell r="L109" t="str">
            <v>2C</v>
          </cell>
        </row>
        <row r="110">
          <cell r="L110" t="str">
            <v>2C</v>
          </cell>
        </row>
        <row r="111">
          <cell r="L111" t="str">
            <v>2C</v>
          </cell>
        </row>
        <row r="112">
          <cell r="L112" t="str">
            <v>2C</v>
          </cell>
        </row>
        <row r="113">
          <cell r="L113" t="str">
            <v>2C</v>
          </cell>
        </row>
        <row r="114">
          <cell r="L114" t="str">
            <v>2C</v>
          </cell>
        </row>
        <row r="115">
          <cell r="L115" t="str">
            <v>2C</v>
          </cell>
        </row>
        <row r="116">
          <cell r="L116" t="str">
            <v>2C</v>
          </cell>
        </row>
        <row r="117">
          <cell r="L117" t="str">
            <v>2C</v>
          </cell>
        </row>
        <row r="118">
          <cell r="L118" t="str">
            <v>2C</v>
          </cell>
        </row>
        <row r="119">
          <cell r="L119" t="str">
            <v>2C</v>
          </cell>
        </row>
        <row r="120">
          <cell r="L120" t="str">
            <v>2C</v>
          </cell>
        </row>
        <row r="121">
          <cell r="L121" t="str">
            <v>2C</v>
          </cell>
        </row>
        <row r="122">
          <cell r="L122" t="str">
            <v>2C</v>
          </cell>
          <cell r="S122">
            <v>55</v>
          </cell>
        </row>
        <row r="123">
          <cell r="L123" t="str">
            <v>20C</v>
          </cell>
          <cell r="S123">
            <v>200</v>
          </cell>
        </row>
        <row r="124">
          <cell r="L124" t="str">
            <v>2P</v>
          </cell>
          <cell r="S124">
            <v>55</v>
          </cell>
        </row>
        <row r="125">
          <cell r="L125" t="str">
            <v>2C</v>
          </cell>
          <cell r="S125">
            <v>50</v>
          </cell>
        </row>
        <row r="126">
          <cell r="L126" t="str">
            <v>20C</v>
          </cell>
          <cell r="S126">
            <v>195</v>
          </cell>
        </row>
        <row r="128">
          <cell r="L128" t="str">
            <v>2C</v>
          </cell>
          <cell r="S128">
            <v>50</v>
          </cell>
        </row>
        <row r="129">
          <cell r="L129" t="str">
            <v>20C</v>
          </cell>
          <cell r="S129">
            <v>195</v>
          </cell>
        </row>
        <row r="130">
          <cell r="L130" t="str">
            <v>2P</v>
          </cell>
          <cell r="S130">
            <v>50</v>
          </cell>
        </row>
        <row r="131">
          <cell r="L131" t="str">
            <v>2C</v>
          </cell>
          <cell r="S131">
            <v>55</v>
          </cell>
        </row>
        <row r="132">
          <cell r="L132" t="str">
            <v>20C</v>
          </cell>
          <cell r="S132">
            <v>200</v>
          </cell>
        </row>
        <row r="141">
          <cell r="L141" t="str">
            <v>2P</v>
          </cell>
          <cell r="S141">
            <v>65</v>
          </cell>
        </row>
        <row r="142">
          <cell r="L142" t="str">
            <v>2C</v>
          </cell>
          <cell r="S142">
            <v>60</v>
          </cell>
        </row>
        <row r="143">
          <cell r="L143" t="str">
            <v>20C</v>
          </cell>
          <cell r="S143">
            <v>200</v>
          </cell>
        </row>
        <row r="144">
          <cell r="L144" t="str">
            <v>2P</v>
          </cell>
          <cell r="S144">
            <v>65</v>
          </cell>
        </row>
        <row r="145">
          <cell r="L145" t="str">
            <v>2C</v>
          </cell>
          <cell r="S145">
            <v>55</v>
          </cell>
        </row>
        <row r="146">
          <cell r="L146" t="str">
            <v>20C</v>
          </cell>
          <cell r="S146">
            <v>195</v>
          </cell>
        </row>
        <row r="148">
          <cell r="L148" t="str">
            <v>2C</v>
          </cell>
          <cell r="S148">
            <v>50</v>
          </cell>
        </row>
        <row r="149">
          <cell r="L149" t="str">
            <v>20C</v>
          </cell>
          <cell r="S149">
            <v>190</v>
          </cell>
        </row>
        <row r="151">
          <cell r="L151" t="str">
            <v>2C</v>
          </cell>
          <cell r="S151">
            <v>50</v>
          </cell>
        </row>
        <row r="152">
          <cell r="L152" t="str">
            <v>20C</v>
          </cell>
          <cell r="S152">
            <v>185</v>
          </cell>
        </row>
        <row r="153">
          <cell r="L153" t="str">
            <v>2C</v>
          </cell>
          <cell r="S153">
            <v>40</v>
          </cell>
        </row>
        <row r="154">
          <cell r="L154" t="str">
            <v>20C</v>
          </cell>
          <cell r="S154">
            <v>150</v>
          </cell>
        </row>
        <row r="156">
          <cell r="L156" t="str">
            <v>2C</v>
          </cell>
          <cell r="S156">
            <v>55</v>
          </cell>
        </row>
        <row r="157">
          <cell r="L157" t="str">
            <v>4P</v>
          </cell>
          <cell r="S157">
            <v>55</v>
          </cell>
        </row>
        <row r="158">
          <cell r="L158" t="str">
            <v>4P</v>
          </cell>
          <cell r="S158">
            <v>55</v>
          </cell>
        </row>
        <row r="159">
          <cell r="L159" t="str">
            <v>4P</v>
          </cell>
          <cell r="S159">
            <v>65</v>
          </cell>
        </row>
        <row r="160">
          <cell r="L160" t="str">
            <v>4P</v>
          </cell>
          <cell r="S160">
            <v>50</v>
          </cell>
        </row>
        <row r="161">
          <cell r="L161" t="str">
            <v>4P</v>
          </cell>
          <cell r="S161">
            <v>65</v>
          </cell>
        </row>
        <row r="162">
          <cell r="L162" t="str">
            <v>4P</v>
          </cell>
          <cell r="S162">
            <v>65</v>
          </cell>
        </row>
        <row r="163">
          <cell r="L163" t="str">
            <v>4P</v>
          </cell>
          <cell r="S163">
            <v>55</v>
          </cell>
        </row>
        <row r="164">
          <cell r="L164" t="str">
            <v>4P</v>
          </cell>
          <cell r="S164">
            <v>55</v>
          </cell>
        </row>
        <row r="165">
          <cell r="L165" t="str">
            <v>4P</v>
          </cell>
          <cell r="S165">
            <v>60</v>
          </cell>
        </row>
        <row r="166">
          <cell r="L166" t="str">
            <v>4P</v>
          </cell>
          <cell r="S166">
            <v>60</v>
          </cell>
        </row>
        <row r="175">
          <cell r="L175" t="str">
            <v>4P</v>
          </cell>
          <cell r="S175">
            <v>60</v>
          </cell>
        </row>
        <row r="176">
          <cell r="L176" t="str">
            <v>4P</v>
          </cell>
          <cell r="S176">
            <v>55</v>
          </cell>
        </row>
        <row r="177">
          <cell r="L177" t="str">
            <v>2P</v>
          </cell>
          <cell r="S177">
            <v>60</v>
          </cell>
        </row>
        <row r="178">
          <cell r="L178" t="str">
            <v>2P</v>
          </cell>
          <cell r="S178">
            <v>60</v>
          </cell>
        </row>
        <row r="179">
          <cell r="L179" t="str">
            <v>2P</v>
          </cell>
          <cell r="S179">
            <v>40</v>
          </cell>
        </row>
        <row r="180">
          <cell r="L180" t="str">
            <v>2P</v>
          </cell>
          <cell r="S180">
            <v>60</v>
          </cell>
        </row>
        <row r="181">
          <cell r="L181" t="str">
            <v>2P</v>
          </cell>
          <cell r="S181">
            <v>50</v>
          </cell>
        </row>
        <row r="182">
          <cell r="L182" t="str">
            <v>2P</v>
          </cell>
          <cell r="S182">
            <v>60</v>
          </cell>
        </row>
        <row r="183">
          <cell r="L183" t="str">
            <v>2P</v>
          </cell>
          <cell r="S183">
            <v>50</v>
          </cell>
        </row>
        <row r="184">
          <cell r="L184" t="str">
            <v>2P</v>
          </cell>
          <cell r="S184">
            <v>50</v>
          </cell>
        </row>
        <row r="185">
          <cell r="L185" t="str">
            <v>2P</v>
          </cell>
          <cell r="S185">
            <v>60</v>
          </cell>
        </row>
        <row r="186">
          <cell r="L186" t="str">
            <v>2P</v>
          </cell>
          <cell r="S186">
            <v>60</v>
          </cell>
        </row>
        <row r="187">
          <cell r="L187" t="str">
            <v>2P</v>
          </cell>
          <cell r="S187">
            <v>60</v>
          </cell>
        </row>
        <row r="188">
          <cell r="L188" t="str">
            <v>2P</v>
          </cell>
          <cell r="S188">
            <v>55</v>
          </cell>
        </row>
        <row r="189">
          <cell r="L189" t="str">
            <v>2P</v>
          </cell>
          <cell r="S189">
            <v>65</v>
          </cell>
        </row>
        <row r="190">
          <cell r="L190" t="str">
            <v>2P</v>
          </cell>
          <cell r="S190">
            <v>40</v>
          </cell>
        </row>
        <row r="191">
          <cell r="L191" t="str">
            <v>2P</v>
          </cell>
          <cell r="S191">
            <v>45</v>
          </cell>
        </row>
        <row r="192">
          <cell r="L192" t="str">
            <v>2P</v>
          </cell>
          <cell r="S192">
            <v>60</v>
          </cell>
        </row>
        <row r="193">
          <cell r="L193" t="str">
            <v>2P</v>
          </cell>
          <cell r="S193">
            <v>65</v>
          </cell>
        </row>
        <row r="194">
          <cell r="L194" t="str">
            <v>2P</v>
          </cell>
          <cell r="S194">
            <v>65</v>
          </cell>
        </row>
        <row r="195">
          <cell r="L195" t="str">
            <v>2P</v>
          </cell>
          <cell r="S195">
            <v>55</v>
          </cell>
        </row>
        <row r="196">
          <cell r="L196" t="str">
            <v>2P</v>
          </cell>
          <cell r="S196">
            <v>25</v>
          </cell>
        </row>
        <row r="197">
          <cell r="L197" t="str">
            <v>2P</v>
          </cell>
          <cell r="S197">
            <v>25</v>
          </cell>
        </row>
        <row r="198">
          <cell r="L198" t="str">
            <v>2P</v>
          </cell>
          <cell r="S198">
            <v>25</v>
          </cell>
        </row>
        <row r="199">
          <cell r="L199" t="str">
            <v>2P</v>
          </cell>
          <cell r="S199">
            <v>45</v>
          </cell>
        </row>
        <row r="200">
          <cell r="L200" t="str">
            <v>2P</v>
          </cell>
          <cell r="S200">
            <v>45</v>
          </cell>
        </row>
        <row r="209">
          <cell r="L209" t="str">
            <v>2P</v>
          </cell>
          <cell r="S209">
            <v>25</v>
          </cell>
        </row>
        <row r="210">
          <cell r="L210" t="str">
            <v>2P</v>
          </cell>
          <cell r="S210">
            <v>25</v>
          </cell>
        </row>
        <row r="211">
          <cell r="L211" t="str">
            <v>2P</v>
          </cell>
          <cell r="S211">
            <v>35</v>
          </cell>
        </row>
        <row r="212">
          <cell r="L212" t="str">
            <v>2P</v>
          </cell>
          <cell r="S212">
            <v>35</v>
          </cell>
        </row>
        <row r="213">
          <cell r="L213" t="str">
            <v>2P</v>
          </cell>
          <cell r="S213">
            <v>35</v>
          </cell>
        </row>
        <row r="214">
          <cell r="L214" t="str">
            <v>2P</v>
          </cell>
          <cell r="S214">
            <v>35</v>
          </cell>
        </row>
        <row r="215">
          <cell r="L215" t="str">
            <v>2P</v>
          </cell>
          <cell r="S215">
            <v>35</v>
          </cell>
        </row>
        <row r="216">
          <cell r="L216" t="str">
            <v>2P</v>
          </cell>
          <cell r="S216">
            <v>35</v>
          </cell>
        </row>
        <row r="217">
          <cell r="L217" t="str">
            <v>2P</v>
          </cell>
          <cell r="S217">
            <v>35</v>
          </cell>
        </row>
        <row r="218">
          <cell r="L218" t="str">
            <v>2P</v>
          </cell>
          <cell r="S218">
            <v>35</v>
          </cell>
        </row>
        <row r="219">
          <cell r="L219" t="str">
            <v>2P</v>
          </cell>
          <cell r="S219">
            <v>45</v>
          </cell>
        </row>
        <row r="220">
          <cell r="L220" t="str">
            <v>2P</v>
          </cell>
          <cell r="S220">
            <v>30</v>
          </cell>
        </row>
        <row r="221">
          <cell r="L221" t="str">
            <v>2P</v>
          </cell>
          <cell r="S221">
            <v>45</v>
          </cell>
        </row>
        <row r="222">
          <cell r="L222" t="str">
            <v>2P</v>
          </cell>
          <cell r="S222">
            <v>45</v>
          </cell>
        </row>
        <row r="223">
          <cell r="L223" t="str">
            <v>2P</v>
          </cell>
          <cell r="S223">
            <v>60</v>
          </cell>
        </row>
        <row r="224">
          <cell r="L224" t="str">
            <v>2P</v>
          </cell>
          <cell r="S224">
            <v>60</v>
          </cell>
        </row>
        <row r="225">
          <cell r="L225" t="str">
            <v>2P</v>
          </cell>
          <cell r="S225">
            <v>60</v>
          </cell>
        </row>
        <row r="226">
          <cell r="L226" t="str">
            <v>2P</v>
          </cell>
          <cell r="S226">
            <v>50</v>
          </cell>
        </row>
        <row r="227">
          <cell r="L227" t="str">
            <v>2P</v>
          </cell>
          <cell r="S227">
            <v>50</v>
          </cell>
        </row>
        <row r="228">
          <cell r="L228" t="str">
            <v>2P</v>
          </cell>
          <cell r="S228">
            <v>50</v>
          </cell>
        </row>
        <row r="229">
          <cell r="L229" t="str">
            <v>2P</v>
          </cell>
          <cell r="S229">
            <v>50</v>
          </cell>
        </row>
        <row r="230">
          <cell r="L230" t="str">
            <v>2P</v>
          </cell>
          <cell r="S230">
            <v>60</v>
          </cell>
        </row>
        <row r="231">
          <cell r="L231" t="str">
            <v>2P</v>
          </cell>
          <cell r="S231">
            <v>60</v>
          </cell>
        </row>
        <row r="232">
          <cell r="L232" t="str">
            <v>2P</v>
          </cell>
          <cell r="S232">
            <v>60</v>
          </cell>
        </row>
        <row r="233">
          <cell r="L233" t="str">
            <v>2P</v>
          </cell>
          <cell r="S233">
            <v>70</v>
          </cell>
        </row>
        <row r="234">
          <cell r="L234" t="str">
            <v>2P</v>
          </cell>
          <cell r="S234">
            <v>40</v>
          </cell>
        </row>
        <row r="243">
          <cell r="L243" t="str">
            <v>2P</v>
          </cell>
          <cell r="S243">
            <v>40</v>
          </cell>
        </row>
        <row r="244">
          <cell r="L244" t="str">
            <v>2P</v>
          </cell>
          <cell r="S244">
            <v>50</v>
          </cell>
        </row>
        <row r="245">
          <cell r="L245" t="str">
            <v>2P</v>
          </cell>
        </row>
        <row r="246">
          <cell r="L246" t="str">
            <v>2P</v>
          </cell>
          <cell r="S246">
            <v>30</v>
          </cell>
        </row>
        <row r="247">
          <cell r="L247" t="str">
            <v>2P</v>
          </cell>
          <cell r="S247">
            <v>30</v>
          </cell>
        </row>
        <row r="248">
          <cell r="L248" t="str">
            <v>2P</v>
          </cell>
          <cell r="S248">
            <v>30</v>
          </cell>
        </row>
        <row r="249">
          <cell r="L249" t="str">
            <v>20C</v>
          </cell>
          <cell r="S249">
            <v>170</v>
          </cell>
        </row>
        <row r="250">
          <cell r="L250" t="str">
            <v>20C</v>
          </cell>
          <cell r="S250">
            <v>170</v>
          </cell>
        </row>
        <row r="251">
          <cell r="L251" t="str">
            <v>20C</v>
          </cell>
          <cell r="S251">
            <v>170</v>
          </cell>
        </row>
        <row r="252">
          <cell r="L252" t="str">
            <v>2OC</v>
          </cell>
          <cell r="S252">
            <v>170</v>
          </cell>
        </row>
        <row r="253">
          <cell r="L253" t="str">
            <v>8P</v>
          </cell>
          <cell r="S253">
            <v>170</v>
          </cell>
        </row>
        <row r="254">
          <cell r="L254" t="str">
            <v>8P</v>
          </cell>
          <cell r="S254">
            <v>170</v>
          </cell>
        </row>
        <row r="255">
          <cell r="L255" t="str">
            <v>30C</v>
          </cell>
          <cell r="S255">
            <v>200</v>
          </cell>
        </row>
        <row r="256">
          <cell r="L256" t="str">
            <v>30C</v>
          </cell>
          <cell r="S256">
            <v>200</v>
          </cell>
        </row>
        <row r="257">
          <cell r="L257" t="str">
            <v>30C</v>
          </cell>
          <cell r="S257">
            <v>200</v>
          </cell>
        </row>
        <row r="258">
          <cell r="L258" t="str">
            <v>30C</v>
          </cell>
          <cell r="S258">
            <v>220</v>
          </cell>
        </row>
        <row r="259">
          <cell r="L259" t="str">
            <v>30C</v>
          </cell>
          <cell r="S259">
            <v>220</v>
          </cell>
        </row>
        <row r="260">
          <cell r="L260" t="str">
            <v>30C</v>
          </cell>
          <cell r="S260">
            <v>220</v>
          </cell>
        </row>
        <row r="261">
          <cell r="L261" t="str">
            <v>20C</v>
          </cell>
          <cell r="S261">
            <v>170</v>
          </cell>
        </row>
        <row r="262">
          <cell r="L262" t="str">
            <v>20C</v>
          </cell>
          <cell r="S262">
            <v>170</v>
          </cell>
        </row>
        <row r="263">
          <cell r="L263" t="str">
            <v>12P</v>
          </cell>
          <cell r="S263">
            <v>170</v>
          </cell>
        </row>
        <row r="264">
          <cell r="L264" t="str">
            <v>12P</v>
          </cell>
          <cell r="S264">
            <v>170</v>
          </cell>
        </row>
        <row r="265">
          <cell r="L265" t="str">
            <v>12P</v>
          </cell>
          <cell r="S265">
            <v>170</v>
          </cell>
        </row>
        <row r="266">
          <cell r="L266" t="str">
            <v>12P</v>
          </cell>
          <cell r="S266">
            <v>170</v>
          </cell>
        </row>
        <row r="267">
          <cell r="L267" t="str">
            <v>12P</v>
          </cell>
          <cell r="S267">
            <v>170</v>
          </cell>
        </row>
        <row r="268">
          <cell r="L268" t="str">
            <v>12P</v>
          </cell>
          <cell r="S268">
            <v>170</v>
          </cell>
        </row>
        <row r="277">
          <cell r="L277" t="str">
            <v>12P</v>
          </cell>
          <cell r="S277">
            <v>170</v>
          </cell>
        </row>
        <row r="278">
          <cell r="L278" t="str">
            <v>12P</v>
          </cell>
          <cell r="S278">
            <v>170</v>
          </cell>
        </row>
        <row r="279">
          <cell r="L279" t="str">
            <v>12P</v>
          </cell>
          <cell r="S279">
            <v>170</v>
          </cell>
        </row>
        <row r="280">
          <cell r="L280" t="str">
            <v>8P</v>
          </cell>
          <cell r="S280">
            <v>140</v>
          </cell>
        </row>
        <row r="281">
          <cell r="L281" t="str">
            <v>4P</v>
          </cell>
          <cell r="S281">
            <v>140</v>
          </cell>
        </row>
        <row r="282">
          <cell r="L282" t="str">
            <v>30C</v>
          </cell>
          <cell r="S282">
            <v>170</v>
          </cell>
        </row>
        <row r="283">
          <cell r="L283" t="str">
            <v>30C</v>
          </cell>
          <cell r="S283">
            <v>220</v>
          </cell>
        </row>
        <row r="284">
          <cell r="L284" t="str">
            <v>2C</v>
          </cell>
          <cell r="S284">
            <v>80</v>
          </cell>
        </row>
        <row r="285">
          <cell r="L285" t="str">
            <v>8P</v>
          </cell>
          <cell r="S285">
            <v>200</v>
          </cell>
        </row>
        <row r="286">
          <cell r="L286" t="str">
            <v>2P</v>
          </cell>
        </row>
        <row r="287">
          <cell r="L287" t="str">
            <v>2P</v>
          </cell>
        </row>
        <row r="288">
          <cell r="L288" t="str">
            <v>2P</v>
          </cell>
        </row>
        <row r="289">
          <cell r="L289" t="str">
            <v>2P</v>
          </cell>
        </row>
        <row r="290">
          <cell r="L290" t="str">
            <v>2P</v>
          </cell>
        </row>
        <row r="291">
          <cell r="L291" t="str">
            <v>2P</v>
          </cell>
        </row>
        <row r="292">
          <cell r="L292" t="str">
            <v>2P</v>
          </cell>
        </row>
        <row r="293">
          <cell r="L293" t="str">
            <v>2P</v>
          </cell>
        </row>
        <row r="294">
          <cell r="L294" t="str">
            <v>2P</v>
          </cell>
        </row>
        <row r="295">
          <cell r="L295" t="str">
            <v>2P</v>
          </cell>
        </row>
        <row r="296">
          <cell r="L296" t="str">
            <v>2C</v>
          </cell>
        </row>
        <row r="297">
          <cell r="L297" t="str">
            <v>2C</v>
          </cell>
        </row>
        <row r="298">
          <cell r="L298" t="str">
            <v>2C</v>
          </cell>
        </row>
        <row r="299">
          <cell r="L299" t="str">
            <v>2C</v>
          </cell>
        </row>
        <row r="300">
          <cell r="L300" t="str">
            <v>2C</v>
          </cell>
        </row>
        <row r="301">
          <cell r="L301" t="str">
            <v>2C</v>
          </cell>
        </row>
        <row r="302">
          <cell r="L302" t="str">
            <v>2C</v>
          </cell>
        </row>
        <row r="303">
          <cell r="L303" t="str">
            <v>2C</v>
          </cell>
        </row>
        <row r="304">
          <cell r="L304" t="str">
            <v>2C</v>
          </cell>
        </row>
        <row r="305">
          <cell r="L305" t="str">
            <v>2C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  <sheetName val="Page2"/>
      <sheetName val="Horiz. Pump"/>
      <sheetName val="Mechanical Seal"/>
    </sheetNames>
    <sheetDataSet>
      <sheetData sheetId="0" refreshError="1"/>
      <sheetData sheetId="1">
        <row r="19">
          <cell r="AQ19" t="str">
            <v>Hazardous</v>
          </cell>
        </row>
        <row r="20">
          <cell r="AQ20" t="str">
            <v>Flammable</v>
          </cell>
        </row>
        <row r="21">
          <cell r="AQ21" t="str">
            <v>Hazardous &amp; Flammable</v>
          </cell>
        </row>
        <row r="27">
          <cell r="AQ27" t="str">
            <v>Centerline of pump</v>
          </cell>
        </row>
        <row r="28">
          <cell r="AQ28" t="str">
            <v>Suction Nozzle</v>
          </cell>
        </row>
        <row r="29">
          <cell r="AQ29" t="str">
            <v>Top of Foundation</v>
          </cell>
        </row>
        <row r="60">
          <cell r="AQ60" t="str">
            <v>Dust</v>
          </cell>
        </row>
        <row r="61">
          <cell r="AQ61" t="str">
            <v>Fumes</v>
          </cell>
        </row>
        <row r="62">
          <cell r="AQ62" t="str">
            <v>Dust + Fumes</v>
          </cell>
        </row>
      </sheetData>
      <sheetData sheetId="2" refreshError="1"/>
      <sheetData sheetId="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vl"/>
      <sheetName val="dgct"/>
      <sheetName val="dtct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9">
          <cell r="N9">
            <v>118182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DB1"/>
      <sheetName val="Sheets"/>
      <sheetName val="ChFw"/>
      <sheetName val="Datas"/>
      <sheetName val="price"/>
      <sheetName val="Sup.Price"/>
      <sheetName val="TPA"/>
      <sheetName val="suprate"/>
      <sheetName val="Sup.schdl"/>
      <sheetName val="Frt pg"/>
      <sheetName val="Letter"/>
      <sheetName val="sum"/>
      <sheetName val="Spare"/>
      <sheetName val="Tools"/>
      <sheetName val="Sales cdt"/>
      <sheetName val="Sup"/>
      <sheetName val="traing"/>
      <sheetName val="Los"/>
      <sheetName val="Auth."/>
      <sheetName val="Desc."/>
      <sheetName val="TData"/>
      <sheetName val="Ref."/>
      <sheetName val="C&amp;Dev."/>
      <sheetName val="Jb Schdl."/>
      <sheetName val="TTE31"/>
      <sheetName val="Fax"/>
      <sheetName val="tps superv"/>
      <sheetName val="TCR"/>
      <sheetName val="cables"/>
      <sheetName val="CT's"/>
      <sheetName val="Prot."/>
      <sheetName val="Instruc."/>
      <sheetName val="Sup_Price"/>
      <sheetName val="Sup_schdl"/>
      <sheetName val="Frt_pg"/>
      <sheetName val="Sales_cdt"/>
      <sheetName val="Auth_"/>
      <sheetName val="Desc_"/>
      <sheetName val="Ref_"/>
      <sheetName val="C&amp;Dev_"/>
      <sheetName val="Jb_Schdl_"/>
      <sheetName val="tps_superv"/>
      <sheetName val="Prot_"/>
      <sheetName val="Instruc_"/>
      <sheetName val="Sup_Price1"/>
      <sheetName val="Sup_schdl1"/>
      <sheetName val="Frt_pg1"/>
      <sheetName val="Sales_cdt1"/>
      <sheetName val="Auth_1"/>
      <sheetName val="Desc_1"/>
      <sheetName val="Ref_1"/>
      <sheetName val="C&amp;Dev_1"/>
      <sheetName val="Jb_Schdl_1"/>
      <sheetName val="tps_superv1"/>
      <sheetName val="Prot_1"/>
      <sheetName val="Instruc_1"/>
      <sheetName val="Sup_Price2"/>
      <sheetName val="Sup_schdl2"/>
      <sheetName val="Frt_pg2"/>
      <sheetName val="Sales_cdt2"/>
      <sheetName val="Auth_2"/>
      <sheetName val="Desc_2"/>
      <sheetName val="Ref_2"/>
      <sheetName val="C&amp;Dev_2"/>
      <sheetName val="Jb_Schdl_2"/>
      <sheetName val="tps_superv2"/>
      <sheetName val="Prot_2"/>
      <sheetName val="Instruc_2"/>
      <sheetName val="Sup_Price3"/>
      <sheetName val="Sup_schdl3"/>
      <sheetName val="Frt_pg3"/>
      <sheetName val="Sales_cdt3"/>
      <sheetName val="Auth_3"/>
      <sheetName val="Desc_3"/>
      <sheetName val="Ref_3"/>
      <sheetName val="C&amp;Dev_3"/>
      <sheetName val="Jb_Schdl_3"/>
      <sheetName val="tps_superv3"/>
      <sheetName val="Prot_3"/>
      <sheetName val="Instruc_3"/>
    </sheetNames>
    <sheetDataSet>
      <sheetData sheetId="0" refreshError="1"/>
      <sheetData sheetId="1" refreshError="1">
        <row r="1">
          <cell r="D1">
            <v>1</v>
          </cell>
          <cell r="BN1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f_MEI+Civil_R01"/>
      <sheetName val="6,000"/>
      <sheetName val="PRICES"/>
      <sheetName val="CAT_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pile cap"/>
      <sheetName val="col stump &amp; col"/>
      <sheetName val="grd bm"/>
      <sheetName val="susp bm"/>
      <sheetName val="grd slab"/>
      <sheetName val="pile cap ratio"/>
      <sheetName val="col stump &amp; col ratio"/>
      <sheetName val="grd bm ratio"/>
      <sheetName val="susp bm ratio"/>
      <sheetName val="grd slab ratio"/>
      <sheetName val="summary"/>
      <sheetName val="susp slab"/>
      <sheetName val="susp slab ratio"/>
      <sheetName val="wall"/>
      <sheetName val="wall ratio"/>
      <sheetName val="stair flight"/>
      <sheetName val="other"/>
      <sheetName val="No. 14"/>
      <sheetName val="No. 18"/>
      <sheetName val="No. 19a"/>
      <sheetName val="No. 19"/>
      <sheetName val="No. 20"/>
      <sheetName val="No. 21"/>
      <sheetName val="No. 6"/>
      <sheetName val="No. 7"/>
      <sheetName val="No. 8"/>
      <sheetName val="No. 9"/>
      <sheetName val="No. 10"/>
      <sheetName val="No. 11"/>
      <sheetName val="No. 13"/>
      <sheetName val="door &amp; window schedule "/>
      <sheetName val="door &amp; window (sorted)"/>
      <sheetName val="door &amp; window area"/>
      <sheetName val="fitment schedule "/>
      <sheetName val="cabinet"/>
      <sheetName val="grille schedule"/>
      <sheetName val="grille  (sorted)"/>
      <sheetName val="blinds"/>
      <sheetName val="bq"/>
    </sheetNames>
    <sheetDataSet>
      <sheetData sheetId="0" refreshError="1"/>
      <sheetData sheetId="1" refreshError="1">
        <row r="15">
          <cell r="E15" t="str">
            <v>State</v>
          </cell>
        </row>
        <row r="22">
          <cell r="E22" t="str">
            <v>State</v>
          </cell>
        </row>
        <row r="23">
          <cell r="E23">
            <v>0</v>
          </cell>
        </row>
        <row r="24">
          <cell r="D24" t="b">
            <v>1</v>
          </cell>
        </row>
        <row r="27">
          <cell r="G27">
            <v>7</v>
          </cell>
        </row>
        <row r="28">
          <cell r="D28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king-off sheet"/>
      <sheetName val="introduction"/>
      <sheetName val="pile cap"/>
      <sheetName val="column"/>
      <sheetName val="beam"/>
      <sheetName val="slab"/>
      <sheetName val="wal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 3"/>
      <sheetName val="PAGE 4"/>
    </sheetNames>
    <sheetDataSet>
      <sheetData sheetId="0">
        <row r="9">
          <cell r="E9" t="str">
            <v>Amine Absorber Knock Out Drum</v>
          </cell>
        </row>
      </sheetData>
      <sheetData sheetId="1"/>
      <sheetData sheetId="2"/>
      <sheetData sheetId="3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건축"/>
      <sheetName val="BOQ건축 (alt) "/>
      <sheetName val="BOQ건축 (mod)"/>
      <sheetName val="BOQ건축 (mod,alt)"/>
      <sheetName val="BOQ전체 (mod후 대비내역)"/>
      <sheetName val="BOQ 전체(mod후 대비내역,alt) "/>
      <sheetName val="Conditions"/>
      <sheetName val="Sheet1"/>
      <sheetName val="잘라낸셀보관장소"/>
      <sheetName val="환율참조"/>
      <sheetName val="Window Options"/>
    </sheetNames>
    <sheetDataSet>
      <sheetData sheetId="0">
        <row r="282">
          <cell r="E282" t="str">
            <v>Door Sills</v>
          </cell>
        </row>
        <row r="954">
          <cell r="E954" t="str">
            <v>Door Sills</v>
          </cell>
        </row>
        <row r="1151">
          <cell r="E1151" t="str">
            <v>Door Sills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inat"/>
      <sheetName val="BBP"/>
      <sheetName val="RELAYS"/>
      <sheetName val="DATA"/>
    </sheetNames>
    <sheetDataSet>
      <sheetData sheetId="0" refreshError="1"/>
      <sheetData sheetId="1"/>
      <sheetData sheetId="2">
        <row r="70">
          <cell r="M70">
            <v>2200</v>
          </cell>
        </row>
      </sheetData>
      <sheetData sheetId="3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원가집계표"/>
      <sheetName val="EX-R"/>
      <sheetName val="ITEM"/>
    </sheetNames>
    <definedNames>
      <definedName name="N3L" refersTo="#REF!" sheetId="0"/>
      <definedName name="NAT" refersTo="#REF!" sheetId="0"/>
      <definedName name="NXL" refersTo="#REF!" sheetId="0"/>
      <definedName name="SET" refersTo="#REF!" sheetId="0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EZSU"/>
      <sheetName val="LLEGADA"/>
      <sheetName val="DESBASTE"/>
      <sheetName val="Details"/>
      <sheetName val="Unit Cost"/>
      <sheetName val="summary"/>
      <sheetName val="DESB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EGADA"/>
      <sheetName val="DESBASTE"/>
      <sheetName val="Unit Co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Eng.hour_DB"/>
      <sheetName val="Ordercost"/>
      <sheetName val="Subc_Cost"/>
      <sheetName val="Fab_Sup"/>
      <sheetName val="Commiss."/>
      <sheetName val="Training"/>
      <sheetName val="Erect_sup"/>
    </sheetNames>
    <sheetDataSet>
      <sheetData sheetId="0"/>
      <sheetData sheetId="1">
        <row r="2">
          <cell r="A2">
            <v>101</v>
          </cell>
          <cell r="B2" t="str">
            <v xml:space="preserve">Add. per add.press. </v>
          </cell>
          <cell r="E2">
            <v>50</v>
          </cell>
        </row>
        <row r="3">
          <cell r="A3">
            <v>107</v>
          </cell>
          <cell r="B3" t="str">
            <v>System descriptions</v>
          </cell>
          <cell r="F3">
            <v>80</v>
          </cell>
          <cell r="G3">
            <v>0</v>
          </cell>
          <cell r="H3">
            <v>0</v>
          </cell>
        </row>
        <row r="4">
          <cell r="A4">
            <v>108</v>
          </cell>
          <cell r="B4" t="str">
            <v>Harp assembly</v>
          </cell>
          <cell r="G4">
            <v>80</v>
          </cell>
          <cell r="H4">
            <v>0</v>
          </cell>
        </row>
        <row r="5">
          <cell r="A5">
            <v>120</v>
          </cell>
          <cell r="B5" t="str">
            <v>Boiler casing, per section</v>
          </cell>
          <cell r="G5">
            <v>75</v>
          </cell>
        </row>
        <row r="6">
          <cell r="A6">
            <v>180</v>
          </cell>
          <cell r="B6" t="str">
            <v>Bumpers &amp; baffles, field inst.</v>
          </cell>
          <cell r="G6">
            <v>200</v>
          </cell>
          <cell r="H6">
            <v>600</v>
          </cell>
        </row>
        <row r="7">
          <cell r="A7">
            <v>192</v>
          </cell>
          <cell r="B7" t="str">
            <v>LP Steamdrum</v>
          </cell>
          <cell r="F7">
            <v>20</v>
          </cell>
          <cell r="G7">
            <v>100</v>
          </cell>
          <cell r="H7">
            <v>120</v>
          </cell>
          <cell r="J7" t="str">
            <v>Based on HNC boiler, FC -40 hours</v>
          </cell>
        </row>
        <row r="8">
          <cell r="A8">
            <v>193</v>
          </cell>
          <cell r="B8" t="str">
            <v>LP Steamdrum + deaerator tank</v>
          </cell>
          <cell r="F8">
            <v>30</v>
          </cell>
          <cell r="G8">
            <v>100</v>
          </cell>
          <cell r="H8">
            <v>150</v>
          </cell>
        </row>
        <row r="9">
          <cell r="A9">
            <v>203</v>
          </cell>
          <cell r="B9" t="str">
            <v>Flow model test</v>
          </cell>
          <cell r="F9">
            <v>80</v>
          </cell>
        </row>
        <row r="10">
          <cell r="A10">
            <v>290</v>
          </cell>
          <cell r="B10" t="str">
            <v>Exp. bellow GT outlet</v>
          </cell>
          <cell r="F10">
            <v>20</v>
          </cell>
        </row>
        <row r="11">
          <cell r="A11">
            <v>293</v>
          </cell>
          <cell r="B11" t="str">
            <v>Exp. bellows diverter 3 pcs</v>
          </cell>
          <cell r="F11">
            <v>20</v>
          </cell>
        </row>
        <row r="12">
          <cell r="A12">
            <v>294</v>
          </cell>
          <cell r="B12" t="str">
            <v>Exp. bellow boiler inlet</v>
          </cell>
          <cell r="F12">
            <v>20</v>
          </cell>
        </row>
        <row r="13">
          <cell r="A13">
            <v>295</v>
          </cell>
          <cell r="B13" t="str">
            <v>Exp. bellow burner</v>
          </cell>
          <cell r="F13">
            <v>20</v>
          </cell>
        </row>
        <row r="14">
          <cell r="A14">
            <v>296</v>
          </cell>
          <cell r="B14" t="str">
            <v>Exp. bellow boiler outlet</v>
          </cell>
          <cell r="F14">
            <v>20</v>
          </cell>
        </row>
        <row r="15">
          <cell r="A15">
            <v>330</v>
          </cell>
          <cell r="B15" t="str">
            <v>Pipebridge</v>
          </cell>
          <cell r="G15">
            <v>40</v>
          </cell>
          <cell r="H15">
            <v>160</v>
          </cell>
          <cell r="J15" t="str">
            <v>In general subcontracted</v>
          </cell>
        </row>
        <row r="16">
          <cell r="A16">
            <v>340</v>
          </cell>
          <cell r="B16" t="str">
            <v>Pumpframes</v>
          </cell>
          <cell r="G16">
            <v>40</v>
          </cell>
          <cell r="H16">
            <v>0</v>
          </cell>
        </row>
        <row r="17">
          <cell r="A17">
            <v>350</v>
          </cell>
          <cell r="B17" t="str">
            <v>Steamdrum oper. platforms</v>
          </cell>
          <cell r="J17" t="str">
            <v>by subcontractor</v>
          </cell>
        </row>
        <row r="18">
          <cell r="A18">
            <v>355</v>
          </cell>
          <cell r="B18" t="str">
            <v>Sunshade / canopies</v>
          </cell>
          <cell r="G18">
            <v>20</v>
          </cell>
          <cell r="J18" t="str">
            <v>by subcontractor</v>
          </cell>
        </row>
        <row r="19">
          <cell r="A19">
            <v>360</v>
          </cell>
          <cell r="B19" t="str">
            <v>Building struct. steel</v>
          </cell>
          <cell r="G19">
            <v>50</v>
          </cell>
          <cell r="J19" t="str">
            <v>by subcontractor</v>
          </cell>
        </row>
        <row r="20">
          <cell r="A20">
            <v>361</v>
          </cell>
          <cell r="B20" t="str">
            <v>Stairway &amp; platforms boilerhouse</v>
          </cell>
          <cell r="G20">
            <v>20</v>
          </cell>
          <cell r="J20" t="str">
            <v>by subcontractor</v>
          </cell>
        </row>
        <row r="21">
          <cell r="A21">
            <v>470</v>
          </cell>
          <cell r="B21" t="str">
            <v>Fieldrun piping</v>
          </cell>
          <cell r="J21" t="str">
            <v>included in 410</v>
          </cell>
        </row>
        <row r="22">
          <cell r="A22">
            <v>511</v>
          </cell>
          <cell r="B22" t="str">
            <v>IP Circulation pumps</v>
          </cell>
          <cell r="F22">
            <v>60</v>
          </cell>
        </row>
        <row r="23">
          <cell r="A23">
            <v>516</v>
          </cell>
          <cell r="B23" t="str">
            <v>IP/LP Feedwaterpump</v>
          </cell>
          <cell r="F23">
            <v>80</v>
          </cell>
        </row>
        <row r="24">
          <cell r="A24">
            <v>541</v>
          </cell>
          <cell r="B24" t="str">
            <v>Ammonia inj. system</v>
          </cell>
          <cell r="F24">
            <v>40</v>
          </cell>
        </row>
        <row r="25">
          <cell r="A25">
            <v>542</v>
          </cell>
          <cell r="B25" t="str">
            <v>Water washing system</v>
          </cell>
          <cell r="F25">
            <v>40</v>
          </cell>
        </row>
        <row r="26">
          <cell r="A26">
            <v>546</v>
          </cell>
          <cell r="B26" t="str">
            <v>Inspection cradle stack</v>
          </cell>
          <cell r="F26">
            <v>20</v>
          </cell>
        </row>
        <row r="27">
          <cell r="A27">
            <v>547</v>
          </cell>
          <cell r="B27" t="str">
            <v>Electr. hoist for valves</v>
          </cell>
          <cell r="F27">
            <v>16</v>
          </cell>
        </row>
        <row r="28">
          <cell r="A28">
            <v>547</v>
          </cell>
          <cell r="B28" t="str">
            <v>Permanent hoisting equipment</v>
          </cell>
          <cell r="F28">
            <v>32</v>
          </cell>
        </row>
        <row r="29">
          <cell r="A29">
            <v>548</v>
          </cell>
          <cell r="B29" t="str">
            <v>Elevator system</v>
          </cell>
          <cell r="F29">
            <v>120</v>
          </cell>
          <cell r="G29">
            <v>20</v>
          </cell>
        </row>
        <row r="30">
          <cell r="A30">
            <v>561</v>
          </cell>
          <cell r="B30" t="str">
            <v>Steam bypass system</v>
          </cell>
          <cell r="F30">
            <v>120</v>
          </cell>
        </row>
        <row r="31">
          <cell r="A31">
            <v>562</v>
          </cell>
          <cell r="B31" t="str">
            <v>Heat exchanger</v>
          </cell>
          <cell r="F31">
            <v>20</v>
          </cell>
        </row>
        <row r="32">
          <cell r="A32">
            <v>564</v>
          </cell>
          <cell r="B32" t="str">
            <v>Heat exchanger cooling water</v>
          </cell>
          <cell r="F32">
            <v>20</v>
          </cell>
        </row>
        <row r="33">
          <cell r="A33">
            <v>565</v>
          </cell>
          <cell r="B33" t="str">
            <v>External heat exchanger</v>
          </cell>
          <cell r="F33">
            <v>20</v>
          </cell>
        </row>
        <row r="34">
          <cell r="A34">
            <v>576</v>
          </cell>
          <cell r="B34" t="str">
            <v>CO catalyst</v>
          </cell>
          <cell r="F34">
            <v>100</v>
          </cell>
          <cell r="G34">
            <v>15</v>
          </cell>
          <cell r="H34">
            <v>45</v>
          </cell>
        </row>
        <row r="35">
          <cell r="A35">
            <v>577</v>
          </cell>
          <cell r="B35" t="str">
            <v>SCR system</v>
          </cell>
          <cell r="F35">
            <v>100</v>
          </cell>
          <cell r="G35">
            <v>20</v>
          </cell>
          <cell r="H35">
            <v>130</v>
          </cell>
        </row>
        <row r="36">
          <cell r="A36">
            <v>630</v>
          </cell>
          <cell r="B36" t="str">
            <v>Dirty drain tank</v>
          </cell>
          <cell r="F36">
            <v>20</v>
          </cell>
          <cell r="G36">
            <v>20</v>
          </cell>
          <cell r="H36">
            <v>40</v>
          </cell>
        </row>
        <row r="37">
          <cell r="A37">
            <v>640</v>
          </cell>
          <cell r="B37" t="str">
            <v>Clean drain tank</v>
          </cell>
          <cell r="F37">
            <v>20</v>
          </cell>
          <cell r="G37">
            <v>20</v>
          </cell>
          <cell r="H37">
            <v>40</v>
          </cell>
        </row>
        <row r="38">
          <cell r="A38">
            <v>660</v>
          </cell>
          <cell r="B38" t="str">
            <v>Condensate make up water tank</v>
          </cell>
          <cell r="F38">
            <v>20</v>
          </cell>
          <cell r="G38">
            <v>20</v>
          </cell>
          <cell r="H38">
            <v>40</v>
          </cell>
        </row>
        <row r="39">
          <cell r="A39">
            <v>670</v>
          </cell>
          <cell r="B39" t="str">
            <v>Aux. boiler</v>
          </cell>
          <cell r="F39">
            <v>400</v>
          </cell>
        </row>
        <row r="40">
          <cell r="A40">
            <v>680</v>
          </cell>
          <cell r="B40" t="str">
            <v>Ammonia storage tanks</v>
          </cell>
          <cell r="F40">
            <v>20</v>
          </cell>
          <cell r="G40">
            <v>20</v>
          </cell>
          <cell r="H40">
            <v>60</v>
          </cell>
        </row>
        <row r="41">
          <cell r="A41">
            <v>707</v>
          </cell>
          <cell r="B41" t="str">
            <v>Site facilities : hardware</v>
          </cell>
          <cell r="F41">
            <v>40</v>
          </cell>
        </row>
        <row r="42">
          <cell r="A42">
            <v>708</v>
          </cell>
          <cell r="B42" t="str">
            <v>Site consumables</v>
          </cell>
          <cell r="F42">
            <v>40</v>
          </cell>
        </row>
        <row r="43">
          <cell r="A43">
            <v>731</v>
          </cell>
          <cell r="B43" t="str">
            <v>FOB/FAS/CIF cost</v>
          </cell>
        </row>
        <row r="44">
          <cell r="A44">
            <v>732</v>
          </cell>
          <cell r="B44" t="str">
            <v>Transportcost free issue mat's</v>
          </cell>
        </row>
        <row r="45">
          <cell r="A45">
            <v>733</v>
          </cell>
          <cell r="B45" t="str">
            <v>Transport cost prefabs</v>
          </cell>
        </row>
        <row r="46">
          <cell r="A46">
            <v>734</v>
          </cell>
          <cell r="B46" t="str">
            <v>Transport cost BOI's</v>
          </cell>
        </row>
        <row r="47">
          <cell r="A47">
            <v>735</v>
          </cell>
          <cell r="B47" t="str">
            <v>Port charges &amp; handling fee</v>
          </cell>
        </row>
        <row r="48">
          <cell r="A48">
            <v>736</v>
          </cell>
          <cell r="B48" t="str">
            <v>Transport POI to ,,,, (site)</v>
          </cell>
        </row>
        <row r="49">
          <cell r="A49">
            <v>741</v>
          </cell>
          <cell r="B49" t="str">
            <v>N2 sytem</v>
          </cell>
          <cell r="F49">
            <v>16</v>
          </cell>
        </row>
        <row r="50">
          <cell r="A50">
            <v>742</v>
          </cell>
          <cell r="B50" t="str">
            <v>Electr. heater system</v>
          </cell>
          <cell r="F50">
            <v>8</v>
          </cell>
        </row>
        <row r="51">
          <cell r="A51">
            <v>745</v>
          </cell>
          <cell r="B51" t="str">
            <v>Hydro test at site</v>
          </cell>
          <cell r="F51">
            <v>40</v>
          </cell>
        </row>
        <row r="52">
          <cell r="A52">
            <v>746</v>
          </cell>
          <cell r="B52" t="str">
            <v>Boil out &amp; cleaning</v>
          </cell>
          <cell r="F52">
            <v>20</v>
          </cell>
        </row>
        <row r="53">
          <cell r="A53">
            <v>747</v>
          </cell>
          <cell r="B53" t="str">
            <v>Acid cleaning</v>
          </cell>
          <cell r="F53">
            <v>40</v>
          </cell>
        </row>
        <row r="54">
          <cell r="A54">
            <v>748</v>
          </cell>
          <cell r="B54" t="str">
            <v>Blow out boiler</v>
          </cell>
          <cell r="F54">
            <v>80</v>
          </cell>
        </row>
        <row r="55">
          <cell r="A55">
            <v>749</v>
          </cell>
          <cell r="B55" t="str">
            <v>Final painting</v>
          </cell>
          <cell r="F55">
            <v>20</v>
          </cell>
        </row>
        <row r="56">
          <cell r="A56">
            <v>780</v>
          </cell>
          <cell r="B56" t="str">
            <v>Commissioning assistance</v>
          </cell>
        </row>
        <row r="57">
          <cell r="A57">
            <v>800</v>
          </cell>
          <cell r="B57" t="str">
            <v>Turn key General</v>
          </cell>
          <cell r="F57">
            <v>250</v>
          </cell>
          <cell r="G57">
            <v>100</v>
          </cell>
          <cell r="H57">
            <v>150</v>
          </cell>
        </row>
        <row r="58">
          <cell r="A58">
            <v>801</v>
          </cell>
          <cell r="B58" t="str">
            <v>Mechanical calculations</v>
          </cell>
          <cell r="E58">
            <v>500</v>
          </cell>
        </row>
        <row r="59">
          <cell r="A59">
            <v>810</v>
          </cell>
          <cell r="B59" t="str">
            <v>HRSG package</v>
          </cell>
          <cell r="F59">
            <v>200</v>
          </cell>
        </row>
        <row r="60">
          <cell r="A60">
            <v>820</v>
          </cell>
          <cell r="B60" t="str">
            <v>GT package</v>
          </cell>
          <cell r="F60">
            <v>160</v>
          </cell>
        </row>
        <row r="61">
          <cell r="A61">
            <v>830</v>
          </cell>
          <cell r="B61" t="str">
            <v>ST Package</v>
          </cell>
          <cell r="F61">
            <v>160</v>
          </cell>
        </row>
        <row r="62">
          <cell r="A62">
            <v>835</v>
          </cell>
          <cell r="B62" t="str">
            <v>Demi water plant</v>
          </cell>
          <cell r="F62">
            <v>80</v>
          </cell>
        </row>
        <row r="63">
          <cell r="A63">
            <v>836</v>
          </cell>
          <cell r="B63" t="str">
            <v>Condensate polishing plant</v>
          </cell>
          <cell r="F63">
            <v>80</v>
          </cell>
        </row>
        <row r="64">
          <cell r="A64">
            <v>840</v>
          </cell>
          <cell r="B64" t="str">
            <v>Balance of plant</v>
          </cell>
          <cell r="F64">
            <v>750</v>
          </cell>
        </row>
        <row r="65">
          <cell r="A65">
            <v>841</v>
          </cell>
          <cell r="B65" t="str">
            <v>Plant piping</v>
          </cell>
          <cell r="F65">
            <v>1500</v>
          </cell>
        </row>
        <row r="66">
          <cell r="A66">
            <v>844</v>
          </cell>
          <cell r="B66" t="str">
            <v>Cooling water system</v>
          </cell>
          <cell r="F66">
            <v>80</v>
          </cell>
        </row>
        <row r="67">
          <cell r="A67">
            <v>845</v>
          </cell>
          <cell r="B67" t="str">
            <v>Condensor</v>
          </cell>
          <cell r="F67">
            <v>120</v>
          </cell>
        </row>
        <row r="68">
          <cell r="A68">
            <v>850</v>
          </cell>
          <cell r="B68" t="str">
            <v>Auxiliairy system</v>
          </cell>
          <cell r="F68">
            <v>120</v>
          </cell>
        </row>
        <row r="69">
          <cell r="A69">
            <v>855</v>
          </cell>
          <cell r="B69" t="str">
            <v>Fuel system</v>
          </cell>
          <cell r="F69">
            <v>120</v>
          </cell>
        </row>
        <row r="70">
          <cell r="A70">
            <v>860</v>
          </cell>
          <cell r="B70" t="str">
            <v>Feedwater system</v>
          </cell>
          <cell r="F70">
            <v>120</v>
          </cell>
        </row>
        <row r="71">
          <cell r="A71">
            <v>865</v>
          </cell>
          <cell r="B71" t="str">
            <v>Water treatment system</v>
          </cell>
          <cell r="F71">
            <v>120</v>
          </cell>
        </row>
        <row r="72">
          <cell r="A72">
            <v>870</v>
          </cell>
          <cell r="B72" t="str">
            <v>Erection</v>
          </cell>
          <cell r="F72">
            <v>200</v>
          </cell>
        </row>
        <row r="73">
          <cell r="A73">
            <v>871</v>
          </cell>
          <cell r="B73" t="str">
            <v>Erection HRSG</v>
          </cell>
          <cell r="F73">
            <v>40</v>
          </cell>
        </row>
        <row r="74">
          <cell r="A74">
            <v>872</v>
          </cell>
          <cell r="B74" t="str">
            <v>Erection GT</v>
          </cell>
          <cell r="F74">
            <v>40</v>
          </cell>
        </row>
        <row r="75">
          <cell r="A75">
            <v>873</v>
          </cell>
          <cell r="B75" t="str">
            <v>Erection ST</v>
          </cell>
          <cell r="F75">
            <v>40</v>
          </cell>
        </row>
        <row r="76">
          <cell r="A76">
            <v>874</v>
          </cell>
          <cell r="B76" t="str">
            <v>Erection BOP</v>
          </cell>
          <cell r="F76">
            <v>40</v>
          </cell>
        </row>
        <row r="77">
          <cell r="A77">
            <v>875</v>
          </cell>
          <cell r="B77" t="str">
            <v>Erection Aux. system</v>
          </cell>
          <cell r="F77">
            <v>40</v>
          </cell>
        </row>
        <row r="78">
          <cell r="A78">
            <v>876</v>
          </cell>
          <cell r="B78" t="str">
            <v>Erection water tr.system</v>
          </cell>
          <cell r="F78">
            <v>40</v>
          </cell>
        </row>
        <row r="79">
          <cell r="A79">
            <v>877</v>
          </cell>
          <cell r="B79" t="str">
            <v>Site facilities</v>
          </cell>
          <cell r="F79">
            <v>40</v>
          </cell>
        </row>
        <row r="80">
          <cell r="A80">
            <v>981</v>
          </cell>
          <cell r="B80" t="str">
            <v>Operation manuals</v>
          </cell>
          <cell r="F80">
            <v>120</v>
          </cell>
        </row>
        <row r="81">
          <cell r="A81">
            <v>985</v>
          </cell>
          <cell r="B81" t="str">
            <v>Performance test</v>
          </cell>
          <cell r="F81">
            <v>80</v>
          </cell>
        </row>
        <row r="82">
          <cell r="A82">
            <v>989</v>
          </cell>
          <cell r="B82" t="str">
            <v>Trainings manuals</v>
          </cell>
          <cell r="F82">
            <v>40</v>
          </cell>
        </row>
        <row r="83">
          <cell r="A83" t="str">
            <v>1*0</v>
          </cell>
          <cell r="B83" t="str">
            <v>Casing</v>
          </cell>
          <cell r="C83" t="str">
            <v>20 hours/section by NEM, rest = subc.</v>
          </cell>
        </row>
        <row r="84">
          <cell r="A84" t="str">
            <v>1*1</v>
          </cell>
          <cell r="B84" t="str">
            <v>Bundles</v>
          </cell>
          <cell r="C84" t="str">
            <v>by subc.</v>
          </cell>
        </row>
        <row r="85">
          <cell r="A85" t="str">
            <v>100-1</v>
          </cell>
          <cell r="B85" t="str">
            <v>General, 1 pr. boiler</v>
          </cell>
          <cell r="C85">
            <v>1250</v>
          </cell>
          <cell r="F85">
            <v>1000</v>
          </cell>
          <cell r="G85">
            <v>1000</v>
          </cell>
        </row>
        <row r="86">
          <cell r="A86" t="str">
            <v>100-2</v>
          </cell>
          <cell r="B86" t="str">
            <v>General, 2 pr. boiler</v>
          </cell>
          <cell r="C86">
            <v>1500</v>
          </cell>
          <cell r="F86">
            <v>1175</v>
          </cell>
          <cell r="G86">
            <v>1150</v>
          </cell>
        </row>
        <row r="87">
          <cell r="A87" t="str">
            <v>100-3</v>
          </cell>
          <cell r="B87" t="str">
            <v>General, 3 pr. boiler</v>
          </cell>
          <cell r="C87">
            <v>1600</v>
          </cell>
          <cell r="F87">
            <v>1350</v>
          </cell>
          <cell r="G87">
            <v>1375</v>
          </cell>
        </row>
        <row r="88">
          <cell r="A88" t="str">
            <v>100-e</v>
          </cell>
          <cell r="B88" t="str">
            <v>Expediting purch. dept.</v>
          </cell>
          <cell r="C88">
            <v>1000</v>
          </cell>
        </row>
        <row r="89">
          <cell r="A89" t="str">
            <v>100-g</v>
          </cell>
          <cell r="B89" t="str">
            <v>General</v>
          </cell>
          <cell r="J89" t="str">
            <v>Standard 35% of total hours, for Groupleader act's</v>
          </cell>
        </row>
        <row r="90">
          <cell r="A90" t="str">
            <v>101</v>
          </cell>
          <cell r="B90" t="str">
            <v>Mech. calcul.pressureparts</v>
          </cell>
          <cell r="E90">
            <v>300</v>
          </cell>
          <cell r="J90" t="str">
            <v>Based on ASME, other codes =extra</v>
          </cell>
        </row>
        <row r="91">
          <cell r="A91" t="str">
            <v>101-1</v>
          </cell>
          <cell r="B91" t="str">
            <v>Mech. calcul.pressureparts, 1 pr.</v>
          </cell>
          <cell r="E91">
            <v>300</v>
          </cell>
        </row>
        <row r="92">
          <cell r="A92" t="str">
            <v>101-2</v>
          </cell>
          <cell r="B92" t="str">
            <v>Mech. calcul.pressureparts, 2 pr.</v>
          </cell>
          <cell r="E92">
            <v>350</v>
          </cell>
        </row>
        <row r="93">
          <cell r="A93" t="str">
            <v>101-3</v>
          </cell>
          <cell r="B93" t="str">
            <v>Mech. calcul.pressureparts, 3 pr</v>
          </cell>
          <cell r="E93">
            <v>400</v>
          </cell>
        </row>
        <row r="94">
          <cell r="A94" t="str">
            <v>103</v>
          </cell>
          <cell r="B94" t="str">
            <v>Engineerings specifications</v>
          </cell>
          <cell r="F94">
            <v>250</v>
          </cell>
        </row>
        <row r="95">
          <cell r="A95" t="str">
            <v>103-1</v>
          </cell>
          <cell r="B95" t="str">
            <v>Engineerings specifications</v>
          </cell>
          <cell r="F95">
            <v>250</v>
          </cell>
        </row>
        <row r="96">
          <cell r="A96" t="str">
            <v>103-2</v>
          </cell>
          <cell r="B96" t="str">
            <v>Engineerings specif.2 pr</v>
          </cell>
          <cell r="F96">
            <v>350</v>
          </cell>
        </row>
        <row r="97">
          <cell r="A97" t="str">
            <v>103-3</v>
          </cell>
          <cell r="B97" t="str">
            <v>Engineerings specif.3 pr.</v>
          </cell>
          <cell r="F97">
            <v>450</v>
          </cell>
        </row>
        <row r="98">
          <cell r="A98" t="str">
            <v>104</v>
          </cell>
          <cell r="B98" t="str">
            <v>Proces flow diagrams P F D's</v>
          </cell>
          <cell r="F98">
            <v>30</v>
          </cell>
          <cell r="G98">
            <v>20</v>
          </cell>
        </row>
        <row r="99">
          <cell r="A99" t="str">
            <v>104-1</v>
          </cell>
          <cell r="B99" t="str">
            <v>Proces flow diagrams P F D's, 1  pr</v>
          </cell>
          <cell r="F99">
            <v>30</v>
          </cell>
          <cell r="G99">
            <v>20</v>
          </cell>
        </row>
        <row r="100">
          <cell r="A100" t="str">
            <v>104-2</v>
          </cell>
          <cell r="B100" t="str">
            <v>Proces flow diagrams P F D's, 2 pr</v>
          </cell>
          <cell r="F100">
            <v>35</v>
          </cell>
          <cell r="G100">
            <v>40</v>
          </cell>
        </row>
        <row r="101">
          <cell r="A101" t="str">
            <v>104-3</v>
          </cell>
          <cell r="B101" t="str">
            <v>Proces flow diagrams P F D's, 3 pr</v>
          </cell>
          <cell r="F101">
            <v>40</v>
          </cell>
          <cell r="G101">
            <v>60</v>
          </cell>
        </row>
        <row r="102">
          <cell r="A102" t="str">
            <v>105</v>
          </cell>
          <cell r="B102" t="str">
            <v>P &amp; ID's</v>
          </cell>
          <cell r="F102">
            <v>200</v>
          </cell>
          <cell r="G102">
            <v>150</v>
          </cell>
        </row>
        <row r="103">
          <cell r="A103" t="str">
            <v>105-1</v>
          </cell>
          <cell r="B103" t="str">
            <v>P &amp; ID's</v>
          </cell>
          <cell r="F103">
            <v>200</v>
          </cell>
          <cell r="G103">
            <v>125</v>
          </cell>
        </row>
        <row r="104">
          <cell r="A104" t="str">
            <v>105-2</v>
          </cell>
          <cell r="B104" t="str">
            <v>P &amp; ID's, 2 pr.</v>
          </cell>
          <cell r="F104">
            <v>250</v>
          </cell>
          <cell r="G104">
            <v>175</v>
          </cell>
        </row>
        <row r="105">
          <cell r="A105" t="str">
            <v>105-3</v>
          </cell>
          <cell r="B105" t="str">
            <v>P &amp; ID's, 3 pr.</v>
          </cell>
          <cell r="F105">
            <v>300</v>
          </cell>
          <cell r="G105">
            <v>225</v>
          </cell>
        </row>
        <row r="106">
          <cell r="A106" t="str">
            <v>106</v>
          </cell>
          <cell r="B106" t="str">
            <v>Arrangement pressureparts</v>
          </cell>
          <cell r="G106">
            <v>50</v>
          </cell>
          <cell r="H106">
            <v>100</v>
          </cell>
        </row>
        <row r="107">
          <cell r="A107" t="str">
            <v>106</v>
          </cell>
          <cell r="B107" t="str">
            <v>General arrangements</v>
          </cell>
          <cell r="C107" t="str">
            <v>40 hours by NEM, rest = subc.</v>
          </cell>
        </row>
        <row r="108">
          <cell r="A108" t="str">
            <v>106-1</v>
          </cell>
          <cell r="B108" t="str">
            <v>Arrangement pressureparts</v>
          </cell>
          <cell r="G108">
            <v>50</v>
          </cell>
          <cell r="H108">
            <v>100</v>
          </cell>
        </row>
        <row r="109">
          <cell r="A109" t="str">
            <v>106-2</v>
          </cell>
          <cell r="B109" t="str">
            <v>Arrangement pressureparts, 2 pr.</v>
          </cell>
          <cell r="G109">
            <v>70</v>
          </cell>
          <cell r="H109">
            <v>130</v>
          </cell>
        </row>
        <row r="110">
          <cell r="A110" t="str">
            <v>106-3</v>
          </cell>
          <cell r="B110" t="str">
            <v>Arrangement pressureparts, 3 pr.</v>
          </cell>
          <cell r="G110">
            <v>80</v>
          </cell>
          <cell r="H110">
            <v>170</v>
          </cell>
        </row>
        <row r="111">
          <cell r="A111" t="str">
            <v>108-1</v>
          </cell>
          <cell r="B111" t="str">
            <v>Harp drawings</v>
          </cell>
          <cell r="G111">
            <v>5</v>
          </cell>
          <cell r="H111">
            <v>25</v>
          </cell>
        </row>
        <row r="112">
          <cell r="A112" t="str">
            <v>108-10</v>
          </cell>
          <cell r="B112" t="str">
            <v>Harp drawings, 10 sections</v>
          </cell>
          <cell r="G112">
            <v>50</v>
          </cell>
          <cell r="H112">
            <v>25</v>
          </cell>
        </row>
        <row r="113">
          <cell r="A113" t="str">
            <v>108-11</v>
          </cell>
          <cell r="B113" t="str">
            <v>Harp drawings, 11 sections</v>
          </cell>
          <cell r="G113">
            <v>55</v>
          </cell>
          <cell r="H113">
            <v>275</v>
          </cell>
        </row>
        <row r="114">
          <cell r="A114" t="str">
            <v>108-12</v>
          </cell>
          <cell r="B114" t="str">
            <v>Harp drawings, 12 sections</v>
          </cell>
          <cell r="G114">
            <v>60</v>
          </cell>
          <cell r="H114">
            <v>300</v>
          </cell>
        </row>
        <row r="115">
          <cell r="A115" t="str">
            <v>108-13</v>
          </cell>
          <cell r="B115" t="str">
            <v>Harp drawings, 13 sections</v>
          </cell>
          <cell r="G115">
            <v>65</v>
          </cell>
          <cell r="H115">
            <v>325</v>
          </cell>
        </row>
        <row r="116">
          <cell r="A116" t="str">
            <v>108-14</v>
          </cell>
          <cell r="B116" t="str">
            <v>Harp drawings, 14 sections</v>
          </cell>
          <cell r="G116">
            <v>70</v>
          </cell>
          <cell r="H116">
            <v>350</v>
          </cell>
        </row>
        <row r="117">
          <cell r="A117" t="str">
            <v>108-15</v>
          </cell>
          <cell r="B117" t="str">
            <v>Harp drawings, 15 sections</v>
          </cell>
          <cell r="G117">
            <v>75</v>
          </cell>
          <cell r="H117">
            <v>375</v>
          </cell>
        </row>
        <row r="118">
          <cell r="A118" t="str">
            <v>108-16</v>
          </cell>
          <cell r="B118" t="str">
            <v>Harp drawings, 16 sections</v>
          </cell>
          <cell r="G118">
            <v>80</v>
          </cell>
          <cell r="H118">
            <v>400</v>
          </cell>
        </row>
        <row r="119">
          <cell r="A119" t="str">
            <v>108-17</v>
          </cell>
          <cell r="B119" t="str">
            <v>Harp drawings, 17 sections</v>
          </cell>
          <cell r="G119">
            <v>85</v>
          </cell>
          <cell r="H119">
            <v>425</v>
          </cell>
        </row>
        <row r="120">
          <cell r="A120" t="str">
            <v>108-18</v>
          </cell>
          <cell r="B120" t="str">
            <v>Harp drawings, 18 sections</v>
          </cell>
          <cell r="G120">
            <v>90</v>
          </cell>
          <cell r="H120">
            <v>450</v>
          </cell>
        </row>
        <row r="121">
          <cell r="A121" t="str">
            <v>108-19</v>
          </cell>
          <cell r="B121" t="str">
            <v>Harp drawings, 19 sections</v>
          </cell>
          <cell r="G121">
            <v>95</v>
          </cell>
          <cell r="H121">
            <v>475</v>
          </cell>
        </row>
        <row r="122">
          <cell r="A122" t="str">
            <v>108-2</v>
          </cell>
          <cell r="B122" t="str">
            <v>Harp drawings, 2 sections</v>
          </cell>
          <cell r="G122">
            <v>10</v>
          </cell>
          <cell r="H122">
            <v>50</v>
          </cell>
        </row>
        <row r="123">
          <cell r="A123" t="str">
            <v>108-20</v>
          </cell>
          <cell r="B123" t="str">
            <v>Harp drawings, 20 sections</v>
          </cell>
          <cell r="G123">
            <v>100</v>
          </cell>
          <cell r="H123">
            <v>500</v>
          </cell>
        </row>
        <row r="124">
          <cell r="A124" t="str">
            <v>108-21</v>
          </cell>
          <cell r="B124" t="str">
            <v>Harp drawings, 21 sections</v>
          </cell>
          <cell r="G124">
            <v>105</v>
          </cell>
          <cell r="H124">
            <v>525</v>
          </cell>
        </row>
        <row r="125">
          <cell r="A125" t="str">
            <v>108-3</v>
          </cell>
          <cell r="B125" t="str">
            <v>Harp drawings, 3 sections</v>
          </cell>
          <cell r="G125">
            <v>15</v>
          </cell>
          <cell r="H125">
            <v>75</v>
          </cell>
        </row>
        <row r="126">
          <cell r="A126" t="str">
            <v>108-4</v>
          </cell>
          <cell r="B126" t="str">
            <v>Harp drawings, 4 sections</v>
          </cell>
          <cell r="G126">
            <v>20</v>
          </cell>
          <cell r="H126">
            <v>100</v>
          </cell>
        </row>
        <row r="127">
          <cell r="A127" t="str">
            <v>108-5</v>
          </cell>
          <cell r="B127" t="str">
            <v>Harp drawings, 5 sections</v>
          </cell>
          <cell r="G127">
            <v>25</v>
          </cell>
          <cell r="H127">
            <v>125</v>
          </cell>
        </row>
        <row r="128">
          <cell r="A128" t="str">
            <v>108-6</v>
          </cell>
          <cell r="B128" t="str">
            <v>Harp drawings, 6 sections</v>
          </cell>
          <cell r="G128">
            <v>30</v>
          </cell>
          <cell r="H128">
            <v>150</v>
          </cell>
        </row>
        <row r="129">
          <cell r="A129" t="str">
            <v>108-7</v>
          </cell>
          <cell r="B129" t="str">
            <v>Harp drawings, 7 sections</v>
          </cell>
          <cell r="G129">
            <v>35</v>
          </cell>
          <cell r="H129">
            <v>175</v>
          </cell>
        </row>
        <row r="130">
          <cell r="A130" t="str">
            <v>108-8</v>
          </cell>
          <cell r="B130" t="str">
            <v>Harp drawings, 8 sections</v>
          </cell>
          <cell r="G130">
            <v>40</v>
          </cell>
          <cell r="H130">
            <v>200</v>
          </cell>
        </row>
        <row r="131">
          <cell r="A131" t="str">
            <v>108-9</v>
          </cell>
          <cell r="B131" t="str">
            <v>Harp drawings, 9 sections</v>
          </cell>
          <cell r="G131">
            <v>45</v>
          </cell>
          <cell r="H131">
            <v>225</v>
          </cell>
        </row>
        <row r="132">
          <cell r="A132" t="str">
            <v>109-1</v>
          </cell>
          <cell r="B132" t="str">
            <v>Header drawings</v>
          </cell>
          <cell r="G132">
            <v>5</v>
          </cell>
          <cell r="H132">
            <v>10</v>
          </cell>
        </row>
        <row r="133">
          <cell r="A133" t="str">
            <v>109-10</v>
          </cell>
          <cell r="B133" t="str">
            <v>Header drawings, 10 sections</v>
          </cell>
          <cell r="G133">
            <v>50</v>
          </cell>
          <cell r="H133">
            <v>100</v>
          </cell>
        </row>
        <row r="134">
          <cell r="A134" t="str">
            <v>109-11</v>
          </cell>
          <cell r="B134" t="str">
            <v>Header drawings, 11 sections</v>
          </cell>
          <cell r="G134">
            <v>55</v>
          </cell>
          <cell r="H134">
            <v>110</v>
          </cell>
        </row>
        <row r="135">
          <cell r="A135" t="str">
            <v>109-12</v>
          </cell>
          <cell r="B135" t="str">
            <v>Header drawings, 12 sections</v>
          </cell>
          <cell r="G135">
            <v>60</v>
          </cell>
          <cell r="H135">
            <v>120</v>
          </cell>
        </row>
        <row r="136">
          <cell r="A136" t="str">
            <v>109-13</v>
          </cell>
          <cell r="B136" t="str">
            <v>Header drawings, 13 sections</v>
          </cell>
          <cell r="G136">
            <v>65</v>
          </cell>
          <cell r="H136">
            <v>130</v>
          </cell>
        </row>
        <row r="137">
          <cell r="A137" t="str">
            <v>109-14</v>
          </cell>
          <cell r="B137" t="str">
            <v>Header drawings, 14 sections</v>
          </cell>
          <cell r="G137">
            <v>70</v>
          </cell>
          <cell r="H137">
            <v>140</v>
          </cell>
        </row>
        <row r="138">
          <cell r="A138" t="str">
            <v>109-15</v>
          </cell>
          <cell r="B138" t="str">
            <v>Header drawings, 15 sections</v>
          </cell>
          <cell r="G138">
            <v>75</v>
          </cell>
          <cell r="H138">
            <v>150</v>
          </cell>
        </row>
        <row r="139">
          <cell r="A139" t="str">
            <v>109-16</v>
          </cell>
          <cell r="B139" t="str">
            <v>Header drawings, 16 sections</v>
          </cell>
          <cell r="G139">
            <v>80</v>
          </cell>
          <cell r="H139">
            <v>160</v>
          </cell>
        </row>
        <row r="140">
          <cell r="A140" t="str">
            <v>109-17</v>
          </cell>
          <cell r="B140" t="str">
            <v>Header drawings, 17 sections</v>
          </cell>
          <cell r="G140">
            <v>85</v>
          </cell>
          <cell r="H140">
            <v>170</v>
          </cell>
        </row>
        <row r="141">
          <cell r="A141" t="str">
            <v>109-18</v>
          </cell>
          <cell r="B141" t="str">
            <v>Header drawings, 18 sections</v>
          </cell>
          <cell r="G141">
            <v>90</v>
          </cell>
          <cell r="H141">
            <v>180</v>
          </cell>
        </row>
        <row r="142">
          <cell r="A142" t="str">
            <v>109-19</v>
          </cell>
          <cell r="B142" t="str">
            <v>Header drawings, 19 sections</v>
          </cell>
          <cell r="G142">
            <v>95</v>
          </cell>
          <cell r="H142">
            <v>190</v>
          </cell>
        </row>
        <row r="143">
          <cell r="A143" t="str">
            <v>109-2</v>
          </cell>
          <cell r="B143" t="str">
            <v>Header drawings, 2 sections</v>
          </cell>
          <cell r="G143">
            <v>10</v>
          </cell>
          <cell r="H143">
            <v>20</v>
          </cell>
        </row>
        <row r="144">
          <cell r="A144" t="str">
            <v>109-20</v>
          </cell>
          <cell r="B144" t="str">
            <v>Header drawings, 20 sections</v>
          </cell>
          <cell r="G144">
            <v>100</v>
          </cell>
          <cell r="H144">
            <v>200</v>
          </cell>
        </row>
        <row r="145">
          <cell r="A145" t="str">
            <v>109-21</v>
          </cell>
          <cell r="B145" t="str">
            <v>Header drawings, 21 sections</v>
          </cell>
          <cell r="G145">
            <v>105</v>
          </cell>
          <cell r="H145">
            <v>210</v>
          </cell>
        </row>
        <row r="146">
          <cell r="A146" t="str">
            <v>109-3</v>
          </cell>
          <cell r="B146" t="str">
            <v>Header drawings, 3 sections</v>
          </cell>
          <cell r="G146">
            <v>15</v>
          </cell>
          <cell r="H146">
            <v>30</v>
          </cell>
        </row>
        <row r="147">
          <cell r="A147" t="str">
            <v>109-4</v>
          </cell>
          <cell r="B147" t="str">
            <v>Header drawings, 4 sections</v>
          </cell>
          <cell r="G147">
            <v>20</v>
          </cell>
          <cell r="H147">
            <v>40</v>
          </cell>
        </row>
        <row r="148">
          <cell r="A148" t="str">
            <v>109-5</v>
          </cell>
          <cell r="B148" t="str">
            <v>Header drawings, 5 sections</v>
          </cell>
          <cell r="G148">
            <v>25</v>
          </cell>
          <cell r="H148">
            <v>50</v>
          </cell>
        </row>
        <row r="149">
          <cell r="A149" t="str">
            <v>109-6</v>
          </cell>
          <cell r="B149" t="str">
            <v>Header drawings, 6 sections</v>
          </cell>
          <cell r="G149">
            <v>30</v>
          </cell>
          <cell r="H149">
            <v>60</v>
          </cell>
        </row>
        <row r="150">
          <cell r="A150" t="str">
            <v>109-7</v>
          </cell>
          <cell r="B150" t="str">
            <v>Header drawings, 7 sections</v>
          </cell>
          <cell r="G150">
            <v>35</v>
          </cell>
          <cell r="H150">
            <v>70</v>
          </cell>
        </row>
        <row r="151">
          <cell r="A151" t="str">
            <v>109-8</v>
          </cell>
          <cell r="B151" t="str">
            <v>Header drawings, 8 sections</v>
          </cell>
          <cell r="G151">
            <v>40</v>
          </cell>
          <cell r="H151">
            <v>80</v>
          </cell>
        </row>
        <row r="152">
          <cell r="A152" t="str">
            <v>109-9</v>
          </cell>
          <cell r="B152" t="str">
            <v>Header drawings, 9 sections</v>
          </cell>
          <cell r="G152">
            <v>45</v>
          </cell>
          <cell r="H152">
            <v>90</v>
          </cell>
        </row>
        <row r="153">
          <cell r="A153" t="str">
            <v>110</v>
          </cell>
          <cell r="B153" t="str">
            <v>Boiler casing, per section</v>
          </cell>
          <cell r="G153">
            <v>60</v>
          </cell>
          <cell r="J153" t="str">
            <v>detailed engineering by Subcontractor</v>
          </cell>
        </row>
        <row r="154">
          <cell r="A154" t="str">
            <v>110-1</v>
          </cell>
          <cell r="B154" t="str">
            <v>Boiler casing drawings</v>
          </cell>
          <cell r="G154">
            <v>60</v>
          </cell>
          <cell r="J154" t="str">
            <v>detailed engineering by Subcontractor</v>
          </cell>
        </row>
        <row r="155">
          <cell r="A155" t="str">
            <v>110-10</v>
          </cell>
          <cell r="B155" t="str">
            <v>Boiler casing drawings, 10 modules</v>
          </cell>
          <cell r="G155">
            <v>600</v>
          </cell>
          <cell r="J155" t="str">
            <v>detailed engineering by Subcontractor</v>
          </cell>
        </row>
        <row r="156">
          <cell r="A156" t="str">
            <v>110-2</v>
          </cell>
          <cell r="B156" t="str">
            <v>Boiler casing drawings, 2 modules</v>
          </cell>
          <cell r="G156">
            <v>120</v>
          </cell>
          <cell r="J156" t="str">
            <v>detailed engineering by Subcontractor</v>
          </cell>
        </row>
        <row r="157">
          <cell r="A157" t="str">
            <v>110-3</v>
          </cell>
          <cell r="B157" t="str">
            <v>Boiler casing drawings, 3 modules</v>
          </cell>
          <cell r="G157">
            <v>180</v>
          </cell>
          <cell r="J157" t="str">
            <v>detailed engineering by Subcontractor</v>
          </cell>
        </row>
        <row r="158">
          <cell r="A158" t="str">
            <v>110-4</v>
          </cell>
          <cell r="B158" t="str">
            <v>Boiler casing drawings, 4 modules</v>
          </cell>
          <cell r="G158">
            <v>240</v>
          </cell>
          <cell r="J158" t="str">
            <v>detailed engineering by Subcontractor</v>
          </cell>
        </row>
        <row r="159">
          <cell r="A159" t="str">
            <v>110-5</v>
          </cell>
          <cell r="B159" t="str">
            <v>Boiler casing drawings, 5 modules</v>
          </cell>
          <cell r="G159">
            <v>300</v>
          </cell>
          <cell r="J159" t="str">
            <v>detailed engineering by Subcontractor</v>
          </cell>
        </row>
        <row r="160">
          <cell r="A160" t="str">
            <v>110-6</v>
          </cell>
          <cell r="B160" t="str">
            <v>Boiler casing drawings, 6 modules</v>
          </cell>
          <cell r="G160">
            <v>360</v>
          </cell>
          <cell r="J160" t="str">
            <v>detailed engineering by Subcontractor</v>
          </cell>
        </row>
        <row r="161">
          <cell r="A161" t="str">
            <v>110-7</v>
          </cell>
          <cell r="B161" t="str">
            <v>Boiler casing drawings, 7 modules</v>
          </cell>
          <cell r="G161">
            <v>420</v>
          </cell>
          <cell r="J161" t="str">
            <v>detailed engineering by Subcontractor</v>
          </cell>
        </row>
        <row r="162">
          <cell r="A162" t="str">
            <v>110-8</v>
          </cell>
          <cell r="B162" t="str">
            <v>Boiler casing drawings, 8 modules</v>
          </cell>
          <cell r="G162">
            <v>480</v>
          </cell>
          <cell r="J162" t="str">
            <v>detailed engineering by Subcontractor</v>
          </cell>
        </row>
        <row r="163">
          <cell r="A163" t="str">
            <v>110-9</v>
          </cell>
          <cell r="B163" t="str">
            <v>Boiler casing drawings, 9 modules</v>
          </cell>
          <cell r="G163">
            <v>540</v>
          </cell>
          <cell r="J163" t="str">
            <v>detailed engineering by Subcontractor</v>
          </cell>
        </row>
        <row r="164">
          <cell r="A164" t="str">
            <v>110i</v>
          </cell>
          <cell r="B164" t="str">
            <v>Internal insulation , add</v>
          </cell>
          <cell r="G164">
            <v>25</v>
          </cell>
          <cell r="J164" t="str">
            <v>detailed engineering by Subcontractor</v>
          </cell>
        </row>
        <row r="165">
          <cell r="A165" t="str">
            <v>111</v>
          </cell>
          <cell r="B165" t="str">
            <v>Bundle .....</v>
          </cell>
          <cell r="G165">
            <v>12</v>
          </cell>
        </row>
        <row r="166">
          <cell r="A166" t="str">
            <v>111-1</v>
          </cell>
          <cell r="B166" t="str">
            <v>Bundle .....</v>
          </cell>
          <cell r="G166">
            <v>12</v>
          </cell>
        </row>
        <row r="167">
          <cell r="A167" t="str">
            <v>111-10</v>
          </cell>
          <cell r="B167" t="str">
            <v>Bundle drawings, 10 sections</v>
          </cell>
          <cell r="G167">
            <v>120</v>
          </cell>
        </row>
        <row r="168">
          <cell r="A168" t="str">
            <v>111-11</v>
          </cell>
          <cell r="B168" t="str">
            <v>Bundle drawings, 11 sections</v>
          </cell>
          <cell r="G168">
            <v>132</v>
          </cell>
        </row>
        <row r="169">
          <cell r="A169" t="str">
            <v>111-12</v>
          </cell>
          <cell r="B169" t="str">
            <v>Bundle drawings, 12 sections</v>
          </cell>
          <cell r="G169">
            <v>144</v>
          </cell>
        </row>
        <row r="170">
          <cell r="A170" t="str">
            <v>111-13</v>
          </cell>
          <cell r="B170" t="str">
            <v>Bundle drawings, 13 sections</v>
          </cell>
          <cell r="G170">
            <v>156</v>
          </cell>
        </row>
        <row r="171">
          <cell r="A171" t="str">
            <v>111-14</v>
          </cell>
          <cell r="B171" t="str">
            <v>Bundle drawings, 14 sections</v>
          </cell>
          <cell r="G171">
            <v>168</v>
          </cell>
        </row>
        <row r="172">
          <cell r="A172" t="str">
            <v>111-15</v>
          </cell>
          <cell r="B172" t="str">
            <v>Bundle drawings, 15 sections</v>
          </cell>
          <cell r="G172">
            <v>180</v>
          </cell>
        </row>
        <row r="173">
          <cell r="A173" t="str">
            <v>111-16</v>
          </cell>
          <cell r="B173" t="str">
            <v>Bundle drawings, 16 sections</v>
          </cell>
          <cell r="G173">
            <v>192</v>
          </cell>
        </row>
        <row r="174">
          <cell r="A174" t="str">
            <v>111-17</v>
          </cell>
          <cell r="B174" t="str">
            <v>Bundle drawings, 17 sections</v>
          </cell>
          <cell r="G174">
            <v>204</v>
          </cell>
        </row>
        <row r="175">
          <cell r="A175" t="str">
            <v>111-18</v>
          </cell>
          <cell r="B175" t="str">
            <v>Bundle drawings, 18 sections</v>
          </cell>
          <cell r="G175">
            <v>216</v>
          </cell>
        </row>
        <row r="176">
          <cell r="A176" t="str">
            <v>111-19</v>
          </cell>
          <cell r="B176" t="str">
            <v>Bundle drawings, 19 sections</v>
          </cell>
          <cell r="G176">
            <v>228</v>
          </cell>
        </row>
        <row r="177">
          <cell r="A177" t="str">
            <v>111-2</v>
          </cell>
          <cell r="B177" t="str">
            <v>Bundle drawings, 2 sections</v>
          </cell>
          <cell r="G177">
            <v>24</v>
          </cell>
        </row>
        <row r="178">
          <cell r="A178" t="str">
            <v>111-20</v>
          </cell>
          <cell r="B178" t="str">
            <v>Bundle drawings, 20 sections</v>
          </cell>
          <cell r="G178">
            <v>240</v>
          </cell>
        </row>
        <row r="179">
          <cell r="A179" t="str">
            <v>111-21</v>
          </cell>
          <cell r="B179" t="str">
            <v>Bundle drawings, 21 sections</v>
          </cell>
          <cell r="G179">
            <v>252</v>
          </cell>
        </row>
        <row r="180">
          <cell r="A180" t="str">
            <v>111-3</v>
          </cell>
          <cell r="B180" t="str">
            <v>Bundle drawings, 3 sections</v>
          </cell>
          <cell r="G180">
            <v>36</v>
          </cell>
        </row>
        <row r="181">
          <cell r="A181" t="str">
            <v>111-4</v>
          </cell>
          <cell r="B181" t="str">
            <v>Bundle drawings, 4 sections</v>
          </cell>
          <cell r="G181">
            <v>48</v>
          </cell>
        </row>
        <row r="182">
          <cell r="A182" t="str">
            <v>111-5</v>
          </cell>
          <cell r="B182" t="str">
            <v>Bundle drawings, 5 sections</v>
          </cell>
          <cell r="G182">
            <v>60</v>
          </cell>
        </row>
        <row r="183">
          <cell r="A183" t="str">
            <v>111-6</v>
          </cell>
          <cell r="B183" t="str">
            <v>Bundle drawings, 6 sections</v>
          </cell>
          <cell r="G183">
            <v>72</v>
          </cell>
        </row>
        <row r="184">
          <cell r="A184" t="str">
            <v>111-7</v>
          </cell>
          <cell r="B184" t="str">
            <v>Bundle drawings, 7 sections</v>
          </cell>
          <cell r="G184">
            <v>84</v>
          </cell>
        </row>
        <row r="185">
          <cell r="A185" t="str">
            <v>111-8</v>
          </cell>
          <cell r="B185" t="str">
            <v>Bundle drawings, 8 sections</v>
          </cell>
          <cell r="G185">
            <v>96</v>
          </cell>
        </row>
        <row r="186">
          <cell r="A186" t="str">
            <v>111-9</v>
          </cell>
          <cell r="B186" t="str">
            <v>Bundle drawings, 9 sections</v>
          </cell>
          <cell r="G186">
            <v>108</v>
          </cell>
        </row>
        <row r="187">
          <cell r="A187" t="str">
            <v>181-1</v>
          </cell>
          <cell r="B187" t="str">
            <v>Bundle assembly</v>
          </cell>
        </row>
        <row r="188">
          <cell r="A188" t="str">
            <v>181-2</v>
          </cell>
          <cell r="B188" t="str">
            <v>Bundle assembly. 2 pr.</v>
          </cell>
        </row>
        <row r="189">
          <cell r="A189" t="str">
            <v>181-3</v>
          </cell>
          <cell r="B189" t="str">
            <v>Bundle assembly, 3 pr.</v>
          </cell>
        </row>
        <row r="190">
          <cell r="A190" t="str">
            <v>19*</v>
          </cell>
          <cell r="B190" t="str">
            <v>Steamdrums</v>
          </cell>
          <cell r="C190" t="str">
            <v>40 hours by NEM, rest = subc.</v>
          </cell>
        </row>
        <row r="191">
          <cell r="A191" t="str">
            <v>190</v>
          </cell>
          <cell r="B191" t="str">
            <v xml:space="preserve">HP Steamdrum </v>
          </cell>
          <cell r="F191">
            <v>16</v>
          </cell>
          <cell r="G191">
            <v>100</v>
          </cell>
          <cell r="H191">
            <v>150</v>
          </cell>
          <cell r="J191" t="str">
            <v>Based on HNC boiler, FC -40 hours</v>
          </cell>
        </row>
        <row r="192">
          <cell r="A192" t="str">
            <v>191</v>
          </cell>
          <cell r="B192" t="str">
            <v>IP Steamdrum</v>
          </cell>
          <cell r="F192">
            <v>16</v>
          </cell>
          <cell r="G192">
            <v>100</v>
          </cell>
          <cell r="H192">
            <v>150</v>
          </cell>
          <cell r="J192" t="str">
            <v>Based on HNC boiler, FC -40 hours</v>
          </cell>
        </row>
        <row r="193">
          <cell r="A193" t="str">
            <v>2**</v>
          </cell>
          <cell r="B193" t="str">
            <v>Ducting</v>
          </cell>
          <cell r="C193" t="str">
            <v>200 hours by NEM, rest = subc.</v>
          </cell>
        </row>
        <row r="194">
          <cell r="A194" t="str">
            <v>200</v>
          </cell>
          <cell r="B194" t="str">
            <v>Ducting general</v>
          </cell>
          <cell r="F194">
            <v>16</v>
          </cell>
        </row>
        <row r="195">
          <cell r="A195" t="str">
            <v>201</v>
          </cell>
          <cell r="B195" t="str">
            <v>Ducting calculations</v>
          </cell>
          <cell r="E195">
            <v>200</v>
          </cell>
        </row>
        <row r="196">
          <cell r="A196" t="str">
            <v>210</v>
          </cell>
          <cell r="B196" t="str">
            <v>GT Diffusor duct</v>
          </cell>
          <cell r="G196">
            <v>40</v>
          </cell>
          <cell r="H196">
            <v>80</v>
          </cell>
          <cell r="J196" t="str">
            <v>detailed engineering by Subcontractor</v>
          </cell>
        </row>
        <row r="197">
          <cell r="A197" t="str">
            <v>210-i</v>
          </cell>
          <cell r="B197" t="str">
            <v>Internal insulation , add</v>
          </cell>
          <cell r="G197">
            <v>20</v>
          </cell>
          <cell r="J197" t="str">
            <v>detailed engineering by Subcontractor</v>
          </cell>
        </row>
        <row r="198">
          <cell r="A198" t="str">
            <v>220</v>
          </cell>
          <cell r="B198" t="str">
            <v>Divert box</v>
          </cell>
          <cell r="G198">
            <v>40</v>
          </cell>
          <cell r="H198">
            <v>80</v>
          </cell>
          <cell r="J198" t="str">
            <v>detailed engineering by Subcontractor</v>
          </cell>
        </row>
        <row r="199">
          <cell r="A199" t="str">
            <v>220-i</v>
          </cell>
          <cell r="B199" t="str">
            <v>Int. insulation divertbox</v>
          </cell>
          <cell r="G199">
            <v>20</v>
          </cell>
          <cell r="H199">
            <v>0</v>
          </cell>
          <cell r="J199" t="str">
            <v>detailed engineering by Subcontractor</v>
          </cell>
        </row>
        <row r="200">
          <cell r="A200" t="str">
            <v>230</v>
          </cell>
          <cell r="B200" t="str">
            <v>Boiler inlet duct</v>
          </cell>
          <cell r="G200">
            <v>30</v>
          </cell>
          <cell r="H200">
            <v>100</v>
          </cell>
          <cell r="J200" t="str">
            <v>detailed engineering by Subcontractor</v>
          </cell>
        </row>
        <row r="201">
          <cell r="A201" t="str">
            <v>230-f</v>
          </cell>
          <cell r="B201" t="str">
            <v>Elbow duct FC boiler, add.</v>
          </cell>
          <cell r="G201">
            <v>20</v>
          </cell>
          <cell r="H201">
            <v>80</v>
          </cell>
          <cell r="J201" t="str">
            <v>detailed engineering by Subcontractor</v>
          </cell>
        </row>
        <row r="202">
          <cell r="A202" t="str">
            <v>230-i</v>
          </cell>
          <cell r="B202" t="str">
            <v>Internal insulation , add</v>
          </cell>
          <cell r="G202">
            <v>20</v>
          </cell>
          <cell r="H202">
            <v>0</v>
          </cell>
          <cell r="J202" t="str">
            <v>detailed engineering by Subcontractor</v>
          </cell>
        </row>
        <row r="203">
          <cell r="A203" t="str">
            <v>240</v>
          </cell>
          <cell r="B203" t="str">
            <v>Burnerduct</v>
          </cell>
          <cell r="G203">
            <v>40</v>
          </cell>
          <cell r="H203">
            <v>100</v>
          </cell>
          <cell r="J203" t="str">
            <v>detailed engineering by Subcontractor</v>
          </cell>
        </row>
        <row r="204">
          <cell r="A204" t="str">
            <v>240-i</v>
          </cell>
          <cell r="B204" t="str">
            <v>Internal insulation , add</v>
          </cell>
          <cell r="G204">
            <v>20</v>
          </cell>
          <cell r="H204">
            <v>0</v>
          </cell>
          <cell r="J204" t="str">
            <v>detailed engineering by Subcontractor</v>
          </cell>
        </row>
        <row r="205">
          <cell r="A205" t="str">
            <v>250</v>
          </cell>
          <cell r="B205" t="str">
            <v>Outletduct</v>
          </cell>
          <cell r="G205">
            <v>20</v>
          </cell>
          <cell r="H205">
            <v>60</v>
          </cell>
          <cell r="J205" t="str">
            <v>detailed engineering by Subcontractor</v>
          </cell>
        </row>
        <row r="206">
          <cell r="A206" t="str">
            <v>260</v>
          </cell>
          <cell r="B206" t="str">
            <v>Stack</v>
          </cell>
          <cell r="G206">
            <v>20</v>
          </cell>
          <cell r="H206">
            <v>100</v>
          </cell>
          <cell r="J206" t="str">
            <v>detailed engineering by Subcontractor</v>
          </cell>
        </row>
        <row r="207">
          <cell r="A207" t="str">
            <v>260-p</v>
          </cell>
          <cell r="B207" t="str">
            <v>Stack platforms</v>
          </cell>
          <cell r="G207">
            <v>20</v>
          </cell>
          <cell r="H207">
            <v>0</v>
          </cell>
          <cell r="J207" t="str">
            <v>detailed engineering by Subcontractor</v>
          </cell>
        </row>
        <row r="208">
          <cell r="A208" t="str">
            <v>270</v>
          </cell>
          <cell r="B208" t="str">
            <v>Bypass stack</v>
          </cell>
          <cell r="G208">
            <v>30</v>
          </cell>
          <cell r="H208">
            <v>120</v>
          </cell>
          <cell r="J208" t="str">
            <v>detailed engineering by Subcontractor</v>
          </cell>
        </row>
        <row r="209">
          <cell r="A209" t="str">
            <v>270-i</v>
          </cell>
          <cell r="B209" t="str">
            <v>Internal insulation , add</v>
          </cell>
          <cell r="G209">
            <v>20</v>
          </cell>
          <cell r="H209">
            <v>0</v>
          </cell>
          <cell r="J209" t="str">
            <v>detailed engineering by Subcontractor</v>
          </cell>
        </row>
        <row r="210">
          <cell r="A210" t="str">
            <v>275</v>
          </cell>
          <cell r="B210" t="str">
            <v xml:space="preserve">Silencer kanaal bypass </v>
          </cell>
          <cell r="G210">
            <v>20</v>
          </cell>
          <cell r="H210">
            <v>40</v>
          </cell>
          <cell r="J210" t="str">
            <v>detailed engineering by Subcontractor</v>
          </cell>
        </row>
        <row r="211">
          <cell r="A211" t="str">
            <v>297</v>
          </cell>
          <cell r="B211" t="str">
            <v>Blindplate</v>
          </cell>
          <cell r="G211">
            <v>20</v>
          </cell>
          <cell r="H211">
            <v>40</v>
          </cell>
        </row>
        <row r="212">
          <cell r="A212" t="str">
            <v>3**</v>
          </cell>
          <cell r="B212" t="str">
            <v>Steelstruct &amp; platforms</v>
          </cell>
          <cell r="C212" t="str">
            <v>plan drawings &amp; calc's by NEM, rest = subc.</v>
          </cell>
        </row>
        <row r="213">
          <cell r="A213" t="str">
            <v>300</v>
          </cell>
          <cell r="B213" t="str">
            <v>Steelstructure general</v>
          </cell>
          <cell r="E213">
            <v>40</v>
          </cell>
        </row>
        <row r="214">
          <cell r="A214" t="str">
            <v>301</v>
          </cell>
          <cell r="B214" t="str">
            <v>Steelstructure calculations</v>
          </cell>
          <cell r="E214">
            <v>600</v>
          </cell>
        </row>
        <row r="215">
          <cell r="A215" t="str">
            <v>301-b</v>
          </cell>
          <cell r="B215" t="str">
            <v>Add. for bypass struct.</v>
          </cell>
          <cell r="E215">
            <v>100</v>
          </cell>
        </row>
        <row r="216">
          <cell r="A216" t="str">
            <v>301-f</v>
          </cell>
          <cell r="B216" t="str">
            <v>Add. for feedw. struct.</v>
          </cell>
          <cell r="E216">
            <v>80</v>
          </cell>
        </row>
        <row r="217">
          <cell r="A217" t="str">
            <v>310</v>
          </cell>
          <cell r="B217" t="str">
            <v>Steelstructure, basic eng.</v>
          </cell>
          <cell r="G217">
            <v>525</v>
          </cell>
          <cell r="J217" t="str">
            <v>In general subcontracted</v>
          </cell>
        </row>
        <row r="218">
          <cell r="A218" t="str">
            <v>310-e</v>
          </cell>
          <cell r="B218" t="str">
            <v>Steelstructure, detail eng.</v>
          </cell>
          <cell r="G218">
            <v>0</v>
          </cell>
          <cell r="H218">
            <v>0</v>
          </cell>
          <cell r="J218" t="str">
            <v>detailed engineering by Subcontractor</v>
          </cell>
        </row>
        <row r="219">
          <cell r="A219" t="str">
            <v>311</v>
          </cell>
          <cell r="B219" t="str">
            <v>Platforms, stairs, ladders</v>
          </cell>
          <cell r="G219">
            <v>0</v>
          </cell>
          <cell r="H219">
            <v>0</v>
          </cell>
          <cell r="J219" t="str">
            <v>detailed engineering by Subcontractor</v>
          </cell>
        </row>
        <row r="220">
          <cell r="A220" t="str">
            <v>311-c</v>
          </cell>
          <cell r="B220" t="str">
            <v>Cageladder</v>
          </cell>
          <cell r="G220">
            <v>0</v>
          </cell>
          <cell r="H220">
            <v>0</v>
          </cell>
          <cell r="J220" t="str">
            <v>detailed engineering by Subcontractor</v>
          </cell>
        </row>
        <row r="221">
          <cell r="A221" t="str">
            <v>312</v>
          </cell>
          <cell r="B221" t="str">
            <v>Boiler suspension</v>
          </cell>
          <cell r="G221">
            <v>5</v>
          </cell>
        </row>
        <row r="222">
          <cell r="A222" t="str">
            <v>312-1</v>
          </cell>
          <cell r="B222" t="str">
            <v>Boiler suspension</v>
          </cell>
          <cell r="G222">
            <v>5</v>
          </cell>
        </row>
        <row r="223">
          <cell r="A223" t="str">
            <v>312-10</v>
          </cell>
          <cell r="B223" t="str">
            <v>Boiler suspension</v>
          </cell>
          <cell r="G223">
            <v>30</v>
          </cell>
        </row>
        <row r="224">
          <cell r="A224" t="str">
            <v>312-11</v>
          </cell>
          <cell r="B224" t="str">
            <v>Boiler suspension</v>
          </cell>
          <cell r="G224">
            <v>35</v>
          </cell>
        </row>
        <row r="225">
          <cell r="A225" t="str">
            <v>312-12</v>
          </cell>
          <cell r="B225" t="str">
            <v>Boiler suspension</v>
          </cell>
          <cell r="G225">
            <v>35</v>
          </cell>
        </row>
        <row r="226">
          <cell r="A226" t="str">
            <v>312-13</v>
          </cell>
          <cell r="B226" t="str">
            <v>Boiler suspension</v>
          </cell>
          <cell r="G226">
            <v>40</v>
          </cell>
        </row>
        <row r="227">
          <cell r="A227" t="str">
            <v>312-14</v>
          </cell>
          <cell r="B227" t="str">
            <v>Boiler suspension</v>
          </cell>
          <cell r="G227">
            <v>40</v>
          </cell>
        </row>
        <row r="228">
          <cell r="A228" t="str">
            <v>312-15</v>
          </cell>
          <cell r="B228" t="str">
            <v>Boiler suspension</v>
          </cell>
          <cell r="G228">
            <v>45</v>
          </cell>
        </row>
        <row r="229">
          <cell r="A229" t="str">
            <v>312-16</v>
          </cell>
          <cell r="B229" t="str">
            <v>Boiler suspension</v>
          </cell>
          <cell r="G229">
            <v>45</v>
          </cell>
        </row>
        <row r="230">
          <cell r="A230" t="str">
            <v>312-17</v>
          </cell>
          <cell r="B230" t="str">
            <v>Boiler suspension</v>
          </cell>
          <cell r="G230">
            <v>50</v>
          </cell>
        </row>
        <row r="231">
          <cell r="A231" t="str">
            <v>312-18</v>
          </cell>
          <cell r="B231" t="str">
            <v>Boiler suspension</v>
          </cell>
          <cell r="G231">
            <v>50</v>
          </cell>
        </row>
        <row r="232">
          <cell r="A232" t="str">
            <v>312-19</v>
          </cell>
          <cell r="B232" t="str">
            <v>Boiler suspension</v>
          </cell>
          <cell r="G232">
            <v>55</v>
          </cell>
        </row>
        <row r="233">
          <cell r="A233" t="str">
            <v>312-2</v>
          </cell>
          <cell r="B233" t="str">
            <v>Boiler suspension, 2 sections</v>
          </cell>
          <cell r="G233">
            <v>10</v>
          </cell>
        </row>
        <row r="234">
          <cell r="A234" t="str">
            <v>312-20</v>
          </cell>
          <cell r="B234" t="str">
            <v>Boiler suspension</v>
          </cell>
          <cell r="G234">
            <v>60</v>
          </cell>
        </row>
        <row r="235">
          <cell r="A235" t="str">
            <v>312-21</v>
          </cell>
          <cell r="B235" t="str">
            <v>Boiler suspension</v>
          </cell>
          <cell r="G235">
            <v>60</v>
          </cell>
        </row>
        <row r="236">
          <cell r="A236" t="str">
            <v>312-22</v>
          </cell>
          <cell r="B236" t="str">
            <v>Boiler suspension</v>
          </cell>
          <cell r="G236">
            <v>65</v>
          </cell>
        </row>
        <row r="237">
          <cell r="A237" t="str">
            <v>312-23</v>
          </cell>
          <cell r="B237" t="str">
            <v>Boiler suspension</v>
          </cell>
          <cell r="G237">
            <v>65</v>
          </cell>
        </row>
        <row r="238">
          <cell r="A238" t="str">
            <v>312-24</v>
          </cell>
          <cell r="B238" t="str">
            <v>Boiler suspension</v>
          </cell>
          <cell r="G238">
            <v>70</v>
          </cell>
        </row>
        <row r="239">
          <cell r="A239" t="str">
            <v>312-25</v>
          </cell>
          <cell r="B239" t="str">
            <v>Boiler suspension</v>
          </cell>
          <cell r="G239">
            <v>70</v>
          </cell>
        </row>
        <row r="240">
          <cell r="A240" t="str">
            <v>312-3</v>
          </cell>
          <cell r="B240" t="str">
            <v>Boiler suspension, 3 sections</v>
          </cell>
          <cell r="G240">
            <v>15</v>
          </cell>
        </row>
        <row r="241">
          <cell r="A241" t="str">
            <v>312-4</v>
          </cell>
          <cell r="B241" t="str">
            <v>Boiler suspension</v>
          </cell>
          <cell r="G241">
            <v>20</v>
          </cell>
        </row>
        <row r="242">
          <cell r="A242" t="str">
            <v>312-5</v>
          </cell>
          <cell r="B242" t="str">
            <v>Boiler suspension</v>
          </cell>
          <cell r="G242">
            <v>25</v>
          </cell>
        </row>
        <row r="243">
          <cell r="A243" t="str">
            <v>312-6</v>
          </cell>
          <cell r="B243" t="str">
            <v>Boiler suspension</v>
          </cell>
          <cell r="G243">
            <v>25</v>
          </cell>
        </row>
        <row r="244">
          <cell r="A244" t="str">
            <v>312-7</v>
          </cell>
          <cell r="B244" t="str">
            <v>Boiler suspension</v>
          </cell>
          <cell r="G244">
            <v>28</v>
          </cell>
        </row>
        <row r="245">
          <cell r="A245" t="str">
            <v>312-8</v>
          </cell>
          <cell r="B245" t="str">
            <v>Boiler suspension</v>
          </cell>
          <cell r="G245">
            <v>28</v>
          </cell>
        </row>
        <row r="246">
          <cell r="A246" t="str">
            <v>312-9</v>
          </cell>
          <cell r="B246" t="str">
            <v>Boiler suspension</v>
          </cell>
          <cell r="G246">
            <v>30</v>
          </cell>
        </row>
        <row r="247">
          <cell r="A247" t="str">
            <v>320</v>
          </cell>
          <cell r="B247" t="str">
            <v>Steelstruct., bypass</v>
          </cell>
          <cell r="G247">
            <v>200</v>
          </cell>
          <cell r="J247" t="str">
            <v>In general subcontracted</v>
          </cell>
        </row>
        <row r="248">
          <cell r="A248" t="str">
            <v>330-s</v>
          </cell>
          <cell r="B248" t="str">
            <v>Pipe bridge steelstruct., add.</v>
          </cell>
          <cell r="E248">
            <v>100</v>
          </cell>
        </row>
        <row r="249">
          <cell r="A249" t="str">
            <v>4**</v>
          </cell>
          <cell r="B249" t="str">
            <v>Piping</v>
          </cell>
          <cell r="C249" t="str">
            <v>plan drawings &amp; calc's by NEM, rest = subc.</v>
          </cell>
        </row>
        <row r="250">
          <cell r="A250" t="str">
            <v>400</v>
          </cell>
          <cell r="B250" t="str">
            <v>Piping general, 1 press.boiler</v>
          </cell>
          <cell r="F250">
            <v>60</v>
          </cell>
          <cell r="G250">
            <v>150</v>
          </cell>
        </row>
        <row r="251">
          <cell r="A251" t="str">
            <v>400-1</v>
          </cell>
          <cell r="B251" t="str">
            <v>Piping general, 1 press.boiler</v>
          </cell>
          <cell r="F251">
            <v>60</v>
          </cell>
          <cell r="G251">
            <v>150</v>
          </cell>
        </row>
        <row r="252">
          <cell r="A252" t="str">
            <v>400-2</v>
          </cell>
          <cell r="B252" t="str">
            <v>Piping general,2 press.boiler</v>
          </cell>
          <cell r="F252">
            <v>60</v>
          </cell>
          <cell r="G252">
            <v>200</v>
          </cell>
        </row>
        <row r="253">
          <cell r="A253" t="str">
            <v>400-3</v>
          </cell>
          <cell r="B253" t="str">
            <v>Piping general,3 press.boiler</v>
          </cell>
          <cell r="F253">
            <v>60</v>
          </cell>
          <cell r="G253">
            <v>250</v>
          </cell>
        </row>
        <row r="254">
          <cell r="A254" t="str">
            <v>401</v>
          </cell>
          <cell r="B254" t="str">
            <v>Piping calculations</v>
          </cell>
          <cell r="E254">
            <v>400</v>
          </cell>
        </row>
        <row r="255">
          <cell r="A255" t="str">
            <v>401-1</v>
          </cell>
          <cell r="B255" t="str">
            <v>Piping calculations, 1 pr.</v>
          </cell>
          <cell r="E255">
            <v>400</v>
          </cell>
        </row>
        <row r="256">
          <cell r="A256" t="str">
            <v>401-2</v>
          </cell>
          <cell r="B256" t="str">
            <v>Piping calculations, 2 pr.</v>
          </cell>
          <cell r="E256">
            <v>500</v>
          </cell>
        </row>
        <row r="257">
          <cell r="A257" t="str">
            <v>401-3</v>
          </cell>
          <cell r="B257" t="str">
            <v>Piping calculations, 3 pr.</v>
          </cell>
          <cell r="E257">
            <v>600</v>
          </cell>
        </row>
        <row r="258">
          <cell r="A258" t="str">
            <v>410</v>
          </cell>
          <cell r="B258" t="str">
            <v>Interconn. piping</v>
          </cell>
          <cell r="G258">
            <v>1000</v>
          </cell>
          <cell r="H258">
            <v>750</v>
          </cell>
          <cell r="J258" t="str">
            <v>Average :1 hour/meter, fieldrun 1 hour/3 meter</v>
          </cell>
        </row>
        <row r="259">
          <cell r="A259" t="str">
            <v>410-1</v>
          </cell>
          <cell r="B259" t="str">
            <v>Piping drawings, 1 pr.</v>
          </cell>
          <cell r="G259">
            <v>1000</v>
          </cell>
          <cell r="H259">
            <v>750</v>
          </cell>
        </row>
        <row r="260">
          <cell r="A260" t="str">
            <v>410-2</v>
          </cell>
          <cell r="B260" t="str">
            <v>Piping drawings, 2 pr.</v>
          </cell>
          <cell r="G260">
            <v>1150</v>
          </cell>
          <cell r="H260">
            <v>900</v>
          </cell>
        </row>
        <row r="261">
          <cell r="A261" t="str">
            <v>410-3</v>
          </cell>
          <cell r="B261" t="str">
            <v>Piping drawings, 3 pr.</v>
          </cell>
          <cell r="G261">
            <v>1300</v>
          </cell>
          <cell r="H261">
            <v>1000</v>
          </cell>
        </row>
        <row r="262">
          <cell r="A262" t="str">
            <v>500</v>
          </cell>
          <cell r="B262" t="str">
            <v>Equipment general</v>
          </cell>
          <cell r="F262">
            <v>0</v>
          </cell>
        </row>
        <row r="263">
          <cell r="A263" t="str">
            <v>501</v>
          </cell>
          <cell r="B263" t="str">
            <v>Equipment calculations</v>
          </cell>
          <cell r="E263">
            <v>30</v>
          </cell>
        </row>
        <row r="264">
          <cell r="A264" t="str">
            <v>510</v>
          </cell>
          <cell r="B264" t="str">
            <v>HP Circulation pumps</v>
          </cell>
          <cell r="F264">
            <v>60</v>
          </cell>
        </row>
        <row r="265">
          <cell r="A265" t="str">
            <v>512</v>
          </cell>
          <cell r="B265" t="str">
            <v>LP circulation pumps</v>
          </cell>
          <cell r="F265">
            <v>60</v>
          </cell>
        </row>
        <row r="266">
          <cell r="A266" t="str">
            <v>513</v>
          </cell>
          <cell r="B266" t="str">
            <v>Recirculatiepump</v>
          </cell>
          <cell r="F266">
            <v>60</v>
          </cell>
        </row>
        <row r="267">
          <cell r="A267" t="str">
            <v>514</v>
          </cell>
          <cell r="B267" t="str">
            <v>Condensatepump</v>
          </cell>
          <cell r="F267">
            <v>60</v>
          </cell>
        </row>
        <row r="268">
          <cell r="A268" t="str">
            <v>515</v>
          </cell>
          <cell r="B268" t="str">
            <v>HP Feedwater pump</v>
          </cell>
          <cell r="F268">
            <v>80</v>
          </cell>
        </row>
        <row r="269">
          <cell r="A269" t="str">
            <v>520</v>
          </cell>
          <cell r="B269" t="str">
            <v>Diverter</v>
          </cell>
          <cell r="F269">
            <v>160</v>
          </cell>
          <cell r="G269">
            <v>20</v>
          </cell>
          <cell r="J269" t="str">
            <v>detailed engineering by Subcontractor</v>
          </cell>
        </row>
        <row r="270">
          <cell r="A270" t="str">
            <v>526</v>
          </cell>
          <cell r="B270" t="str">
            <v>Stack damper</v>
          </cell>
          <cell r="F270">
            <v>20</v>
          </cell>
        </row>
        <row r="271">
          <cell r="A271" t="str">
            <v>530</v>
          </cell>
          <cell r="B271" t="str">
            <v>Boiler valves</v>
          </cell>
          <cell r="F271">
            <v>40</v>
          </cell>
        </row>
        <row r="272">
          <cell r="A272" t="str">
            <v>533</v>
          </cell>
          <cell r="B272" t="str">
            <v>Sootblowers</v>
          </cell>
          <cell r="F272">
            <v>60</v>
          </cell>
        </row>
        <row r="273">
          <cell r="A273" t="str">
            <v>534</v>
          </cell>
          <cell r="B273" t="str">
            <v>Steam silencers</v>
          </cell>
          <cell r="F273">
            <v>20</v>
          </cell>
          <cell r="G273">
            <v>25</v>
          </cell>
        </row>
        <row r="274">
          <cell r="A274" t="str">
            <v>535</v>
          </cell>
          <cell r="B274" t="str">
            <v>Safety valves</v>
          </cell>
          <cell r="F274">
            <v>40</v>
          </cell>
        </row>
        <row r="275">
          <cell r="A275" t="str">
            <v>535-1</v>
          </cell>
          <cell r="B275" t="str">
            <v>Safety valves</v>
          </cell>
          <cell r="F275">
            <v>40</v>
          </cell>
        </row>
        <row r="276">
          <cell r="A276" t="str">
            <v>535-2</v>
          </cell>
          <cell r="B276" t="str">
            <v>Safety valves</v>
          </cell>
          <cell r="F276">
            <v>50</v>
          </cell>
        </row>
        <row r="277">
          <cell r="A277" t="str">
            <v>535-3</v>
          </cell>
          <cell r="B277" t="str">
            <v>Safety valves</v>
          </cell>
          <cell r="F277">
            <v>60</v>
          </cell>
        </row>
        <row r="278">
          <cell r="A278" t="str">
            <v>536</v>
          </cell>
          <cell r="B278" t="str">
            <v>Level gauges</v>
          </cell>
          <cell r="F278">
            <v>20</v>
          </cell>
        </row>
        <row r="279">
          <cell r="A279" t="str">
            <v>537-1</v>
          </cell>
          <cell r="B279" t="str">
            <v>Steamdrum steam separators</v>
          </cell>
          <cell r="F279">
            <v>12</v>
          </cell>
        </row>
        <row r="280">
          <cell r="A280" t="str">
            <v>537-2</v>
          </cell>
          <cell r="B280" t="str">
            <v>Steamdrum steam separators, 2 pr</v>
          </cell>
          <cell r="F280">
            <v>16</v>
          </cell>
        </row>
        <row r="281">
          <cell r="A281" t="str">
            <v>537-3</v>
          </cell>
          <cell r="B281" t="str">
            <v>Steamdrum steam separators, 3 pr</v>
          </cell>
          <cell r="F281">
            <v>20</v>
          </cell>
        </row>
        <row r="282">
          <cell r="A282" t="str">
            <v>540</v>
          </cell>
          <cell r="B282" t="str">
            <v>Dosing unit</v>
          </cell>
          <cell r="F282">
            <v>30</v>
          </cell>
        </row>
        <row r="283">
          <cell r="A283" t="str">
            <v>550</v>
          </cell>
          <cell r="B283" t="str">
            <v>Burner system</v>
          </cell>
          <cell r="F283">
            <v>100</v>
          </cell>
        </row>
        <row r="284">
          <cell r="A284" t="str">
            <v>555</v>
          </cell>
          <cell r="B284" t="str">
            <v xml:space="preserve">FD Fan </v>
          </cell>
          <cell r="F284">
            <v>20</v>
          </cell>
          <cell r="G284">
            <v>0</v>
          </cell>
        </row>
        <row r="285">
          <cell r="A285" t="str">
            <v>560</v>
          </cell>
          <cell r="B285" t="str">
            <v>Desuperheater</v>
          </cell>
          <cell r="F285">
            <v>80</v>
          </cell>
        </row>
        <row r="286">
          <cell r="A286" t="str">
            <v>571</v>
          </cell>
          <cell r="B286" t="str">
            <v>Flue gas silencer inlet</v>
          </cell>
          <cell r="F286">
            <v>40</v>
          </cell>
          <cell r="G286">
            <v>40</v>
          </cell>
        </row>
        <row r="287">
          <cell r="A287" t="str">
            <v>573</v>
          </cell>
          <cell r="B287" t="str">
            <v>Flue gas silencer outlet</v>
          </cell>
          <cell r="F287">
            <v>40</v>
          </cell>
          <cell r="G287">
            <v>20</v>
          </cell>
        </row>
        <row r="288">
          <cell r="A288" t="str">
            <v>580</v>
          </cell>
          <cell r="B288" t="str">
            <v>Spare parts</v>
          </cell>
          <cell r="F288">
            <v>0</v>
          </cell>
        </row>
        <row r="289">
          <cell r="A289" t="str">
            <v>590</v>
          </cell>
          <cell r="B289" t="str">
            <v>Internal insulation materials</v>
          </cell>
          <cell r="F289">
            <v>100</v>
          </cell>
          <cell r="J289" t="str">
            <v>detailed engineering by Subcontractor</v>
          </cell>
        </row>
        <row r="290">
          <cell r="A290" t="str">
            <v>590-1</v>
          </cell>
          <cell r="B290" t="str">
            <v>Boiler casing insulation drawings</v>
          </cell>
          <cell r="F290">
            <v>100</v>
          </cell>
          <cell r="G290">
            <v>5</v>
          </cell>
          <cell r="J290" t="str">
            <v>detailed engineering by Subcontractor</v>
          </cell>
        </row>
        <row r="291">
          <cell r="A291" t="str">
            <v>590-10</v>
          </cell>
          <cell r="B291" t="str">
            <v>Boiler casing insulation drawings</v>
          </cell>
          <cell r="F291">
            <v>100</v>
          </cell>
          <cell r="G291">
            <v>50</v>
          </cell>
          <cell r="J291" t="str">
            <v>detailed engineering by Subcontractor</v>
          </cell>
        </row>
        <row r="292">
          <cell r="A292" t="str">
            <v>590-2</v>
          </cell>
          <cell r="B292" t="str">
            <v>Boiler casing insulation drawings</v>
          </cell>
          <cell r="F292">
            <v>100</v>
          </cell>
          <cell r="G292">
            <v>10</v>
          </cell>
          <cell r="J292" t="str">
            <v>detailed engineering by Subcontractor</v>
          </cell>
        </row>
        <row r="293">
          <cell r="A293" t="str">
            <v>590-3</v>
          </cell>
          <cell r="B293" t="str">
            <v>Boiler casing insulation drawings</v>
          </cell>
          <cell r="F293">
            <v>100</v>
          </cell>
          <cell r="G293">
            <v>15</v>
          </cell>
          <cell r="J293" t="str">
            <v>detailed engineering by Subcontractor</v>
          </cell>
        </row>
        <row r="294">
          <cell r="A294" t="str">
            <v>590-4</v>
          </cell>
          <cell r="B294" t="str">
            <v>Boiler casing insulation drawings</v>
          </cell>
          <cell r="F294">
            <v>100</v>
          </cell>
          <cell r="G294">
            <v>20</v>
          </cell>
          <cell r="J294" t="str">
            <v>detailed engineering by Subcontractor</v>
          </cell>
        </row>
        <row r="295">
          <cell r="A295" t="str">
            <v>590-5</v>
          </cell>
          <cell r="B295" t="str">
            <v>Boiler casing insulation drawings</v>
          </cell>
          <cell r="F295">
            <v>100</v>
          </cell>
          <cell r="G295">
            <v>25</v>
          </cell>
          <cell r="J295" t="str">
            <v>detailed engineering by Subcontractor</v>
          </cell>
        </row>
        <row r="296">
          <cell r="A296" t="str">
            <v>590-6</v>
          </cell>
          <cell r="B296" t="str">
            <v>Boiler casing insulation drawings</v>
          </cell>
          <cell r="F296">
            <v>100</v>
          </cell>
          <cell r="G296">
            <v>30</v>
          </cell>
          <cell r="J296" t="str">
            <v>detailed engineering by Subcontractor</v>
          </cell>
        </row>
        <row r="297">
          <cell r="A297" t="str">
            <v>590-7</v>
          </cell>
          <cell r="B297" t="str">
            <v>Boiler casing insulation drawings</v>
          </cell>
          <cell r="F297">
            <v>100</v>
          </cell>
          <cell r="G297">
            <v>35</v>
          </cell>
          <cell r="J297" t="str">
            <v>detailed engineering by Subcontractor</v>
          </cell>
        </row>
        <row r="298">
          <cell r="A298" t="str">
            <v>590-8</v>
          </cell>
          <cell r="B298" t="str">
            <v>Boiler casing insulation drawings</v>
          </cell>
          <cell r="F298">
            <v>100</v>
          </cell>
          <cell r="G298">
            <v>40</v>
          </cell>
          <cell r="J298" t="str">
            <v>detailed engineering by Subcontractor</v>
          </cell>
        </row>
        <row r="299">
          <cell r="A299" t="str">
            <v>590-9</v>
          </cell>
          <cell r="B299" t="str">
            <v>Boiler casing insulation drawings</v>
          </cell>
          <cell r="F299">
            <v>100</v>
          </cell>
          <cell r="G299">
            <v>45</v>
          </cell>
          <cell r="J299" t="str">
            <v>detailed engineering by Subcontractor</v>
          </cell>
        </row>
        <row r="300">
          <cell r="A300" t="str">
            <v>591</v>
          </cell>
          <cell r="B300" t="str">
            <v>External insulattion materials</v>
          </cell>
          <cell r="F300">
            <v>100</v>
          </cell>
        </row>
        <row r="301">
          <cell r="A301" t="str">
            <v>6**</v>
          </cell>
          <cell r="B301" t="str">
            <v>Tanks</v>
          </cell>
          <cell r="C301" t="str">
            <v>20 hours/tank by NEM, rest = subc.</v>
          </cell>
        </row>
        <row r="302">
          <cell r="A302" t="str">
            <v>600</v>
          </cell>
          <cell r="B302" t="str">
            <v>Tanks general</v>
          </cell>
        </row>
        <row r="303">
          <cell r="A303" t="str">
            <v>610</v>
          </cell>
          <cell r="B303" t="str">
            <v>Blow down tank, 1 pr.boiler</v>
          </cell>
          <cell r="F303">
            <v>30</v>
          </cell>
          <cell r="G303">
            <v>100</v>
          </cell>
          <cell r="H303">
            <v>0</v>
          </cell>
          <cell r="J303" t="str">
            <v>Add 20 hours per add. press.level</v>
          </cell>
        </row>
        <row r="304">
          <cell r="A304" t="str">
            <v>620</v>
          </cell>
          <cell r="B304" t="str">
            <v>Flashtank</v>
          </cell>
          <cell r="F304">
            <v>20</v>
          </cell>
          <cell r="G304">
            <v>100</v>
          </cell>
          <cell r="H304">
            <v>0</v>
          </cell>
        </row>
        <row r="305">
          <cell r="A305" t="str">
            <v>650</v>
          </cell>
          <cell r="B305" t="str">
            <v>FW tank</v>
          </cell>
          <cell r="F305">
            <v>40</v>
          </cell>
          <cell r="G305">
            <v>100</v>
          </cell>
          <cell r="H305">
            <v>150</v>
          </cell>
        </row>
        <row r="306">
          <cell r="A306" t="str">
            <v>700</v>
          </cell>
          <cell r="B306" t="str">
            <v>General arrangement drawings</v>
          </cell>
          <cell r="G306">
            <v>0</v>
          </cell>
          <cell r="J306" t="str">
            <v>nu deel van de 410 plan tekeningen</v>
          </cell>
        </row>
        <row r="307">
          <cell r="A307" t="str">
            <v>701</v>
          </cell>
          <cell r="B307" t="str">
            <v>Foundation load calc.</v>
          </cell>
          <cell r="E307">
            <v>80</v>
          </cell>
        </row>
        <row r="308">
          <cell r="A308" t="str">
            <v>702</v>
          </cell>
          <cell r="B308" t="str">
            <v>Site instructions</v>
          </cell>
          <cell r="F308">
            <v>40</v>
          </cell>
        </row>
        <row r="309">
          <cell r="A309" t="str">
            <v>703</v>
          </cell>
          <cell r="B309" t="str">
            <v>Specs site activities</v>
          </cell>
          <cell r="F309">
            <v>160</v>
          </cell>
          <cell r="J309" t="str">
            <v>Hydrotest, acid cleaning etc.</v>
          </cell>
        </row>
        <row r="310">
          <cell r="A310" t="str">
            <v>710</v>
          </cell>
          <cell r="B310" t="str">
            <v>Erection general</v>
          </cell>
          <cell r="F310">
            <v>20</v>
          </cell>
          <cell r="G310">
            <v>100</v>
          </cell>
          <cell r="J310" t="str">
            <v>montageplan tekeningen</v>
          </cell>
        </row>
        <row r="311">
          <cell r="A311" t="str">
            <v>720</v>
          </cell>
          <cell r="B311" t="str">
            <v>Anchors</v>
          </cell>
          <cell r="G311">
            <v>15</v>
          </cell>
          <cell r="J311" t="str">
            <v>detailed engineering by Subcontractor</v>
          </cell>
        </row>
        <row r="312">
          <cell r="A312" t="str">
            <v>730</v>
          </cell>
          <cell r="B312" t="str">
            <v>Transport provisions</v>
          </cell>
          <cell r="E312">
            <v>200</v>
          </cell>
          <cell r="G312">
            <v>320</v>
          </cell>
          <cell r="H312">
            <v>0</v>
          </cell>
          <cell r="J312" t="str">
            <v>detailed engineering by Subcontractor</v>
          </cell>
        </row>
        <row r="313">
          <cell r="A313" t="str">
            <v>730-1</v>
          </cell>
          <cell r="B313" t="str">
            <v>Shipping ladders</v>
          </cell>
          <cell r="E313">
            <v>15</v>
          </cell>
          <cell r="G313">
            <v>80</v>
          </cell>
          <cell r="H313">
            <v>0</v>
          </cell>
          <cell r="J313" t="str">
            <v>detailed engineering by Subcontractor</v>
          </cell>
        </row>
        <row r="314">
          <cell r="A314" t="str">
            <v>730-2</v>
          </cell>
          <cell r="B314" t="str">
            <v>Uprighting fixture</v>
          </cell>
          <cell r="E314">
            <v>15</v>
          </cell>
          <cell r="G314">
            <v>20</v>
          </cell>
          <cell r="H314">
            <v>0</v>
          </cell>
          <cell r="J314" t="str">
            <v>detailed engineering by Subcontractor</v>
          </cell>
        </row>
        <row r="315">
          <cell r="A315" t="str">
            <v>740</v>
          </cell>
          <cell r="B315" t="str">
            <v>Drying &amp; preservation</v>
          </cell>
          <cell r="F315">
            <v>20</v>
          </cell>
        </row>
        <row r="316">
          <cell r="A316" t="str">
            <v>900</v>
          </cell>
          <cell r="B316" t="str">
            <v>Project documents</v>
          </cell>
          <cell r="F316">
            <v>20</v>
          </cell>
        </row>
        <row r="317">
          <cell r="A317" t="str">
            <v>901</v>
          </cell>
          <cell r="B317" t="str">
            <v>Project planning</v>
          </cell>
          <cell r="G317">
            <v>130</v>
          </cell>
          <cell r="J317" t="str">
            <v>15 % of proj. man. hours</v>
          </cell>
        </row>
        <row r="318">
          <cell r="A318" t="str">
            <v>910</v>
          </cell>
          <cell r="B318" t="str">
            <v>Project management</v>
          </cell>
          <cell r="J318" t="str">
            <v>Full time job = 125 hours/cal. month</v>
          </cell>
        </row>
        <row r="319">
          <cell r="A319" t="str">
            <v>911</v>
          </cell>
          <cell r="B319" t="str">
            <v>Project engineering</v>
          </cell>
        </row>
        <row r="320">
          <cell r="A320" t="str">
            <v>912</v>
          </cell>
          <cell r="B320" t="str">
            <v>QC / QA</v>
          </cell>
          <cell r="D320">
            <v>400</v>
          </cell>
          <cell r="J320" t="str">
            <v>Review of subc. QA/QC system</v>
          </cell>
        </row>
        <row r="321">
          <cell r="A321" t="str">
            <v>913</v>
          </cell>
          <cell r="B321" t="str">
            <v>Subcontractor coordin &amp; control</v>
          </cell>
          <cell r="D321">
            <v>1050</v>
          </cell>
        </row>
        <row r="322">
          <cell r="A322" t="str">
            <v>915</v>
          </cell>
          <cell r="B322" t="str">
            <v>Project secretary</v>
          </cell>
          <cell r="J322" t="str">
            <v>50% of proj. manag. hours</v>
          </cell>
        </row>
        <row r="323">
          <cell r="A323" t="str">
            <v>930</v>
          </cell>
          <cell r="B323" t="str">
            <v>E &amp; I</v>
          </cell>
          <cell r="F323" t="str">
            <v>by IPA</v>
          </cell>
        </row>
        <row r="324">
          <cell r="A324" t="str">
            <v>960</v>
          </cell>
          <cell r="B324" t="str">
            <v>Control system</v>
          </cell>
          <cell r="F324" t="str">
            <v>by IPA</v>
          </cell>
        </row>
        <row r="325">
          <cell r="A325" t="str">
            <v>970</v>
          </cell>
          <cell r="B325" t="str">
            <v>Site supervision</v>
          </cell>
        </row>
        <row r="326">
          <cell r="A326" t="str">
            <v>975</v>
          </cell>
          <cell r="B326" t="str">
            <v>Supervision subcontractor</v>
          </cell>
        </row>
        <row r="327">
          <cell r="A327" t="str">
            <v>980</v>
          </cell>
          <cell r="B327" t="str">
            <v>Commissioning &amp; Start-Up</v>
          </cell>
          <cell r="F327">
            <v>40</v>
          </cell>
        </row>
        <row r="328">
          <cell r="B328" t="str">
            <v>Above numbers are total budget/boiler, below specification of items which are generally subcontracted :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CONDICIONES COMERCIALES "/>
      <sheetName val="ANEXO 1"/>
      <sheetName val="ANEXO 1 2.1 Tabla 1"/>
      <sheetName val="ANEXO 1 2.2.1 (BUND 101)"/>
      <sheetName val="ANEXO 1 2.2.1 (BUND 102)"/>
      <sheetName val="ANEXO 1 2.2.1 (BUND 103)"/>
      <sheetName val="ANEXO 1 2.2.1 (STORAGE-PUMPING)"/>
      <sheetName val="ANEXO 1 2.2.1 (DOCK LINES)"/>
      <sheetName val="ANEXO 1 2.2.1 (HEATING-COOLING)"/>
      <sheetName val="ANEXO 1 2.2.1 (JETTY)"/>
      <sheetName val="ANEXO 1 2.2.1 (VARIOS)"/>
      <sheetName val="ANEXO 1 2.2.1 (EQUIPOS)"/>
      <sheetName val="ANEXO 1 2.3 Tabla 3"/>
      <sheetName val="ANEXO 1 2.4 Tabla 4"/>
      <sheetName val="ANEXO 1 2.5 Tabla 5"/>
      <sheetName val="ANEXO 1.3.1 Tabla 6"/>
      <sheetName val="ANEXO 3"/>
      <sheetName val="ANEXO 4 PROGRAMACION"/>
      <sheetName val="01"/>
      <sheetName val="LLEGADA"/>
      <sheetName val="CONDICIONES_COMERCIALES_"/>
      <sheetName val="ANEXO_1"/>
      <sheetName val="ANEXO_1_2_1_Tabla_1"/>
      <sheetName val="ANEXO_1_2_2_1_(BUND_101)"/>
      <sheetName val="ANEXO_1_2_2_1_(BUND_102)"/>
      <sheetName val="ANEXO_1_2_2_1_(BUND_103)"/>
      <sheetName val="ANEXO_1_2_2_1_(STORAGE-PUMPING)"/>
      <sheetName val="ANEXO_1_2_2_1_(DOCK_LINES)"/>
      <sheetName val="ANEXO_1_2_2_1_(HEATING-COOLING)"/>
      <sheetName val="ANEXO_1_2_2_1_(JETTY)"/>
      <sheetName val="ANEXO_1_2_2_1_(VARIOS)"/>
      <sheetName val="ANEXO_1_2_2_1_(EQUIPOS)"/>
      <sheetName val="ANEXO_1_2_3_Tabla_3"/>
      <sheetName val="ANEXO_1_2_4_Tabla_4"/>
      <sheetName val="ANEXO_1_2_5_Tabla_5"/>
      <sheetName val="ANEXO_1_3_1_Tabla_6"/>
      <sheetName val="ANEXO_3"/>
      <sheetName val="ANEXO_4_PROGRAM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"/>
      <sheetName val="equipment"/>
      <sheetName val="eq_data"/>
      <sheetName val="out_put"/>
      <sheetName val="drawing"/>
      <sheetName val="Loading"/>
      <sheetName val="Sheet1"/>
      <sheetName val="Sheet2"/>
      <sheetName val="Sheet3"/>
      <sheetName val="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M"/>
      <sheetName val="八幡"/>
      <sheetName val="GM 000"/>
      <sheetName val="PRECAST lightconc-II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TTL"/>
    </sheetNames>
    <sheetDataSet>
      <sheetData sheetId="0"/>
      <sheetData sheetId="1"/>
      <sheetData sheetId="2" refreshError="1">
        <row r="5">
          <cell r="C5" t="str">
            <v>Isolated type</v>
          </cell>
        </row>
        <row r="6">
          <cell r="C6" t="str">
            <v>Sleeper type</v>
          </cell>
        </row>
        <row r="7">
          <cell r="C7" t="str">
            <v xml:space="preserve"> Horizontal Vessel</v>
          </cell>
        </row>
        <row r="8">
          <cell r="C8" t="str">
            <v>Vertical vessel type</v>
          </cell>
        </row>
        <row r="9">
          <cell r="C9" t="str">
            <v>Pump Type</v>
          </cell>
        </row>
        <row r="10">
          <cell r="C10" t="str">
            <v>Combined type</v>
          </cell>
        </row>
        <row r="11">
          <cell r="C11" t="str">
            <v>기타1</v>
          </cell>
        </row>
        <row r="12">
          <cell r="C12" t="str">
            <v>기타2</v>
          </cell>
        </row>
        <row r="13">
          <cell r="C13" t="str">
            <v>기타3</v>
          </cell>
        </row>
        <row r="14">
          <cell r="C14" t="str">
            <v>기타4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  <sheetName val="6,000"/>
      <sheetName val="BID"/>
      <sheetName val="Labor Rate"/>
      <sheetName val="CAL."/>
      <sheetName val="SILIC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. y Asoc. (2)"/>
      <sheetName val="Contr. y Asoc."/>
      <sheetName val="Resumen"/>
      <sheetName val="costo controlador"/>
      <sheetName val="precios GMF"/>
      <sheetName val="precios VM"/>
      <sheetName val="Paridad Euro"/>
      <sheetName val="Paridad US$"/>
      <sheetName val="Paridad Libra"/>
      <sheetName val="OT 70326 Modulo Distrb"/>
      <sheetName val="OT 70346 Costo tarjetas "/>
      <sheetName val="OT 70333"/>
      <sheetName val="OT 70380"/>
      <sheetName val="ANEXO 1 2.2.1 (BUND 101)"/>
      <sheetName val="Contr__y_Asoc__(2)"/>
      <sheetName val="Contr__y_Asoc_"/>
      <sheetName val="costo_controlador"/>
      <sheetName val="precios_GMF"/>
      <sheetName val="precios_VM"/>
      <sheetName val="Paridad_Euro"/>
      <sheetName val="Paridad_US$"/>
      <sheetName val="Paridad_Libra"/>
      <sheetName val="OT_70326_Modulo_Distrb"/>
      <sheetName val="OT_70346_Costo_tarjetas_"/>
      <sheetName val="OT_70333"/>
      <sheetName val="OT_7038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F7" t="str">
            <v>valor Dólar ($)</v>
          </cell>
        </row>
        <row r="8">
          <cell r="F8">
            <v>721.61</v>
          </cell>
        </row>
        <row r="20">
          <cell r="F20" t="str">
            <v>valor Dólar ($)</v>
          </cell>
        </row>
        <row r="21">
          <cell r="F21">
            <v>721.61</v>
          </cell>
        </row>
        <row r="33">
          <cell r="F33" t="str">
            <v>valor Dólar ($)</v>
          </cell>
        </row>
        <row r="34">
          <cell r="F34">
            <v>721.61</v>
          </cell>
        </row>
      </sheetData>
      <sheetData sheetId="11"/>
      <sheetData sheetId="12">
        <row r="7">
          <cell r="F7">
            <v>918000</v>
          </cell>
        </row>
        <row r="8">
          <cell r="F8">
            <v>3600</v>
          </cell>
        </row>
        <row r="9">
          <cell r="F9">
            <v>27145</v>
          </cell>
        </row>
        <row r="10">
          <cell r="F10">
            <v>9000</v>
          </cell>
        </row>
        <row r="11">
          <cell r="F11">
            <v>13081.5</v>
          </cell>
        </row>
        <row r="12">
          <cell r="F12">
            <v>8644.5</v>
          </cell>
        </row>
        <row r="13">
          <cell r="F13">
            <v>17406.600000000002</v>
          </cell>
        </row>
        <row r="14">
          <cell r="F14">
            <v>21794.400000000001</v>
          </cell>
        </row>
        <row r="15">
          <cell r="F15">
            <v>46618.2</v>
          </cell>
        </row>
        <row r="16">
          <cell r="F16">
            <v>14700</v>
          </cell>
        </row>
        <row r="17">
          <cell r="F17">
            <v>273408</v>
          </cell>
        </row>
        <row r="18">
          <cell r="F18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比較"/>
      <sheetName val="見積比較 (最新）"/>
      <sheetName val="見積比較 (ｴｽｶﾚ）"/>
      <sheetName val="説明資料"/>
      <sheetName val="説明資料 (2)"/>
      <sheetName val="MELCO"/>
      <sheetName val="TUXPAN 34内訳"/>
      <sheetName val="設計時間"/>
      <sheetName val="設計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S9">
            <v>7194</v>
          </cell>
          <cell r="T9">
            <v>3067</v>
          </cell>
        </row>
        <row r="10">
          <cell r="S10">
            <v>6580</v>
          </cell>
          <cell r="T10">
            <v>3051</v>
          </cell>
        </row>
        <row r="11">
          <cell r="S11">
            <v>6666</v>
          </cell>
          <cell r="T11">
            <v>3288</v>
          </cell>
        </row>
        <row r="23">
          <cell r="S23">
            <v>0.8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ITIAL INPUTS"/>
      <sheetName val="MEDICION"/>
      <sheetName val="TIPO"/>
      <sheetName val="RESUMEN"/>
      <sheetName val="SHEETS"/>
      <sheetName val="Hoja2"/>
    </sheetNames>
    <sheetDataSet>
      <sheetData sheetId="0"/>
      <sheetData sheetId="1"/>
      <sheetData sheetId="2"/>
      <sheetData sheetId="3"/>
      <sheetData sheetId="4"/>
      <sheetData sheetId="5">
        <row r="9">
          <cell r="B9" t="str">
            <v>TRINA SOLAR 280 W PC14</v>
          </cell>
        </row>
        <row r="10">
          <cell r="B10" t="str">
            <v>Tipo 2</v>
          </cell>
        </row>
        <row r="11">
          <cell r="B11" t="str">
            <v>Tipo 3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 t="str">
            <v>NOT FOR USE</v>
          </cell>
        </row>
        <row r="20">
          <cell r="B20">
            <v>0</v>
          </cell>
        </row>
        <row r="26">
          <cell r="B26" t="str">
            <v>Tipo A</v>
          </cell>
        </row>
        <row r="27">
          <cell r="B27" t="str">
            <v>Tipo B</v>
          </cell>
        </row>
        <row r="28">
          <cell r="B28" t="str">
            <v>Tipo C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 t="str">
            <v>NOT FOR USE</v>
          </cell>
        </row>
        <row r="37">
          <cell r="B37">
            <v>0</v>
          </cell>
        </row>
        <row r="43">
          <cell r="B43" t="str">
            <v>SOLO LIMPIEZA</v>
          </cell>
        </row>
        <row r="44">
          <cell r="B44" t="str">
            <v>PEQUEÑO HASTA 0.5 M3/M2</v>
          </cell>
        </row>
        <row r="45">
          <cell r="B45" t="str">
            <v>MEDIO HASTA 1M3/M2</v>
          </cell>
        </row>
        <row r="46">
          <cell r="B46" t="str">
            <v>ALTO HASTA 1.5 M3/M2</v>
          </cell>
        </row>
        <row r="55">
          <cell r="B55" t="str">
            <v>RAMING POOL</v>
          </cell>
        </row>
        <row r="56">
          <cell r="B56" t="str">
            <v>MICRO PILE</v>
          </cell>
        </row>
        <row r="57">
          <cell r="B57" t="str">
            <v>INSITE PILE</v>
          </cell>
        </row>
        <row r="58">
          <cell r="B58" t="str">
            <v>CONCRETE PLATE</v>
          </cell>
        </row>
        <row r="59">
          <cell r="B59" t="str">
            <v>TERRA FIX</v>
          </cell>
        </row>
        <row r="66">
          <cell r="B66" t="str">
            <v>YES</v>
          </cell>
        </row>
        <row r="67">
          <cell r="B67" t="str">
            <v>NO</v>
          </cell>
        </row>
      </sheetData>
      <sheetData sheetId="6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S"/>
      <sheetName val="INITIAL INPUTS"/>
      <sheetName val="BUDGET"/>
      <sheetName val="BUDGET RESUMEN"/>
      <sheetName val="TYPE"/>
    </sheetNames>
    <sheetDataSet>
      <sheetData sheetId="0">
        <row r="9">
          <cell r="B9" t="str">
            <v>TRINA SOLAR 280 W PC14</v>
          </cell>
        </row>
        <row r="10">
          <cell r="B10" t="str">
            <v>Tipo 2</v>
          </cell>
        </row>
        <row r="11">
          <cell r="B11" t="str">
            <v>Tipo 3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26">
          <cell r="B26" t="str">
            <v>4 LONGITUDINAL SPARS</v>
          </cell>
        </row>
        <row r="27">
          <cell r="B27" t="str">
            <v>2 LONGITUDINAL SPARS</v>
          </cell>
        </row>
        <row r="28">
          <cell r="B28" t="str">
            <v>Type C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43">
          <cell r="B43" t="str">
            <v>CLEANING ONLY</v>
          </cell>
        </row>
        <row r="44">
          <cell r="B44" t="str">
            <v>SMALL UP TO 0.5 M3/M2</v>
          </cell>
        </row>
        <row r="45">
          <cell r="B45" t="str">
            <v>MEDIUM UP TO 1M3/M2</v>
          </cell>
        </row>
        <row r="46">
          <cell r="B46" t="str">
            <v>HIGH UP TO 1.5 M3/M2</v>
          </cell>
        </row>
        <row r="55">
          <cell r="B55" t="str">
            <v>RAMMING POOL</v>
          </cell>
        </row>
        <row r="56">
          <cell r="B56" t="str">
            <v>MICRO PILE</v>
          </cell>
        </row>
        <row r="57">
          <cell r="B57" t="str">
            <v>INSITE PILE</v>
          </cell>
        </row>
        <row r="58">
          <cell r="B58" t="str">
            <v>CONCRETE PLATE</v>
          </cell>
        </row>
        <row r="59">
          <cell r="B59" t="str">
            <v>TERRA FIX</v>
          </cell>
        </row>
      </sheetData>
      <sheetData sheetId="1">
        <row r="9">
          <cell r="B9" t="str">
            <v>TRINA SOLAR 280 W PC14</v>
          </cell>
        </row>
      </sheetData>
      <sheetData sheetId="2"/>
      <sheetData sheetId="3"/>
      <sheetData sheetId="4">
        <row r="9">
          <cell r="B9" t="str">
            <v>TRINA SOLAR 280 W PC14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_rates"/>
    </sheetNames>
    <sheetDataSet>
      <sheetData sheetId="0">
        <row r="1">
          <cell r="A1" t="str">
            <v>Currency</v>
          </cell>
          <cell r="B1" t="str">
            <v>Exchange rate</v>
          </cell>
          <cell r="C1" t="str">
            <v>2001 calc</v>
          </cell>
        </row>
        <row r="2">
          <cell r="A2" t="str">
            <v>ATS</v>
          </cell>
          <cell r="B2">
            <v>0.16014999999999999</v>
          </cell>
          <cell r="C2">
            <v>13.760300000000001</v>
          </cell>
        </row>
        <row r="3">
          <cell r="A3" t="str">
            <v>BEF</v>
          </cell>
          <cell r="B3">
            <v>5.4628500000000003E-2</v>
          </cell>
          <cell r="C3">
            <v>40.3399</v>
          </cell>
        </row>
        <row r="4">
          <cell r="A4" t="str">
            <v>DEM</v>
          </cell>
          <cell r="B4">
            <v>1.1267</v>
          </cell>
          <cell r="C4">
            <v>1.95583</v>
          </cell>
        </row>
        <row r="5">
          <cell r="A5" t="str">
            <v>ESP</v>
          </cell>
          <cell r="B5">
            <v>1.32446E-2</v>
          </cell>
          <cell r="C5">
            <v>166.386</v>
          </cell>
        </row>
        <row r="6">
          <cell r="A6" t="str">
            <v>EUR</v>
          </cell>
          <cell r="B6">
            <v>2.2037100000000001</v>
          </cell>
          <cell r="C6">
            <v>1</v>
          </cell>
        </row>
        <row r="7">
          <cell r="A7" t="str">
            <v>FIM</v>
          </cell>
          <cell r="B7">
            <v>0.37063699999999999</v>
          </cell>
          <cell r="C7">
            <v>5.9457300000000002</v>
          </cell>
        </row>
        <row r="8">
          <cell r="A8" t="str">
            <v>FRF</v>
          </cell>
          <cell r="B8">
            <v>0.335953</v>
          </cell>
          <cell r="C8">
            <v>6.5595699999999999</v>
          </cell>
        </row>
        <row r="9">
          <cell r="A9" t="str">
            <v>GBP</v>
          </cell>
          <cell r="B9">
            <v>3.75</v>
          </cell>
          <cell r="C9">
            <v>0.58765600000000007</v>
          </cell>
        </row>
        <row r="10">
          <cell r="A10" t="str">
            <v>IEP</v>
          </cell>
          <cell r="B10">
            <v>2.79813</v>
          </cell>
          <cell r="C10">
            <v>0.78756400000000004</v>
          </cell>
        </row>
        <row r="11">
          <cell r="A11" t="str">
            <v>ITL</v>
          </cell>
          <cell r="B11">
            <v>1.1381200000000001E-3</v>
          </cell>
          <cell r="C11">
            <v>1936.27</v>
          </cell>
        </row>
        <row r="12">
          <cell r="A12" t="str">
            <v>LUF</v>
          </cell>
          <cell r="B12">
            <v>5.4628500000000003E-2</v>
          </cell>
          <cell r="C12">
            <v>40.3399</v>
          </cell>
        </row>
        <row r="13">
          <cell r="A13" t="str">
            <v>NLG</v>
          </cell>
          <cell r="B13">
            <v>1</v>
          </cell>
          <cell r="C13">
            <v>2.2037100000000001</v>
          </cell>
        </row>
        <row r="14">
          <cell r="A14" t="str">
            <v>PTE</v>
          </cell>
          <cell r="B14">
            <v>1.0992099999999999E-2</v>
          </cell>
          <cell r="C14">
            <v>200.482</v>
          </cell>
        </row>
        <row r="15">
          <cell r="A15" t="str">
            <v>US$</v>
          </cell>
          <cell r="B15">
            <v>2.4458490566037736</v>
          </cell>
          <cell r="C15">
            <v>0.90100000000000002</v>
          </cell>
        </row>
        <row r="16">
          <cell r="A16" t="str">
            <v>Valuta1</v>
          </cell>
          <cell r="B16">
            <v>2.3844256175544518</v>
          </cell>
          <cell r="C16">
            <v>0.92420999999999998</v>
          </cell>
        </row>
        <row r="17">
          <cell r="A17" t="str">
            <v>Valuta2</v>
          </cell>
          <cell r="B17">
            <v>1</v>
          </cell>
          <cell r="C17">
            <v>2.2037100000000001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p"/>
      <sheetName val="SQA"/>
      <sheetName val="BOM"/>
      <sheetName val="VAR"/>
      <sheetName val="PQS"/>
      <sheetName val="PLQ"/>
      <sheetName val="SPQ"/>
      <sheetName val="FNC"/>
      <sheetName val="Staffing"/>
      <sheetName val="Pump Site"/>
      <sheetName val="414x12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Summary"/>
      <sheetName val="ITB COST"/>
      <sheetName val="PRICE-COMP"/>
      <sheetName val="51-PSV8008L"/>
      <sheetName val="IO per P&amp;ID "/>
      <sheetName val="PLC"/>
      <sheetName val="CMTD"/>
      <sheetName val="내역"/>
      <sheetName val="eq_data"/>
      <sheetName val="Data_for_Access3"/>
      <sheetName val="920-EM-31_(2)3"/>
      <sheetName val="OIL_SYST_DATA_SHTS3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IO_ASSIGNMENT"/>
      <sheetName val="Calculator Rates"/>
      <sheetName val="DRM_LEN"/>
      <sheetName val="DB Extract For Cables_2010_07_1"/>
      <sheetName val="Cable Details_Master"/>
      <sheetName val="적용환율"/>
      <sheetName val="Page 1 - Front Sheet"/>
      <sheetName val="Cab_Commodity Code."/>
      <sheetName val="From Chennai_2010_01_09"/>
      <sheetName val="Cable Details (Ref)"/>
      <sheetName val="Vsl2"/>
      <sheetName val="PCV-048 &amp; TCV-013"/>
      <sheetName val="Input"/>
      <sheetName val="PumpSpec"/>
    </sheetNames>
    <sheetDataSet>
      <sheetData sheetId="0" refreshError="1">
        <row r="5">
          <cell r="A5">
            <v>0.25</v>
          </cell>
          <cell r="B5">
            <v>0.67</v>
          </cell>
          <cell r="C5">
            <v>0.59</v>
          </cell>
          <cell r="E5">
            <v>0.25</v>
          </cell>
          <cell r="F5">
            <v>0.51</v>
          </cell>
          <cell r="G5">
            <v>0.45</v>
          </cell>
        </row>
        <row r="6">
          <cell r="A6">
            <v>0.55000000000000004</v>
          </cell>
          <cell r="B6">
            <v>0.69</v>
          </cell>
          <cell r="C6">
            <v>0.53</v>
          </cell>
          <cell r="E6">
            <v>0.55000000000000004</v>
          </cell>
          <cell r="F6">
            <v>0.57999999999999996</v>
          </cell>
          <cell r="G6">
            <v>0.5</v>
          </cell>
          <cell r="J6">
            <v>0.1</v>
          </cell>
          <cell r="K6">
            <v>1</v>
          </cell>
          <cell r="L6">
            <v>1</v>
          </cell>
        </row>
        <row r="7">
          <cell r="A7">
            <v>0.75</v>
          </cell>
          <cell r="B7">
            <v>0.64</v>
          </cell>
          <cell r="C7">
            <v>0.67</v>
          </cell>
          <cell r="E7">
            <v>0.75</v>
          </cell>
          <cell r="F7">
            <v>0.62</v>
          </cell>
          <cell r="G7">
            <v>0.55000000000000004</v>
          </cell>
        </row>
        <row r="8">
          <cell r="A8">
            <v>1.1000000000000001</v>
          </cell>
          <cell r="B8">
            <v>0.73</v>
          </cell>
          <cell r="C8">
            <v>0.81</v>
          </cell>
          <cell r="E8">
            <v>1.1000000000000001</v>
          </cell>
          <cell r="F8">
            <v>0.77</v>
          </cell>
          <cell r="G8">
            <v>0.63</v>
          </cell>
        </row>
        <row r="9">
          <cell r="A9">
            <v>1.5</v>
          </cell>
          <cell r="B9">
            <v>0.73</v>
          </cell>
          <cell r="C9">
            <v>0.8</v>
          </cell>
          <cell r="E9">
            <v>1.5</v>
          </cell>
          <cell r="F9">
            <v>0.78</v>
          </cell>
          <cell r="G9">
            <v>0.63</v>
          </cell>
        </row>
        <row r="10">
          <cell r="A10">
            <v>2.2000000000000002</v>
          </cell>
          <cell r="B10">
            <v>0.79</v>
          </cell>
          <cell r="C10">
            <v>0.82</v>
          </cell>
          <cell r="E10">
            <v>2.2000000000000002</v>
          </cell>
          <cell r="F10">
            <v>0.79</v>
          </cell>
          <cell r="G10">
            <v>0.69</v>
          </cell>
          <cell r="J10">
            <v>0.1</v>
          </cell>
          <cell r="K10">
            <v>0.85</v>
          </cell>
          <cell r="L10">
            <v>0.8</v>
          </cell>
        </row>
        <row r="11">
          <cell r="A11">
            <v>3</v>
          </cell>
          <cell r="B11">
            <v>0.83</v>
          </cell>
          <cell r="C11">
            <v>0.86</v>
          </cell>
          <cell r="E11">
            <v>3</v>
          </cell>
          <cell r="F11">
            <v>0.82</v>
          </cell>
          <cell r="G11">
            <v>0.66</v>
          </cell>
        </row>
        <row r="12">
          <cell r="A12">
            <v>4</v>
          </cell>
          <cell r="B12">
            <v>0.85</v>
          </cell>
          <cell r="C12">
            <v>0.87</v>
          </cell>
          <cell r="E12">
            <v>4</v>
          </cell>
          <cell r="F12">
            <v>0.85</v>
          </cell>
          <cell r="G12">
            <v>0.74</v>
          </cell>
          <cell r="J12" t="str">
            <v>nameplateF (feeder)</v>
          </cell>
        </row>
        <row r="13">
          <cell r="A13">
            <v>5.5</v>
          </cell>
          <cell r="B13">
            <v>0.85</v>
          </cell>
          <cell r="C13">
            <v>0.86</v>
          </cell>
          <cell r="E13">
            <v>5.5</v>
          </cell>
          <cell r="F13">
            <v>0.86</v>
          </cell>
          <cell r="G13">
            <v>0.78</v>
          </cell>
          <cell r="J13">
            <v>0.1</v>
          </cell>
          <cell r="K13">
            <v>1</v>
          </cell>
          <cell r="L13">
            <v>0.9</v>
          </cell>
        </row>
        <row r="14">
          <cell r="A14">
            <v>7.5</v>
          </cell>
          <cell r="B14">
            <v>0.87</v>
          </cell>
          <cell r="C14">
            <v>0.87</v>
          </cell>
          <cell r="E14">
            <v>7.5</v>
          </cell>
          <cell r="F14">
            <v>0.87</v>
          </cell>
          <cell r="G14">
            <v>0.79</v>
          </cell>
        </row>
        <row r="15">
          <cell r="A15">
            <v>11</v>
          </cell>
          <cell r="B15">
            <v>0.87</v>
          </cell>
          <cell r="C15">
            <v>0.82</v>
          </cell>
          <cell r="E15">
            <v>11</v>
          </cell>
          <cell r="F15">
            <v>0.88</v>
          </cell>
          <cell r="G15">
            <v>0.81</v>
          </cell>
        </row>
        <row r="16">
          <cell r="A16">
            <v>15</v>
          </cell>
          <cell r="B16">
            <v>0.89</v>
          </cell>
          <cell r="C16">
            <v>0.88</v>
          </cell>
          <cell r="E16">
            <v>15</v>
          </cell>
          <cell r="F16">
            <v>0.9</v>
          </cell>
          <cell r="G16">
            <v>0.88</v>
          </cell>
        </row>
        <row r="17">
          <cell r="A17">
            <v>18.5</v>
          </cell>
          <cell r="B17">
            <v>0.9</v>
          </cell>
          <cell r="C17">
            <v>0.85</v>
          </cell>
          <cell r="E17">
            <v>18.5</v>
          </cell>
          <cell r="F17">
            <v>0.89</v>
          </cell>
          <cell r="G17">
            <v>0.85</v>
          </cell>
        </row>
        <row r="18">
          <cell r="A18">
            <v>22</v>
          </cell>
          <cell r="B18">
            <v>0.87</v>
          </cell>
          <cell r="C18">
            <v>0.91</v>
          </cell>
          <cell r="E18">
            <v>22</v>
          </cell>
          <cell r="F18">
            <v>0.9</v>
          </cell>
          <cell r="G18">
            <v>0.81</v>
          </cell>
        </row>
        <row r="19">
          <cell r="A19">
            <v>30</v>
          </cell>
          <cell r="B19">
            <v>0.89</v>
          </cell>
          <cell r="C19">
            <v>0.88</v>
          </cell>
          <cell r="E19">
            <v>30</v>
          </cell>
          <cell r="F19">
            <v>0.91</v>
          </cell>
          <cell r="G19">
            <v>0.84</v>
          </cell>
        </row>
        <row r="20">
          <cell r="A20">
            <v>37</v>
          </cell>
          <cell r="B20">
            <v>0.89</v>
          </cell>
          <cell r="C20">
            <v>0.87</v>
          </cell>
          <cell r="E20">
            <v>37</v>
          </cell>
          <cell r="F20">
            <v>0.91</v>
          </cell>
          <cell r="G20">
            <v>0.8</v>
          </cell>
        </row>
        <row r="21">
          <cell r="A21">
            <v>45</v>
          </cell>
          <cell r="B21">
            <v>0.89</v>
          </cell>
          <cell r="C21">
            <v>0.91</v>
          </cell>
          <cell r="E21">
            <v>45</v>
          </cell>
          <cell r="F21">
            <v>0.92</v>
          </cell>
          <cell r="G21">
            <v>0.81</v>
          </cell>
        </row>
        <row r="22">
          <cell r="A22">
            <v>55</v>
          </cell>
          <cell r="B22">
            <v>0.88</v>
          </cell>
          <cell r="C22">
            <v>0.86</v>
          </cell>
          <cell r="E22">
            <v>55</v>
          </cell>
          <cell r="F22">
            <v>0.92</v>
          </cell>
          <cell r="G22">
            <v>0.84</v>
          </cell>
        </row>
        <row r="23">
          <cell r="A23">
            <v>75</v>
          </cell>
          <cell r="B23">
            <v>0.89</v>
          </cell>
          <cell r="C23">
            <v>0.87</v>
          </cell>
          <cell r="E23">
            <v>75</v>
          </cell>
          <cell r="F23">
            <v>0.92</v>
          </cell>
          <cell r="G23">
            <v>0.84</v>
          </cell>
        </row>
        <row r="24">
          <cell r="A24">
            <v>90</v>
          </cell>
          <cell r="B24">
            <v>0.9</v>
          </cell>
          <cell r="C24">
            <v>0.89</v>
          </cell>
          <cell r="E24">
            <v>90</v>
          </cell>
          <cell r="F24">
            <v>0.92</v>
          </cell>
          <cell r="G24">
            <v>0.87</v>
          </cell>
        </row>
        <row r="25">
          <cell r="A25">
            <v>110</v>
          </cell>
          <cell r="B25">
            <v>0.91</v>
          </cell>
          <cell r="C25">
            <v>0.9</v>
          </cell>
          <cell r="E25">
            <v>110</v>
          </cell>
          <cell r="F25">
            <v>0.93</v>
          </cell>
          <cell r="G25">
            <v>0.87</v>
          </cell>
        </row>
        <row r="26">
          <cell r="A26">
            <v>132</v>
          </cell>
          <cell r="B26">
            <v>0.94</v>
          </cell>
          <cell r="C26">
            <v>0.9</v>
          </cell>
          <cell r="E26">
            <v>132</v>
          </cell>
          <cell r="F26">
            <v>0.93</v>
          </cell>
          <cell r="G26">
            <v>0.92</v>
          </cell>
        </row>
        <row r="27">
          <cell r="A27">
            <v>150</v>
          </cell>
          <cell r="B27">
            <v>0.94</v>
          </cell>
          <cell r="C27">
            <v>0.9</v>
          </cell>
          <cell r="E27">
            <v>150</v>
          </cell>
          <cell r="F27">
            <v>0.94</v>
          </cell>
          <cell r="G27">
            <v>0.92</v>
          </cell>
        </row>
        <row r="28">
          <cell r="A28">
            <v>160</v>
          </cell>
          <cell r="B28">
            <v>0.96</v>
          </cell>
          <cell r="C28">
            <v>0.85</v>
          </cell>
          <cell r="E28">
            <v>160</v>
          </cell>
          <cell r="F28">
            <v>0.95</v>
          </cell>
          <cell r="G28">
            <v>0.9</v>
          </cell>
        </row>
        <row r="29">
          <cell r="A29">
            <v>185</v>
          </cell>
          <cell r="B29">
            <v>0.96</v>
          </cell>
          <cell r="C29">
            <v>0.89</v>
          </cell>
          <cell r="E29">
            <v>185</v>
          </cell>
          <cell r="F29">
            <v>0.96</v>
          </cell>
          <cell r="G29">
            <v>0.89</v>
          </cell>
        </row>
        <row r="30">
          <cell r="A30">
            <v>230</v>
          </cell>
          <cell r="B30">
            <v>0.96</v>
          </cell>
          <cell r="C30">
            <v>0.91</v>
          </cell>
          <cell r="E30">
            <v>230</v>
          </cell>
          <cell r="F30">
            <v>0.96</v>
          </cell>
          <cell r="G30">
            <v>0.91</v>
          </cell>
        </row>
        <row r="31">
          <cell r="A31">
            <v>400</v>
          </cell>
          <cell r="B31">
            <v>0.96</v>
          </cell>
          <cell r="C31">
            <v>0.92</v>
          </cell>
          <cell r="E31">
            <v>400</v>
          </cell>
          <cell r="F31">
            <v>0.96</v>
          </cell>
          <cell r="G31">
            <v>0.92</v>
          </cell>
        </row>
        <row r="32">
          <cell r="A32">
            <v>500</v>
          </cell>
          <cell r="B32">
            <v>0.97</v>
          </cell>
          <cell r="C32">
            <v>0.93</v>
          </cell>
          <cell r="E32">
            <v>500</v>
          </cell>
          <cell r="F32">
            <v>0.97</v>
          </cell>
          <cell r="G32">
            <v>0.93</v>
          </cell>
        </row>
        <row r="33">
          <cell r="A33">
            <v>600</v>
          </cell>
          <cell r="B33">
            <v>0.97</v>
          </cell>
          <cell r="C33">
            <v>0.93</v>
          </cell>
          <cell r="E33">
            <v>600</v>
          </cell>
          <cell r="F33">
            <v>0.97</v>
          </cell>
          <cell r="G33">
            <v>0.93</v>
          </cell>
        </row>
        <row r="34">
          <cell r="A34">
            <v>1000</v>
          </cell>
          <cell r="B34">
            <v>0.97</v>
          </cell>
          <cell r="C34">
            <v>0.93</v>
          </cell>
          <cell r="E34">
            <v>1000</v>
          </cell>
          <cell r="F34">
            <v>0.97</v>
          </cell>
          <cell r="G34">
            <v>0.93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orrect"/>
      <sheetName val="Data"/>
      <sheetName val="Temp"/>
      <sheetName val="Code"/>
      <sheetName val="WorkTitle"/>
      <sheetName val="Titles"/>
      <sheetName val="Information"/>
      <sheetName val="General Data"/>
      <sheetName val="예산M12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ates"/>
      <sheetName val="BOQ"/>
      <sheetName val="Optics 315W-25m (1)"/>
      <sheetName val="Optics 315W-25m (2)"/>
      <sheetName val="Optics 280W-25m (1)"/>
      <sheetName val="Optics 280W-25m (2)"/>
      <sheetName val="Optics 250W-20m (1)"/>
      <sheetName val="Optics 250W-20m (2)"/>
      <sheetName val="Optics 315W-BOQ (2)"/>
      <sheetName val="ITS Dry"/>
    </sheetNames>
    <sheetDataSet>
      <sheetData sheetId="0"/>
      <sheetData sheetId="1"/>
      <sheetData sheetId="2">
        <row r="14">
          <cell r="F14">
            <v>37734784.060000002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_Sum"/>
      <sheetName val="Summary"/>
      <sheetName val="Unit_PRICES"/>
      <sheetName val="Coefficients"/>
      <sheetName val="Coefficients (2)"/>
      <sheetName val="6,000"/>
      <sheetName val="CAT_5"/>
      <sheetName val="Price Comparison"/>
      <sheetName val="pc -shaf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KE-HT"/>
      <sheetName val="LKVL-CK-HT-GD1"/>
      <sheetName val="DON GIA"/>
      <sheetName val="TONGKE_HT"/>
      <sheetName val="LKVL_CK_HT_GD1"/>
      <sheetName val="dg-V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별총"/>
      <sheetName val="COA-17"/>
      <sheetName val="C-18"/>
      <sheetName val="갑지"/>
      <sheetName val="h-013211-2"/>
      <sheetName val="총괄표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ash Flow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단면가정"/>
      <sheetName val="설계조건"/>
      <sheetName val="Sheet5"/>
      <sheetName val="기지국"/>
      <sheetName val="UB2"/>
      <sheetName val="DR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SUMMARY - LE"/>
      <sheetName val="OVERALL SUMMARY - US$ "/>
      <sheetName val="Contingency"/>
      <sheetName val="AGI IDENTIFICATION"/>
      <sheetName val="Main 34&quot; Pipeline"/>
      <sheetName val="Walidyah Power Station"/>
      <sheetName val="El Minya Cement"/>
      <sheetName val="El Minya Grey"/>
      <sheetName val="El Minya City Gate"/>
      <sheetName val="Abu Qurgas Sugar"/>
      <sheetName val="Asyut Cement"/>
      <sheetName val="Asyut Power Stn."/>
      <sheetName val="Misr Beni Suef Cement"/>
      <sheetName val="Sewedy Cement"/>
      <sheetName val="Pharonic Cement"/>
      <sheetName val="Watamia Cement"/>
      <sheetName val="El Minya Ind. Estate"/>
      <sheetName val="Aysut Ind. Estate"/>
      <sheetName val="Equipt &amp; Bulks Summary"/>
      <sheetName val="Equipt &amp; Bulks (1)"/>
      <sheetName val="Equipt &amp; Bulks (2)"/>
      <sheetName val="Equipt &amp; Bulks (3)"/>
      <sheetName val="Equipt &amp; Bulks (3a)"/>
      <sheetName val="Equipt &amp; Bulks (4)"/>
      <sheetName val="Equipt &amp; Bulks (4a)"/>
      <sheetName val="Equipt &amp; Bulks (5)"/>
      <sheetName val="Equipt &amp; Bulks (5a)"/>
      <sheetName val="Equipt &amp; Bulks (Misc)"/>
      <sheetName val="Civils Summary"/>
      <sheetName val="Civils (1)"/>
      <sheetName val="Civils (2)"/>
      <sheetName val="Civils (3)"/>
      <sheetName val="Civils (4)"/>
      <sheetName val="Civils (5)"/>
      <sheetName val="EXCH.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ilter Spec."/>
    </sheetNames>
    <sheetDataSet>
      <sheetData sheetId="0" refreshError="1"/>
      <sheetData sheetId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-ESP-cocharcas"/>
      <sheetName val="cant-obra-cocharcas"/>
      <sheetName val="desglose-PU"/>
      <sheetName val="PRESUP- FINAL-cocharcas"/>
      <sheetName val="MEMORIA-cocharcas"/>
      <sheetName val="GGYUTIL"/>
      <sheetName val="MAESTRA"/>
      <sheetName val="PARTIDAS"/>
      <sheetName val="PRECIOS"/>
      <sheetName val="PU_TIPO"/>
      <sheetName val="Macros"/>
      <sheetName val="All"/>
      <sheetName val="Sensitivities"/>
      <sheetName val="PRESUP-_FINAL-cocharc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4">
          <cell r="D4">
            <v>7630</v>
          </cell>
        </row>
        <row r="8">
          <cell r="D8">
            <v>4951</v>
          </cell>
        </row>
      </sheetData>
      <sheetData sheetId="9"/>
      <sheetData sheetId="10" refreshError="1"/>
      <sheetData sheetId="11">
        <row r="4">
          <cell r="D4" t="str">
            <v>TOTAL 
MANHOURS</v>
          </cell>
        </row>
      </sheetData>
      <sheetData sheetId="12" refreshError="1"/>
      <sheetData sheetId="1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luc1"/>
      <sheetName val="TONGKE-HT"/>
    </sheetNames>
    <sheetDataSet>
      <sheetData sheetId="0" refreshError="1"/>
      <sheetData sheetId="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CHITIET"/>
      <sheetName val="phuluc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lam-moi"/>
      <sheetName val="TH XL"/>
      <sheetName val="thao-go"/>
      <sheetName val="KH-LG"/>
      <sheetName val="vat-tu"/>
      <sheetName val="TK-tram"/>
      <sheetName val="CHENH-LECH"/>
      <sheetName val="TONG HOP"/>
      <sheetName val="TONG HOP M"/>
      <sheetName val="TONG"/>
      <sheetName val="th-khac"/>
      <sheetName val="BIA"/>
      <sheetName val="CHI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バルブ材質選定データ"/>
    </sheetNames>
    <sheetDataSet>
      <sheetData sheetId="0">
        <row r="14">
          <cell r="B14">
            <v>5</v>
          </cell>
        </row>
      </sheetData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mc"/>
      <sheetName val="dtxl"/>
      <sheetName val="thopxlc"/>
      <sheetName val="thxlk"/>
      <sheetName val="vldien"/>
      <sheetName val="vlcaqu"/>
      <sheetName val="dien"/>
      <sheetName val="vcdd"/>
      <sheetName val="vcdn"/>
      <sheetName val="beton"/>
      <sheetName val="cpdbu"/>
      <sheetName val="chenh"/>
      <sheetName val="dg1"/>
      <sheetName val="lam-moi"/>
      <sheetName val="TH XL"/>
      <sheetName val="thao-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 List"/>
      <sheetName val="UOP 508 PG 2-9"/>
      <sheetName val="Notes 10-11"/>
      <sheetName val="Sketch 12"/>
      <sheetName val="API 612 ST 1"/>
      <sheetName val="API 612 ST 2"/>
      <sheetName val="API 612 ST 3"/>
      <sheetName val="API 612 ST 4"/>
      <sheetName val="API 612 ST 5"/>
      <sheetName val="API 612 ST 6"/>
      <sheetName val="API 612 ST 7"/>
      <sheetName val="API 612 ST 8"/>
      <sheetName val="API 612 ST 9"/>
      <sheetName val="API 612 ST 10"/>
      <sheetName val="API 671 CPL 1"/>
      <sheetName val="API 671 CPL 2"/>
      <sheetName val="API 614 LO 1"/>
      <sheetName val="API 614 LO 2"/>
      <sheetName val="API 614 LO 3"/>
      <sheetName val="API 614 LO 4"/>
      <sheetName val="API 614 LO 5"/>
      <sheetName val="API 614 LO 6"/>
      <sheetName val="API 614 LO 7"/>
      <sheetName val="API 614 LO 8"/>
      <sheetName val="API 614 LO 9"/>
      <sheetName val="API 614 LO 10"/>
      <sheetName val="API 614 LO 11"/>
      <sheetName val="API 614 LO 12"/>
      <sheetName val="API 614 LO 13"/>
      <sheetName val="API 614 LO 14"/>
      <sheetName val="API 614 LO 15"/>
      <sheetName val="API 614 LO 16"/>
      <sheetName val="API 614 LO 17"/>
      <sheetName val="References 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RONisomax"/>
    </sheetNames>
    <sheetDataSet>
      <sheetData sheetId="0" refreshError="1"/>
      <sheetData sheetId="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"/>
      <sheetName val="설산1.나"/>
      <sheetName val="본사S"/>
      <sheetName val="WORK"/>
      <sheetName val="당초"/>
      <sheetName val="예산서"/>
      <sheetName val="2F 회의실견적(5_14 일대)"/>
      <sheetName val="공사비 내역 (가)"/>
      <sheetName val="OCT_FDN"/>
      <sheetName val="BM"/>
      <sheetName val="정부노임단가"/>
      <sheetName val="BQ"/>
      <sheetName val="OCT.FDN"/>
      <sheetName val="COVER"/>
      <sheetName val="INDIRECT COST-PART l"/>
      <sheetName val="ITB COST"/>
      <sheetName val="SPLHTLS"/>
      <sheetName val="투입실적"/>
      <sheetName val="Equipment"/>
      <sheetName val="Piping"/>
      <sheetName val="Sheet4"/>
      <sheetName val="산근"/>
      <sheetName val="SOHAR(2nd)"/>
      <sheetName val="1. Piping Final BOQ List"/>
      <sheetName val="PipWT"/>
      <sheetName val="eq_data"/>
      <sheetName val="NEWDRAW"/>
      <sheetName val="AABS내역"/>
      <sheetName val="도급양식"/>
      <sheetName val="공사비내역서"/>
      <sheetName val="DB_ET200(R. A)"/>
      <sheetName val="설계조건"/>
      <sheetName val="부재력정리"/>
      <sheetName val="PROG_DATA"/>
      <sheetName val="HDECGTY"/>
      <sheetName val="환율표"/>
      <sheetName val="¼³»ê1.³ª"/>
      <sheetName val="º»»çS"/>
      <sheetName val="´çÃÊ"/>
      <sheetName val="¿¹»ê¼­"/>
      <sheetName val="예산"/>
      <sheetName val="설산1_나"/>
      <sheetName val="ITB_COST"/>
      <sheetName val="OCT_FDN1"/>
      <sheetName val="2F_회의실견적(5_14_일대)"/>
      <sheetName val="공사비_내역_(가)"/>
      <sheetName val="INDIRECT_COST-PART_l"/>
      <sheetName val="1__Piping_Final_BOQ_List"/>
      <sheetName val="fitting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Proposal"/>
      <sheetName val="pakg-1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일위대가목록"/>
      <sheetName val=" GULF"/>
      <sheetName val="Base_Data"/>
      <sheetName val="공사뱄 내역 (가)"/>
      <sheetName val="Mech CIF"/>
      <sheetName val="부대내역"/>
      <sheetName val="예산M12A"/>
      <sheetName val="총괄갑 "/>
      <sheetName val="06-BATCH "/>
      <sheetName val="TABLE"/>
      <sheetName val="내역서"/>
      <sheetName val="A"/>
      <sheetName val="입력값"/>
      <sheetName val="C3"/>
      <sheetName val="#3E1_GCR"/>
      <sheetName val="dg-VTu"/>
      <sheetName val="INDIRECT MOBILIZATION PLAN"/>
      <sheetName val="MANPOWER MOBILIZATION"/>
      <sheetName val="LABOR MOBILIZATION PLAN"/>
      <sheetName val="STAFF MOBILIZATION PLAN"/>
      <sheetName val="BREAKDOWN"/>
      <sheetName val="PERSONNEL SETUP"/>
      <sheetName val="TEMPORARY FACILITIES"/>
      <sheetName val="WATER SUPPLY"/>
      <sheetName val="LIST OF OFFICE EQUIPMENT"/>
      <sheetName val="KOREAN STAFF SALARY - SITE"/>
      <sheetName val="DI-ESTI"/>
      <sheetName val="Material and Manpower data"/>
      <sheetName val="물량산출"/>
      <sheetName val="ISBL (검증)"/>
      <sheetName val="h-013211-2"/>
      <sheetName val="공통비"/>
      <sheetName val="MOTOR"/>
      <sheetName val="BQ External"/>
      <sheetName val="estimate"/>
      <sheetName val="IN"/>
      <sheetName val="6,000"/>
      <sheetName val="PIPES"/>
      <sheetName val="TUBES"/>
      <sheetName val="SCHEDULE"/>
      <sheetName val="적용환율"/>
      <sheetName val="Database"/>
      <sheetName val="SUMMARY"/>
      <sheetName val="운송비 및 보험료(991221)"/>
      <sheetName val="압력부제조원가 비교-1"/>
      <sheetName val="내역"/>
      <sheetName val="MixBed"/>
      <sheetName val="CondPol"/>
      <sheetName val="Tke"/>
      <sheetName val="직원동원계획"/>
      <sheetName val="RFP009"/>
      <sheetName val="RFP005"/>
      <sheetName val="SILICATE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Inputs"/>
      <sheetName val="BD"/>
      <sheetName val="LAB"/>
      <sheetName val="4300 UTILITY BLDG (2)"/>
      <sheetName val="Main"/>
      <sheetName val="Data"/>
      <sheetName val="COPY"/>
      <sheetName val="D-3503"/>
      <sheetName val="SE-611"/>
      <sheetName val="간접총괄"/>
      <sheetName val="BQ(Piping)"/>
      <sheetName val="Spare Parts(990104)"/>
      <sheetName val="ECL"/>
      <sheetName val="PRECAST lightconc-II"/>
      <sheetName val="변수적용"/>
      <sheetName val="Sheet1"/>
      <sheetName val="HRSG PRINT"/>
      <sheetName val="#REF"/>
      <sheetName val="Conversions"/>
      <sheetName val="PBS"/>
      <sheetName val="카메라"/>
      <sheetName val="RFP007"/>
      <sheetName val="RFP006"/>
      <sheetName val="변수 정의"/>
      <sheetName val="18 BL 배관 내역"/>
      <sheetName val="B31.1"/>
      <sheetName val="PSIZE"/>
      <sheetName val="ITEM-LIST"/>
      <sheetName val="변수정리"/>
      <sheetName val="공정율(기초자료)"/>
      <sheetName val="Desal-E&amp;I"/>
      <sheetName val="BOQ for HRSG &amp; BOP-mech."/>
      <sheetName val="손익현황"/>
      <sheetName val="현황CODE"/>
      <sheetName val="purpose&amp;input"/>
      <sheetName val="BCK_TSUP"/>
      <sheetName val="Form_A"/>
      <sheetName val="현대건설 증가분 내역"/>
      <sheetName val="97 사업추정(WEKI)"/>
      <sheetName val="임율 Data"/>
      <sheetName val="RING WALL"/>
      <sheetName val="202"/>
      <sheetName val="reinforce"/>
      <sheetName val="손익차총괄2"/>
      <sheetName val="간접인원 급료산출"/>
      <sheetName val="RE9604"/>
      <sheetName val="현장관리비"/>
      <sheetName val="노임이"/>
      <sheetName val="설계내역서"/>
      <sheetName val="근거 및 가정"/>
      <sheetName val="TOEC"/>
      <sheetName val="뚝토공"/>
      <sheetName val="3BL공동구 수량"/>
      <sheetName val="design criteria"/>
      <sheetName val="plan&amp;section of foundation"/>
      <sheetName val="1.설계조건"/>
      <sheetName val="OC1998"/>
      <sheetName val="sum"/>
      <sheetName val="技師派遣"/>
      <sheetName val="Generic Type 1-2"/>
      <sheetName val="L(2)"/>
    </sheetNames>
    <sheetDataSet>
      <sheetData sheetId="0">
        <row r="8">
          <cell r="E8">
            <v>65.62</v>
          </cell>
        </row>
        <row r="9">
          <cell r="E9">
            <v>59.04</v>
          </cell>
        </row>
        <row r="10">
          <cell r="E10">
            <v>56</v>
          </cell>
        </row>
        <row r="11">
          <cell r="E11">
            <v>3.2809999999999999E-2</v>
          </cell>
        </row>
        <row r="12">
          <cell r="E12">
            <v>0.16400000000000001</v>
          </cell>
        </row>
        <row r="15">
          <cell r="E15">
            <v>122</v>
          </cell>
        </row>
        <row r="16">
          <cell r="E16">
            <v>117</v>
          </cell>
        </row>
        <row r="17">
          <cell r="E17">
            <v>64</v>
          </cell>
        </row>
        <row r="18">
          <cell r="E18">
            <v>59</v>
          </cell>
        </row>
        <row r="21">
          <cell r="E21">
            <v>24.84</v>
          </cell>
        </row>
        <row r="22">
          <cell r="E22">
            <v>2.1899999999999999E-2</v>
          </cell>
        </row>
        <row r="23">
          <cell r="E23">
            <v>0.8</v>
          </cell>
        </row>
        <row r="26">
          <cell r="E26">
            <v>0.5</v>
          </cell>
        </row>
        <row r="27">
          <cell r="E27">
            <v>0.5</v>
          </cell>
        </row>
        <row r="30">
          <cell r="E30">
            <v>1000</v>
          </cell>
        </row>
        <row r="31">
          <cell r="E31">
            <v>800</v>
          </cell>
        </row>
        <row r="32">
          <cell r="E32">
            <v>1000</v>
          </cell>
        </row>
        <row r="33">
          <cell r="E33">
            <v>500</v>
          </cell>
        </row>
        <row r="35">
          <cell r="E35">
            <v>417000000</v>
          </cell>
        </row>
        <row r="36">
          <cell r="E36">
            <v>1.95</v>
          </cell>
        </row>
        <row r="37">
          <cell r="E37">
            <v>493.2</v>
          </cell>
        </row>
        <row r="43">
          <cell r="D43">
            <v>55.56</v>
          </cell>
          <cell r="E43">
            <v>0.08</v>
          </cell>
          <cell r="F43">
            <v>0.08</v>
          </cell>
        </row>
        <row r="44">
          <cell r="D44">
            <v>0.47899999999999998</v>
          </cell>
          <cell r="E44">
            <v>0.25</v>
          </cell>
          <cell r="F44">
            <v>0.25</v>
          </cell>
        </row>
        <row r="45">
          <cell r="D45">
            <v>1076.54</v>
          </cell>
          <cell r="E45">
            <v>1.6930000000000001E-2</v>
          </cell>
          <cell r="F45">
            <v>1.6930000000000001E-2</v>
          </cell>
        </row>
        <row r="46">
          <cell r="D46">
            <v>8.2299999999999998E-2</v>
          </cell>
          <cell r="E46">
            <v>1.5100000000000001E-2</v>
          </cell>
          <cell r="F46">
            <v>1.5100000000000001E-2</v>
          </cell>
        </row>
        <row r="47">
          <cell r="D47">
            <v>9.9999999999999995E-7</v>
          </cell>
          <cell r="E47">
            <v>2E-3</v>
          </cell>
          <cell r="F47">
            <v>2E-3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HEAT"/>
      <sheetName val="Testing"/>
      <sheetName val="General Data"/>
      <sheetName val="당초"/>
      <sheetName val="ITEM"/>
      <sheetName val="ISBL"/>
      <sheetName val="OSBL"/>
      <sheetName val="BQLIST"/>
      <sheetName val="Sitec120"/>
      <sheetName val="Condition"/>
      <sheetName val="함수"/>
      <sheetName val="기초입력"/>
      <sheetName val="Evap-기타"/>
      <sheetName val="분류기준"/>
      <sheetName val="´çÃÊ"/>
      <sheetName val="INDIRECT COST-PART l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TTL"/>
      <sheetName val="Proposal"/>
      <sheetName val="LABCOST"/>
      <sheetName val="BM"/>
      <sheetName val="내역"/>
      <sheetName val="BQ"/>
      <sheetName val="BQ_Equip_Pipe"/>
      <sheetName val="WORK"/>
      <sheetName val="BOM-Form A.1.III"/>
      <sheetName val="Bdown_ISBL"/>
      <sheetName val="Generic Type 1-2"/>
      <sheetName val="Y-WORK"/>
      <sheetName val="A"/>
      <sheetName val="SCHEDULE"/>
      <sheetName val="pakg-1"/>
      <sheetName val="NEWDRAW"/>
      <sheetName val="운송비 및 보험료(991221)"/>
      <sheetName val="압력부제조원가 비교-1"/>
      <sheetName val="Spare Parts(990104)"/>
      <sheetName val="ECL"/>
      <sheetName val="PRECAST lightconc-II"/>
      <sheetName val="실행(1)"/>
      <sheetName val="C3"/>
      <sheetName val="BD集計用"/>
      <sheetName val="97 사업추정(WEKI)"/>
      <sheetName val="임율 Data"/>
      <sheetName val="March"/>
      <sheetName val="Material"/>
      <sheetName val="General_Data"/>
      <sheetName val="뚝토공"/>
      <sheetName val="적용환율"/>
    </sheetNames>
    <definedNames>
      <definedName name="iteration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OE-1"/>
      <sheetName val="OE-2"/>
      <sheetName val="OE-3"/>
      <sheetName val="OE-4"/>
      <sheetName val="OE-5"/>
      <sheetName val="OE-6"/>
      <sheetName val=" Structural"/>
      <sheetName val="Architectural"/>
      <sheetName val="INSIND"/>
      <sheetName val="Sheet10T016"/>
      <sheetName val="FitOutConfCentre"/>
      <sheetName val="LLE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PDMoi  (2)"/>
      <sheetName val="BATRIBTR"/>
    </sheetNames>
    <sheetDataSet>
      <sheetData sheetId="0" refreshError="1"/>
      <sheetData sheetId="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CION VENTA CABLES"/>
      <sheetName val="RESUMEN"/>
      <sheetName val="Inicio"/>
      <sheetName val="Controles"/>
      <sheetName val="Datos Oferta"/>
      <sheetName val="Estudio"/>
      <sheetName val="Carta"/>
      <sheetName val="Portada"/>
      <sheetName val="Hoja Seguimiento"/>
      <sheetName val="Ficha Oferta 1"/>
      <sheetName val="Ficha Oferta 2"/>
      <sheetName val="Datos internos"/>
      <sheetName val="Cálculo hora"/>
      <sheetName val="ESTIMACION_VENTA_CABLES"/>
      <sheetName val="Datos_Oferta"/>
      <sheetName val="Hoja_Seguimiento"/>
      <sheetName val="Ficha_Oferta_1"/>
      <sheetName val="Ficha_Oferta_2"/>
      <sheetName val="Datos_internos"/>
      <sheetName val="Cálculo_hora"/>
      <sheetName val="ESTIMACION_VENTA_CABLES1"/>
      <sheetName val="Datos_Oferta1"/>
      <sheetName val="Hoja_Seguimiento1"/>
      <sheetName val="Ficha_Oferta_11"/>
      <sheetName val="Ficha_Oferta_21"/>
      <sheetName val="Datos_internos1"/>
      <sheetName val="Cálculo_hor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4">
          <cell r="C34">
            <v>1.18</v>
          </cell>
        </row>
        <row r="36">
          <cell r="C36">
            <v>1.2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>
        <row r="34">
          <cell r="C34">
            <v>1.18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thanh1"/>
      <sheetName val="dongia"/>
      <sheetName val="dongia (2)"/>
      <sheetName val="thkp1"/>
      <sheetName val="thkp1 (2)"/>
      <sheetName val="thkp1 (3)"/>
      <sheetName val="thkp1 (4)"/>
      <sheetName val="thkp1 (5)"/>
      <sheetName val="thkp1 (6)"/>
      <sheetName val="VCDD (2)"/>
      <sheetName val="Sheet1"/>
      <sheetName val="thkp2"/>
      <sheetName val="VCDD (3)"/>
      <sheetName val="chitiet2"/>
      <sheetName val="Sheet1 (3)"/>
      <sheetName val="CT1X25"/>
      <sheetName val="TH1x25 (5)"/>
      <sheetName val="CT3X25"/>
      <sheetName val="TH3x25"/>
      <sheetName val="CT1X37.5"/>
      <sheetName val="TH1x37.5"/>
      <sheetName val="TH1x75 (2)"/>
      <sheetName val="CT1X75"/>
      <sheetName val="CT1X50"/>
      <sheetName val="TH1x50"/>
      <sheetName val="ChiTietDZ"/>
      <sheetName val="VuaB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 bundle"/>
      <sheetName val="steam table"/>
      <sheetName val="loss계산-TAWEELAH-msf-jan6"/>
      <sheetName val="BID"/>
      <sheetName val="환율표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BSD _2_"/>
      <sheetName val="BSD (2)"/>
      <sheetName val="95신규호표"/>
      <sheetName val="BM"/>
      <sheetName val="001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GADA66"/>
      <sheetName val="BBP"/>
      <sheetName val="DATA"/>
      <sheetName val="Liabilities"/>
      <sheetName val="P&amp;L"/>
      <sheetName val="B"/>
      <sheetName val="Billing 4-1-09"/>
      <sheetName val="INSIND"/>
    </sheetNames>
    <sheetDataSet>
      <sheetData sheetId="0"/>
      <sheetData sheetId="1"/>
      <sheetData sheetId="2" refreshError="1">
        <row r="1">
          <cell r="B1">
            <v>0</v>
          </cell>
        </row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</row>
        <row r="12">
          <cell r="B12">
            <v>11</v>
          </cell>
        </row>
        <row r="13">
          <cell r="B13">
            <v>12</v>
          </cell>
        </row>
        <row r="14">
          <cell r="B14">
            <v>13</v>
          </cell>
        </row>
        <row r="15">
          <cell r="B15">
            <v>14</v>
          </cell>
        </row>
        <row r="16">
          <cell r="B16">
            <v>15</v>
          </cell>
        </row>
        <row r="17">
          <cell r="B17">
            <v>16</v>
          </cell>
        </row>
        <row r="18">
          <cell r="B18">
            <v>17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20</v>
          </cell>
        </row>
        <row r="22">
          <cell r="B22">
            <v>21</v>
          </cell>
        </row>
        <row r="23">
          <cell r="B23">
            <v>22</v>
          </cell>
        </row>
        <row r="24">
          <cell r="B24">
            <v>23</v>
          </cell>
        </row>
        <row r="25">
          <cell r="B25">
            <v>24</v>
          </cell>
        </row>
        <row r="26">
          <cell r="B26">
            <v>25</v>
          </cell>
        </row>
        <row r="27">
          <cell r="B27">
            <v>26</v>
          </cell>
        </row>
        <row r="28">
          <cell r="B28">
            <v>27</v>
          </cell>
        </row>
        <row r="29">
          <cell r="B29">
            <v>28</v>
          </cell>
        </row>
        <row r="30">
          <cell r="B30">
            <v>29</v>
          </cell>
        </row>
        <row r="31">
          <cell r="B31">
            <v>30</v>
          </cell>
        </row>
        <row r="32">
          <cell r="B32">
            <v>31</v>
          </cell>
        </row>
        <row r="33">
          <cell r="B33">
            <v>32</v>
          </cell>
        </row>
        <row r="34">
          <cell r="B34">
            <v>33</v>
          </cell>
        </row>
        <row r="35">
          <cell r="B35">
            <v>34</v>
          </cell>
        </row>
        <row r="36">
          <cell r="B36">
            <v>35</v>
          </cell>
        </row>
        <row r="37">
          <cell r="B37">
            <v>36</v>
          </cell>
        </row>
        <row r="38">
          <cell r="B38">
            <v>37</v>
          </cell>
        </row>
        <row r="39">
          <cell r="B39">
            <v>38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CMTD"/>
    </sheetNames>
    <sheetDataSet>
      <sheetData sheetId="0" refreshError="1"/>
      <sheetData sheetId="1" refreshError="1"/>
      <sheetData sheetId="2">
        <row r="7">
          <cell r="E7">
            <v>0.29584573420035853</v>
          </cell>
        </row>
        <row r="9">
          <cell r="C9">
            <v>-20.665200719106309</v>
          </cell>
        </row>
        <row r="11">
          <cell r="C11">
            <v>0.75447195846558368</v>
          </cell>
        </row>
      </sheetData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 Fenoon (2)"/>
      <sheetName val="El Fenoon"/>
      <sheetName val="BBP"/>
      <sheetName val="PS"/>
      <sheetName val="RELAYS"/>
      <sheetName val="DATA"/>
      <sheetName val="P&amp;L"/>
      <sheetName val="ITEM LIST"/>
      <sheetName val="Take off"/>
      <sheetName val="#REF"/>
      <sheetName val="Liabilities"/>
    </sheetNames>
    <sheetDataSet>
      <sheetData sheetId="0"/>
      <sheetData sheetId="1"/>
      <sheetData sheetId="2"/>
      <sheetData sheetId="3"/>
      <sheetData sheetId="4">
        <row r="63">
          <cell r="M63">
            <v>1800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h HA THE"/>
      <sheetName val="HT"/>
    </sheetNames>
    <sheetDataSet>
      <sheetData sheetId="0" refreshError="1"/>
      <sheetData sheetId="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 VL-NC-TT -1p"/>
      <sheetName val="TDTKP1"/>
      <sheetName val="TONG HOP VL-NC TT"/>
      <sheetName val="KPVC-BD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ision"/>
      <sheetName val="Heat Balance"/>
      <sheetName val="Result"/>
      <sheetName val="Performance"/>
      <sheetName val="Steam-Sys"/>
      <sheetName val="PFD"/>
      <sheetName val="Steam cal(2)"/>
      <sheetName val="PFD-stage"/>
      <sheetName val="OP1"/>
      <sheetName val="OP2"/>
      <sheetName val="OP3"/>
      <sheetName val="OP4"/>
      <sheetName val="OP5"/>
      <sheetName val="OP6"/>
      <sheetName val="OP7"/>
      <sheetName val="gate data"/>
      <sheetName val="OP8"/>
      <sheetName val="One BRP"/>
      <sheetName val="Sheet2"/>
      <sheetName val="Weir gate"/>
      <sheetName val="steam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"/>
      <sheetName val="7.0 CASHFLOW"/>
      <sheetName val="9.0 VARIATION"/>
      <sheetName val="dBase"/>
      <sheetName val="CIF COST ITEM"/>
      <sheetName val="FORM7"/>
      <sheetName val="BID"/>
      <sheetName val="단가비교표_공통1"/>
      <sheetName val="SLABREINF-SCH"/>
      <sheetName val="MOTOR"/>
      <sheetName val="Common Data"/>
      <sheetName val="Sheet1"/>
      <sheetName val="7_0_CASHFLOW"/>
      <sheetName val="9_0_VARIATION"/>
      <sheetName val="CIF_COST_ITEM"/>
      <sheetName val="PC FORM"/>
      <sheetName val="2000년1차"/>
      <sheetName val="산출내역서"/>
      <sheetName val="재료"/>
      <sheetName val="일위대가"/>
      <sheetName val="환율"/>
      <sheetName val="관급"/>
      <sheetName val="단가"/>
      <sheetName val="노임"/>
      <sheetName val="UP"/>
      <sheetName val="공사수행방안"/>
      <sheetName val="箱桁予算工数"/>
      <sheetName val="Itemised Breakdown"/>
      <sheetName val="잡비계산"/>
      <sheetName val="BILL-I"/>
      <sheetName val="Sheet1 (2)"/>
      <sheetName val="BOQ건축"/>
      <sheetName val="SRC-B3U2"/>
      <sheetName val="科目"/>
      <sheetName val="Customize Your Invoice"/>
      <sheetName val="30개월기준대비표 아랍택)"/>
      <sheetName val="총괄표 (2)"/>
      <sheetName val="내역서"/>
      <sheetName val="Tag Equip Value"/>
      <sheetName val="Boq"/>
      <sheetName val="노무비기준"/>
      <sheetName val="IBASE"/>
      <sheetName val="EI 27-0010C BACKUP"/>
      <sheetName val="gap-makrana"/>
      <sheetName val="BANK POSITION REPORT"/>
      <sheetName val="ancillary"/>
      <sheetName val="Item정리"/>
      <sheetName val="Core Wall "/>
      <sheetName val="집계"/>
      <sheetName val="材料单"/>
      <sheetName val="PROJECT BRIEF"/>
      <sheetName val="Site Expenses"/>
      <sheetName val="입찰내역 발주처 양식"/>
      <sheetName val="PriceSummary"/>
      <sheetName val="PROJECT BRIEF(EX.NEW)"/>
      <sheetName val="finalj"/>
      <sheetName val="공종별_집계금액"/>
      <sheetName val="Control"/>
      <sheetName val="Joseph Record"/>
      <sheetName val="UP-Civil"/>
      <sheetName val="Sheet2"/>
      <sheetName val="Publicbuil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表紙"/>
      <sheetName val="（輸）見積表紙"/>
      <sheetName val="内訳明細書"/>
      <sheetName val="機械工数内訳"/>
      <sheetName val="電計工数内訳"/>
      <sheetName val="配管材料内訳"/>
      <sheetName val="電計材料内訳"/>
      <sheetName val="仕様書"/>
      <sheetName val="輸出管理ﾁｪｯｸｼｰﾄ"/>
      <sheetName val="監督及び重機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KISSO"/>
      <sheetName val="BBP"/>
      <sheetName val="PS"/>
      <sheetName val="RELAYS"/>
      <sheetName val="DATA"/>
      <sheetName val="Spread_sht"/>
      <sheetName val="Equipment"/>
      <sheetName val="Materials"/>
      <sheetName val="Personell"/>
      <sheetName val="Scenario"/>
      <sheetName val="MIX V18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64">
          <cell r="M64">
            <v>1695.1981556244066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thanh1"/>
      <sheetName val="dongia"/>
      <sheetName val="dongia (2)"/>
      <sheetName val="thkp1"/>
      <sheetName val="thkp1 (2)"/>
      <sheetName val="thkp1 (3)"/>
      <sheetName val="thkp1 (4)"/>
      <sheetName val="thkp1 (5)"/>
      <sheetName val="thkp1 (6)"/>
      <sheetName val="VCDD (2)"/>
      <sheetName val="Sheet1"/>
      <sheetName val="thkp2"/>
      <sheetName val="VCDD (3)"/>
      <sheetName val="chitiet2"/>
      <sheetName val="Sheet1 (3)"/>
      <sheetName val="CT1X25"/>
      <sheetName val="TH1x25 (5)"/>
      <sheetName val="CT3X25"/>
      <sheetName val="TH3x25"/>
      <sheetName val="CT1X37.5"/>
      <sheetName val="TH1x37.5"/>
      <sheetName val="TH1x75 (2)"/>
      <sheetName val="CT1X75"/>
      <sheetName val="CT1X50"/>
      <sheetName val="TH1x50"/>
      <sheetName val="TDTKP (2)"/>
      <sheetName val="TONGKE3p"/>
      <sheetName val="CHITIET VL-NC-DDTT3PHA "/>
      <sheetName val="CHITIET VL-NC-TT1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-FL_ROSTO "/>
      <sheetName val="ENTRADA DE DADOS"/>
      <sheetName val="DESCRIÇÃO DOS CÓDIGOS"/>
      <sheetName val="TOTAIS COD-DIAM"/>
      <sheetName val="TOTAIS_PREÇOS COD-DIAM"/>
      <sheetName val="Preços-FLROSTO"/>
      <sheetName val="PESO-PREFAB"/>
      <sheetName val="PESO-MONT"/>
      <sheetName val="PRECO-FORNECIM"/>
      <sheetName val="PRECO-M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BS11T-1/2"x65</v>
          </cell>
          <cell r="C2">
            <v>0.11600000000000001</v>
          </cell>
        </row>
        <row r="3">
          <cell r="B3" t="str">
            <v>BS11T-5/8"x90</v>
          </cell>
          <cell r="C3">
            <v>0.222</v>
          </cell>
        </row>
        <row r="4">
          <cell r="B4" t="str">
            <v>BS11T-3/4"x95</v>
          </cell>
          <cell r="C4">
            <v>0.36199999999999999</v>
          </cell>
        </row>
        <row r="5">
          <cell r="B5" t="str">
            <v>BS11T-3/4"x110</v>
          </cell>
          <cell r="C5">
            <v>0.38100000000000001</v>
          </cell>
        </row>
        <row r="6">
          <cell r="B6" t="str">
            <v>BS11T-3/4"x115</v>
          </cell>
          <cell r="C6">
            <v>0.4</v>
          </cell>
        </row>
        <row r="7">
          <cell r="B7" t="str">
            <v>BS11T-3/4"x125</v>
          </cell>
          <cell r="C7">
            <v>0.41</v>
          </cell>
        </row>
        <row r="8">
          <cell r="B8" t="str">
            <v>BS13T-3/4"x95</v>
          </cell>
          <cell r="C8">
            <v>0.36199999999999999</v>
          </cell>
        </row>
        <row r="9">
          <cell r="B9" t="str">
            <v>BS13T-3/4"x115</v>
          </cell>
          <cell r="C9">
            <v>0.4</v>
          </cell>
        </row>
        <row r="10">
          <cell r="B10" t="str">
            <v>BS13T-3/4"x125</v>
          </cell>
          <cell r="C10">
            <v>0.41</v>
          </cell>
        </row>
        <row r="11">
          <cell r="B11" t="str">
            <v>BS13T-7/8"x140</v>
          </cell>
          <cell r="C11">
            <v>0.63</v>
          </cell>
        </row>
        <row r="12">
          <cell r="B12" t="str">
            <v>BS13T-1"x160</v>
          </cell>
          <cell r="C12">
            <v>0.92200000000000004</v>
          </cell>
        </row>
        <row r="13">
          <cell r="B13" t="str">
            <v>BS13T-1.1/8"x170</v>
          </cell>
          <cell r="C13">
            <v>1.28</v>
          </cell>
        </row>
        <row r="14">
          <cell r="B14" t="str">
            <v>BS13T-1.1/4"x190</v>
          </cell>
          <cell r="C14">
            <v>1.74</v>
          </cell>
        </row>
        <row r="15">
          <cell r="B15" t="str">
            <v>BS13T-1.1/2"x235</v>
          </cell>
          <cell r="C15">
            <v>3.16</v>
          </cell>
        </row>
        <row r="16">
          <cell r="B16" t="str">
            <v>CA13TJ-3/4"</v>
          </cell>
          <cell r="C16">
            <v>0.1</v>
          </cell>
        </row>
        <row r="17">
          <cell r="B17" t="str">
            <v>CA25TK-3/4"</v>
          </cell>
          <cell r="C17">
            <v>0.15</v>
          </cell>
        </row>
        <row r="18">
          <cell r="B18" t="str">
            <v>CF13SJ-1/2"</v>
          </cell>
          <cell r="C18">
            <v>0.15</v>
          </cell>
        </row>
        <row r="19">
          <cell r="B19" t="str">
            <v>EL13SJ-90-3/4"</v>
          </cell>
          <cell r="C19">
            <v>0.35</v>
          </cell>
        </row>
        <row r="20">
          <cell r="B20" t="str">
            <v>EL25SK-90-3/4"</v>
          </cell>
          <cell r="C20">
            <v>0.4</v>
          </cell>
        </row>
        <row r="21">
          <cell r="B21" t="str">
            <v>FB13RB-6"</v>
          </cell>
          <cell r="C21">
            <v>23</v>
          </cell>
        </row>
        <row r="22">
          <cell r="B22" t="str">
            <v>FB13SBX-6"</v>
          </cell>
          <cell r="C22">
            <v>23</v>
          </cell>
        </row>
        <row r="23">
          <cell r="B23" t="str">
            <v>FB13SBX-10"</v>
          </cell>
          <cell r="C23">
            <v>58</v>
          </cell>
        </row>
        <row r="24">
          <cell r="B24" t="str">
            <v>FB13SBX-12"</v>
          </cell>
          <cell r="C24">
            <v>83</v>
          </cell>
        </row>
        <row r="25">
          <cell r="B25" t="str">
            <v>FB13SBX-14"</v>
          </cell>
          <cell r="C25">
            <v>107</v>
          </cell>
        </row>
        <row r="26">
          <cell r="B26" t="str">
            <v>FB13SBX-16"</v>
          </cell>
          <cell r="C26">
            <v>139</v>
          </cell>
        </row>
        <row r="27">
          <cell r="B27" t="str">
            <v>FB13SBX-2"</v>
          </cell>
          <cell r="C27">
            <v>3.5</v>
          </cell>
        </row>
        <row r="28">
          <cell r="B28" t="str">
            <v>FB13SBX-2.1/2"</v>
          </cell>
          <cell r="C28">
            <v>5.5</v>
          </cell>
        </row>
        <row r="29">
          <cell r="B29" t="str">
            <v>FB13SBX-3"</v>
          </cell>
          <cell r="C29">
            <v>7</v>
          </cell>
        </row>
        <row r="30">
          <cell r="B30" t="str">
            <v>FB13SBX-4"</v>
          </cell>
          <cell r="C30">
            <v>12</v>
          </cell>
        </row>
        <row r="31">
          <cell r="B31" t="str">
            <v>FB13SBX-5"</v>
          </cell>
          <cell r="C31">
            <v>15.8</v>
          </cell>
        </row>
        <row r="32">
          <cell r="B32" t="str">
            <v>FB13SBX-8"</v>
          </cell>
          <cell r="C32">
            <v>37</v>
          </cell>
        </row>
        <row r="33">
          <cell r="B33" t="str">
            <v>FB13SDX-2"</v>
          </cell>
          <cell r="C33">
            <v>4.4000000000000004</v>
          </cell>
        </row>
        <row r="34">
          <cell r="B34" t="str">
            <v>FB25RB-1.1/2"</v>
          </cell>
          <cell r="C34">
            <v>3</v>
          </cell>
        </row>
        <row r="35">
          <cell r="B35" t="str">
            <v>FB25RB-6"</v>
          </cell>
          <cell r="C35">
            <v>23</v>
          </cell>
        </row>
        <row r="36">
          <cell r="B36" t="str">
            <v>FB25RB-16"</v>
          </cell>
          <cell r="C36">
            <v>139</v>
          </cell>
        </row>
        <row r="37">
          <cell r="B37" t="str">
            <v>FS13R4A-1/2"</v>
          </cell>
          <cell r="C37">
            <v>1.2</v>
          </cell>
        </row>
        <row r="38">
          <cell r="B38" t="str">
            <v>FS13R8B-1.1/2"</v>
          </cell>
          <cell r="C38">
            <v>2.5</v>
          </cell>
        </row>
        <row r="39">
          <cell r="B39" t="str">
            <v>GS21A-1/2"</v>
          </cell>
          <cell r="C39">
            <v>0.18</v>
          </cell>
        </row>
        <row r="40">
          <cell r="B40" t="str">
            <v>GS24B-1.1/2"</v>
          </cell>
          <cell r="C40">
            <v>0.4</v>
          </cell>
        </row>
        <row r="41">
          <cell r="B41" t="str">
            <v>GS24B-2"</v>
          </cell>
          <cell r="C41">
            <v>0.65</v>
          </cell>
        </row>
        <row r="42">
          <cell r="B42" t="str">
            <v>GS24B-3"</v>
          </cell>
          <cell r="C42">
            <v>0.85</v>
          </cell>
        </row>
        <row r="43">
          <cell r="B43" t="str">
            <v>GS24B-4"</v>
          </cell>
          <cell r="C43">
            <v>1.04</v>
          </cell>
        </row>
        <row r="44">
          <cell r="B44" t="str">
            <v>GS24B-6"</v>
          </cell>
          <cell r="C44">
            <v>2.14</v>
          </cell>
        </row>
        <row r="45">
          <cell r="B45" t="str">
            <v>GS24B-8"</v>
          </cell>
          <cell r="C45">
            <v>2.7</v>
          </cell>
        </row>
        <row r="46">
          <cell r="B46" t="str">
            <v>GS24B-10"</v>
          </cell>
          <cell r="C46">
            <v>3.25</v>
          </cell>
        </row>
        <row r="47">
          <cell r="B47" t="str">
            <v>GS24B-12"</v>
          </cell>
          <cell r="C47">
            <v>4.2</v>
          </cell>
        </row>
        <row r="48">
          <cell r="B48" t="str">
            <v>GS24B-16"</v>
          </cell>
          <cell r="C48">
            <v>7.2</v>
          </cell>
        </row>
        <row r="49">
          <cell r="B49" t="str">
            <v>GS24B-24"</v>
          </cell>
          <cell r="C49">
            <v>12.8</v>
          </cell>
        </row>
        <row r="50">
          <cell r="B50" t="str">
            <v>NI14PT8-3/4"</v>
          </cell>
          <cell r="C50">
            <v>0.16500000000000001</v>
          </cell>
        </row>
        <row r="51">
          <cell r="B51" t="str">
            <v>NI25PT9-3/4"</v>
          </cell>
          <cell r="C51">
            <v>0.218</v>
          </cell>
        </row>
        <row r="52">
          <cell r="B52" t="str">
            <v>PS11P4-1/2"</v>
          </cell>
          <cell r="C52">
            <v>1.27</v>
          </cell>
        </row>
        <row r="53">
          <cell r="B53" t="str">
            <v>PS14P4-1/2"</v>
          </cell>
          <cell r="C53">
            <v>1.27</v>
          </cell>
        </row>
        <row r="54">
          <cell r="B54" t="str">
            <v>PS14P8-3/4"</v>
          </cell>
          <cell r="C54">
            <v>2.2000000000000002</v>
          </cell>
        </row>
        <row r="55">
          <cell r="B55" t="str">
            <v>PS14P8-1.1/2"</v>
          </cell>
          <cell r="C55">
            <v>5.41</v>
          </cell>
        </row>
        <row r="56">
          <cell r="B56" t="str">
            <v>PS25P9-3/4"</v>
          </cell>
          <cell r="C56">
            <v>2.9</v>
          </cell>
        </row>
        <row r="57">
          <cell r="B57" t="str">
            <v>SP001-3/8"</v>
          </cell>
          <cell r="C57">
            <v>0.25</v>
          </cell>
        </row>
        <row r="58">
          <cell r="B58" t="str">
            <v>SP002-6"</v>
          </cell>
          <cell r="C58">
            <v>250</v>
          </cell>
        </row>
        <row r="59">
          <cell r="B59" t="str">
            <v>SP003-3"</v>
          </cell>
          <cell r="C59">
            <v>250</v>
          </cell>
        </row>
        <row r="60">
          <cell r="B60" t="str">
            <v>STR62SE-1/2"</v>
          </cell>
          <cell r="C60">
            <v>0.75</v>
          </cell>
        </row>
        <row r="61">
          <cell r="B61" t="str">
            <v>TE13SJ-1/2"</v>
          </cell>
          <cell r="C61">
            <v>0.35</v>
          </cell>
        </row>
        <row r="62">
          <cell r="B62" t="str">
            <v>VCH68FB-6"</v>
          </cell>
          <cell r="C62">
            <v>146</v>
          </cell>
        </row>
        <row r="63">
          <cell r="B63" t="str">
            <v>VCH69FB-4"</v>
          </cell>
          <cell r="C63">
            <v>68</v>
          </cell>
        </row>
        <row r="64">
          <cell r="B64" t="str">
            <v>VGA1FR09-2"</v>
          </cell>
          <cell r="C64">
            <v>31</v>
          </cell>
        </row>
        <row r="65">
          <cell r="B65" t="str">
            <v>VGA1FR09-3"</v>
          </cell>
          <cell r="C65">
            <v>55</v>
          </cell>
        </row>
        <row r="66">
          <cell r="B66" t="str">
            <v>VGA1FR09-4"</v>
          </cell>
          <cell r="C66">
            <v>61</v>
          </cell>
        </row>
        <row r="67">
          <cell r="B67" t="str">
            <v>VGA1FR09-6"</v>
          </cell>
          <cell r="C67">
            <v>157</v>
          </cell>
        </row>
        <row r="68">
          <cell r="B68" t="str">
            <v>VGA1FR09-8"</v>
          </cell>
          <cell r="C68">
            <v>175</v>
          </cell>
        </row>
        <row r="69">
          <cell r="B69" t="str">
            <v>VGA1FR10-20"</v>
          </cell>
          <cell r="C69">
            <v>880</v>
          </cell>
        </row>
        <row r="70">
          <cell r="B70" t="str">
            <v>VGA1FR20-3"</v>
          </cell>
          <cell r="C70">
            <v>55</v>
          </cell>
        </row>
        <row r="71">
          <cell r="B71" t="str">
            <v>VGA1FR20-10"</v>
          </cell>
          <cell r="C71">
            <v>230</v>
          </cell>
        </row>
        <row r="72">
          <cell r="B72" t="str">
            <v>VGA16SE-3/4"</v>
          </cell>
          <cell r="C72">
            <v>3.4</v>
          </cell>
        </row>
        <row r="73">
          <cell r="B73" t="str">
            <v>VGA17SE-1/2"</v>
          </cell>
          <cell r="C73">
            <v>2.1</v>
          </cell>
        </row>
        <row r="74">
          <cell r="B74" t="str">
            <v>VGA18SE-1/2"</v>
          </cell>
          <cell r="C74">
            <v>2.1</v>
          </cell>
        </row>
        <row r="75">
          <cell r="B75" t="str">
            <v>VGA26SAG-20"</v>
          </cell>
          <cell r="C75">
            <v>880</v>
          </cell>
        </row>
        <row r="76">
          <cell r="B76" t="str">
            <v>VGA26SAG-36"</v>
          </cell>
          <cell r="C76">
            <v>3350</v>
          </cell>
        </row>
        <row r="77">
          <cell r="B77" t="str">
            <v>VGA28FB-4"</v>
          </cell>
          <cell r="C77">
            <v>60.8</v>
          </cell>
        </row>
        <row r="78">
          <cell r="B78" t="str">
            <v>VGA48SE-3/4"</v>
          </cell>
          <cell r="C78">
            <v>3.4</v>
          </cell>
        </row>
        <row r="79">
          <cell r="B79" t="str">
            <v>VGA69FB-6"</v>
          </cell>
          <cell r="C79">
            <v>157</v>
          </cell>
        </row>
        <row r="80">
          <cell r="B80" t="str">
            <v>VGL28FB-4"</v>
          </cell>
          <cell r="C80">
            <v>59</v>
          </cell>
        </row>
        <row r="81">
          <cell r="B81" t="str">
            <v>VGL69FB-6"</v>
          </cell>
          <cell r="C81">
            <v>190</v>
          </cell>
        </row>
      </sheetData>
      <sheetData sheetId="8"/>
      <sheetData sheetId="9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 (2)"/>
      <sheetName val="giathanh1"/>
      <sheetName val="Cash Flo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 VL-NC TT"/>
      <sheetName val="TDTKP1"/>
      <sheetName val="CHITIET VL-NC-TT -1p"/>
      <sheetName val="KPVC-BD "/>
      <sheetName val="DON GIA"/>
      <sheetName val="DAY TT &amp; TD"/>
      <sheetName val="DD 3P 22KV K5"/>
      <sheetName val="TH-THT"/>
      <sheetName val="Gia thanh NCvanchuyen 1m3 beton"/>
      <sheetName val="Gia thanh 1m3 beton"/>
      <sheetName val="CHITIET HA THE"/>
      <sheetName val="TONG HOP VL-NC HT"/>
      <sheetName val="#REF"/>
      <sheetName val="Gia tha聮h NCvanchuyen 1m3 beton"/>
      <sheetName val="CHITIET VL-NC-TT-3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NHCHINH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TKP"/>
      <sheetName val="TONGKE3p "/>
      <sheetName val="NEOGOC"/>
      <sheetName val="neothang"/>
      <sheetName val="dothang"/>
      <sheetName val="NEOGOCvuong90"/>
      <sheetName val="NEOGOC(90)"/>
      <sheetName val="bangtinh"/>
      <sheetName val="XX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echanical GT"/>
      <sheetName val="Piping GT"/>
      <sheetName val="Electrical and I&amp;C GT"/>
      <sheetName val="Control-Cables GT (2)"/>
    </sheetNames>
    <sheetDataSet>
      <sheetData sheetId="0"/>
      <sheetData sheetId="1" refreshError="1"/>
      <sheetData sheetId="2" refreshError="1"/>
      <sheetData sheetId="3"/>
      <sheetData sheetId="4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ingSchd"/>
      <sheetName val="기구조직"/>
      <sheetName val="기구조직 (2)"/>
      <sheetName val="기구조직 (3)"/>
      <sheetName val="한국인급여"/>
      <sheetName val="급여조견(해외현장)"/>
      <sheetName val="필리핀"/>
      <sheetName val="Manning(계산용)"/>
      <sheetName val="원안대비"/>
      <sheetName val="30개월기준대비표 아랍택)"/>
      <sheetName val="총괄표"/>
      <sheetName val="총괄표 (2)"/>
      <sheetName val="현관비"/>
      <sheetName val="공통가설"/>
      <sheetName val="공통가설 (정리)"/>
      <sheetName val="3rd PLANT"/>
      <sheetName val="한국인급여금액대비표"/>
      <sheetName val="32개월기준대비표 (3)"/>
      <sheetName val="총괄"/>
      <sheetName val="Manning(Sub)"/>
      <sheetName val="30개월기준대비표 아랍택_"/>
      <sheetName val="총괄표 _2_"/>
      <sheetName val="LAB"/>
      <sheetName val="PROJECT BRIEF(EX.NEW)"/>
      <sheetName val="기구조직_(2)"/>
      <sheetName val="기구조직_(3)"/>
      <sheetName val="30개월기준대비표_아랍택)"/>
      <sheetName val="총괄표_(2)"/>
      <sheetName val="공통가설_(정리)"/>
      <sheetName val="3rd_PLANT"/>
      <sheetName val="32개월기준대비표_(3)"/>
      <sheetName val="30개월기준대비표_아랍택_"/>
      <sheetName val="총괄표__2_"/>
      <sheetName val="dBase"/>
      <sheetName val="Material Lookup Table"/>
      <sheetName val="집계"/>
      <sheetName val="Criteria"/>
      <sheetName val="Project Brief"/>
      <sheetName val="gap-makrana"/>
      <sheetName val="summary"/>
      <sheetName val="Contents"/>
      <sheetName val="slap"/>
      <sheetName val="tank"/>
      <sheetName val="Boq"/>
      <sheetName val="Notes"/>
      <sheetName val="eval"/>
      <sheetName val=" Est "/>
      <sheetName val="??? (2)"/>
      <sheetName val="BOQ건축"/>
      <sheetName val="orgoae"/>
      <sheetName val="Manning Schedule"/>
      <sheetName val="Project Budget Worksheet"/>
      <sheetName val="Panels (DWG)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>
            <v>1</v>
          </cell>
          <cell r="C1">
            <v>2</v>
          </cell>
          <cell r="D1">
            <v>3</v>
          </cell>
          <cell r="E1">
            <v>2</v>
          </cell>
          <cell r="F1">
            <v>5</v>
          </cell>
          <cell r="G1">
            <v>6</v>
          </cell>
          <cell r="H1">
            <v>7</v>
          </cell>
          <cell r="I1" t="str">
            <v>CONTRACT NAME</v>
          </cell>
          <cell r="J1">
            <v>9</v>
          </cell>
          <cell r="K1" t="str">
            <v>A.D.I.A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</row>
        <row r="2">
          <cell r="B2" t="str">
            <v xml:space="preserve">COST </v>
          </cell>
          <cell r="C2" t="str">
            <v>no</v>
          </cell>
          <cell r="D2" t="str">
            <v>BQ</v>
          </cell>
          <cell r="E2" t="str">
            <v>TENDER ALLOWANCE</v>
          </cell>
          <cell r="I2" t="str">
            <v>UPDATE (25/July)</v>
          </cell>
          <cell r="K2" t="str">
            <v>A.D.I.A</v>
          </cell>
          <cell r="L2" t="str">
            <v xml:space="preserve"> UPDATE ( 12/17)</v>
          </cell>
          <cell r="N2" t="str">
            <v xml:space="preserve"> </v>
          </cell>
          <cell r="O2" t="str">
            <v xml:space="preserve">           Samsung (19/DEC)</v>
          </cell>
          <cell r="R2" t="str">
            <v xml:space="preserve"> </v>
          </cell>
          <cell r="S2" t="str">
            <v>Agreed (20/DEC)</v>
          </cell>
          <cell r="V2" t="str">
            <v>PROFIT / LOSS</v>
          </cell>
          <cell r="X2" t="str">
            <v xml:space="preserve"> UPDATE ( Feb/2001)</v>
          </cell>
        </row>
        <row r="3">
          <cell r="B3" t="str">
            <v>CODE</v>
          </cell>
          <cell r="C3" t="str">
            <v>no</v>
          </cell>
          <cell r="D3" t="str">
            <v>NO</v>
          </cell>
          <cell r="E3" t="str">
            <v>DESCRIPTION</v>
          </cell>
          <cell r="F3" t="str">
            <v>PEROID</v>
          </cell>
          <cell r="G3" t="str">
            <v>RATE</v>
          </cell>
          <cell r="H3" t="str">
            <v>TOTAL</v>
          </cell>
          <cell r="I3" t="str">
            <v>PEROID</v>
          </cell>
          <cell r="J3" t="str">
            <v>RATE</v>
          </cell>
          <cell r="K3" t="str">
            <v>TOTAL</v>
          </cell>
          <cell r="L3" t="str">
            <v>PEROID</v>
          </cell>
          <cell r="M3" t="str">
            <v>RATE</v>
          </cell>
          <cell r="N3" t="str">
            <v>TOTAL</v>
          </cell>
          <cell r="O3" t="str">
            <v>PEROID</v>
          </cell>
          <cell r="P3" t="str">
            <v>RATE</v>
          </cell>
          <cell r="Q3" t="str">
            <v>TOTAL</v>
          </cell>
          <cell r="R3" t="str">
            <v xml:space="preserve"> </v>
          </cell>
          <cell r="S3" t="str">
            <v>Agreed (20/DEC)</v>
          </cell>
          <cell r="V3" t="str">
            <v>CUM.</v>
          </cell>
          <cell r="W3" t="str">
            <v>MONTH</v>
          </cell>
          <cell r="X3" t="str">
            <v>PEROID</v>
          </cell>
          <cell r="Y3" t="str">
            <v>RATE</v>
          </cell>
        </row>
        <row r="4">
          <cell r="B4">
            <v>1200</v>
          </cell>
          <cell r="D4" t="str">
            <v>NO</v>
          </cell>
          <cell r="E4" t="str">
            <v>TEMPORARY BUILDINGS</v>
          </cell>
          <cell r="F4" t="str">
            <v>PEROID</v>
          </cell>
          <cell r="G4" t="str">
            <v>RATE</v>
          </cell>
          <cell r="H4">
            <v>240000</v>
          </cell>
          <cell r="I4" t="str">
            <v>PEROID</v>
          </cell>
          <cell r="J4" t="str">
            <v>RATE</v>
          </cell>
          <cell r="K4">
            <v>260000</v>
          </cell>
          <cell r="L4" t="str">
            <v>PEROID</v>
          </cell>
          <cell r="M4" t="str">
            <v>RATE</v>
          </cell>
          <cell r="N4">
            <v>240000</v>
          </cell>
          <cell r="O4" t="str">
            <v>PEROID</v>
          </cell>
          <cell r="P4" t="str">
            <v>RATE</v>
          </cell>
          <cell r="Q4">
            <v>270000</v>
          </cell>
          <cell r="U4">
            <v>270000</v>
          </cell>
          <cell r="V4" t="str">
            <v>CUM.</v>
          </cell>
          <cell r="W4" t="str">
            <v>MONTH</v>
          </cell>
          <cell r="X4" t="str">
            <v>PEROID</v>
          </cell>
          <cell r="Y4" t="str">
            <v>RATE</v>
          </cell>
        </row>
        <row r="5">
          <cell r="B5">
            <v>1200</v>
          </cell>
          <cell r="C5">
            <v>1</v>
          </cell>
          <cell r="D5">
            <v>5</v>
          </cell>
          <cell r="E5" t="str">
            <v>TEMPORARY BUILDING</v>
          </cell>
          <cell r="H5">
            <v>0</v>
          </cell>
          <cell r="K5">
            <v>0</v>
          </cell>
          <cell r="N5">
            <v>0</v>
          </cell>
          <cell r="Q5">
            <v>0</v>
          </cell>
          <cell r="U5">
            <v>0</v>
          </cell>
        </row>
        <row r="6">
          <cell r="B6">
            <v>1201</v>
          </cell>
          <cell r="C6">
            <v>2</v>
          </cell>
          <cell r="D6">
            <v>5</v>
          </cell>
          <cell r="E6" t="str">
            <v>CANTEEN  +  EQUIPMENT</v>
          </cell>
          <cell r="F6" t="str">
            <v>ITEM</v>
          </cell>
          <cell r="G6">
            <v>25000</v>
          </cell>
          <cell r="H6">
            <v>25000</v>
          </cell>
          <cell r="I6" t="str">
            <v>ITEM</v>
          </cell>
          <cell r="J6">
            <v>25000</v>
          </cell>
          <cell r="K6">
            <v>25000</v>
          </cell>
          <cell r="L6" t="str">
            <v>ITEM</v>
          </cell>
          <cell r="M6">
            <v>25000</v>
          </cell>
          <cell r="N6">
            <v>25000</v>
          </cell>
          <cell r="O6" t="str">
            <v>ITEM</v>
          </cell>
          <cell r="P6">
            <v>25000</v>
          </cell>
          <cell r="Q6">
            <v>25000</v>
          </cell>
          <cell r="R6" t="str">
            <v>ITEM</v>
          </cell>
          <cell r="S6">
            <v>25000</v>
          </cell>
          <cell r="U6">
            <v>25000</v>
          </cell>
          <cell r="X6">
            <v>1</v>
          </cell>
          <cell r="Y6">
            <v>25000</v>
          </cell>
        </row>
        <row r="7">
          <cell r="B7">
            <v>1202</v>
          </cell>
          <cell r="C7">
            <v>3</v>
          </cell>
          <cell r="D7">
            <v>5</v>
          </cell>
          <cell r="E7" t="str">
            <v>STORES</v>
          </cell>
          <cell r="F7">
            <v>1000</v>
          </cell>
          <cell r="G7">
            <v>200</v>
          </cell>
          <cell r="H7">
            <v>200000</v>
          </cell>
          <cell r="I7">
            <v>1000</v>
          </cell>
          <cell r="J7">
            <v>200</v>
          </cell>
          <cell r="K7">
            <v>200000</v>
          </cell>
          <cell r="L7">
            <v>1000</v>
          </cell>
          <cell r="M7">
            <v>200</v>
          </cell>
          <cell r="N7">
            <v>200000</v>
          </cell>
          <cell r="O7">
            <v>1000</v>
          </cell>
          <cell r="P7">
            <v>200</v>
          </cell>
          <cell r="Q7">
            <v>200000</v>
          </cell>
          <cell r="R7">
            <v>1000</v>
          </cell>
          <cell r="S7">
            <v>200</v>
          </cell>
          <cell r="U7">
            <v>200000</v>
          </cell>
          <cell r="X7">
            <v>1000</v>
          </cell>
          <cell r="Y7">
            <v>200</v>
          </cell>
        </row>
        <row r="8">
          <cell r="B8">
            <v>1203</v>
          </cell>
          <cell r="C8">
            <v>4</v>
          </cell>
          <cell r="D8">
            <v>5</v>
          </cell>
          <cell r="E8" t="str">
            <v>TOILETS</v>
          </cell>
          <cell r="F8">
            <v>143</v>
          </cell>
          <cell r="G8">
            <v>800</v>
          </cell>
          <cell r="H8">
            <v>114400</v>
          </cell>
          <cell r="I8">
            <v>143</v>
          </cell>
          <cell r="J8">
            <v>800</v>
          </cell>
          <cell r="K8">
            <v>114400</v>
          </cell>
          <cell r="L8">
            <v>143</v>
          </cell>
          <cell r="M8">
            <v>800</v>
          </cell>
          <cell r="N8">
            <v>114400</v>
          </cell>
          <cell r="O8">
            <v>143</v>
          </cell>
          <cell r="P8">
            <v>800</v>
          </cell>
          <cell r="Q8">
            <v>114400</v>
          </cell>
          <cell r="R8">
            <v>143</v>
          </cell>
          <cell r="S8">
            <v>800</v>
          </cell>
          <cell r="U8">
            <v>114400</v>
          </cell>
          <cell r="X8">
            <v>143</v>
          </cell>
          <cell r="Y8">
            <v>800</v>
          </cell>
        </row>
        <row r="9">
          <cell r="B9">
            <v>1204</v>
          </cell>
          <cell r="C9">
            <v>5</v>
          </cell>
          <cell r="D9">
            <v>5</v>
          </cell>
          <cell r="E9" t="str">
            <v>CARAVANS/REPAIRS</v>
          </cell>
          <cell r="F9" t="str">
            <v>ITEM</v>
          </cell>
          <cell r="G9">
            <v>50000</v>
          </cell>
          <cell r="H9">
            <v>50000</v>
          </cell>
          <cell r="I9" t="str">
            <v>ITEM</v>
          </cell>
          <cell r="J9">
            <v>50000</v>
          </cell>
          <cell r="K9">
            <v>50000</v>
          </cell>
          <cell r="L9" t="str">
            <v>ITEM</v>
          </cell>
          <cell r="M9">
            <v>50000</v>
          </cell>
          <cell r="N9">
            <v>50000</v>
          </cell>
          <cell r="O9" t="str">
            <v>ITEM</v>
          </cell>
          <cell r="P9">
            <v>50000</v>
          </cell>
          <cell r="Q9">
            <v>50000</v>
          </cell>
          <cell r="R9" t="str">
            <v>ITEM</v>
          </cell>
          <cell r="S9">
            <v>50000</v>
          </cell>
          <cell r="U9">
            <v>50000</v>
          </cell>
          <cell r="X9">
            <v>1</v>
          </cell>
          <cell r="Y9">
            <v>50000</v>
          </cell>
        </row>
        <row r="10">
          <cell r="B10">
            <v>1205</v>
          </cell>
          <cell r="C10">
            <v>6</v>
          </cell>
          <cell r="D10">
            <v>5</v>
          </cell>
          <cell r="E10" t="str">
            <v>EMPLOYERS OFFICE</v>
          </cell>
          <cell r="F10">
            <v>470</v>
          </cell>
          <cell r="G10">
            <v>275</v>
          </cell>
          <cell r="H10">
            <v>129250</v>
          </cell>
          <cell r="I10">
            <v>470</v>
          </cell>
          <cell r="J10">
            <v>275</v>
          </cell>
          <cell r="K10">
            <v>129250</v>
          </cell>
          <cell r="L10">
            <v>470</v>
          </cell>
          <cell r="M10">
            <v>275</v>
          </cell>
          <cell r="N10">
            <v>129250</v>
          </cell>
          <cell r="O10">
            <v>470</v>
          </cell>
          <cell r="P10">
            <v>330</v>
          </cell>
          <cell r="Q10">
            <v>155100</v>
          </cell>
          <cell r="R10">
            <v>470</v>
          </cell>
          <cell r="S10">
            <v>330</v>
          </cell>
          <cell r="U10">
            <v>155100</v>
          </cell>
          <cell r="X10">
            <v>470</v>
          </cell>
          <cell r="Y10">
            <v>330</v>
          </cell>
        </row>
        <row r="11">
          <cell r="B11">
            <v>1206</v>
          </cell>
          <cell r="C11">
            <v>7</v>
          </cell>
          <cell r="D11">
            <v>5</v>
          </cell>
          <cell r="E11" t="str">
            <v>CONTRACTORS OFFICE (400+300)</v>
          </cell>
          <cell r="F11">
            <v>700</v>
          </cell>
          <cell r="G11">
            <v>275</v>
          </cell>
          <cell r="H11">
            <v>192500</v>
          </cell>
          <cell r="I11">
            <v>700</v>
          </cell>
          <cell r="J11">
            <v>275</v>
          </cell>
          <cell r="K11">
            <v>192500</v>
          </cell>
          <cell r="L11">
            <v>700</v>
          </cell>
          <cell r="M11">
            <v>275</v>
          </cell>
          <cell r="N11">
            <v>192500</v>
          </cell>
          <cell r="O11">
            <v>800</v>
          </cell>
          <cell r="P11">
            <v>330</v>
          </cell>
          <cell r="Q11">
            <v>264000</v>
          </cell>
          <cell r="R11">
            <v>700</v>
          </cell>
          <cell r="S11">
            <v>330</v>
          </cell>
          <cell r="U11">
            <v>231000</v>
          </cell>
          <cell r="X11">
            <v>700</v>
          </cell>
          <cell r="Y11">
            <v>330</v>
          </cell>
        </row>
        <row r="12">
          <cell r="B12">
            <v>1207</v>
          </cell>
          <cell r="C12">
            <v>8</v>
          </cell>
          <cell r="D12">
            <v>48</v>
          </cell>
          <cell r="E12" t="str">
            <v>EMPOLYERS  OFFICE EQUIPMENT</v>
          </cell>
          <cell r="F12" t="str">
            <v>ITEM</v>
          </cell>
          <cell r="G12">
            <v>35000</v>
          </cell>
          <cell r="H12">
            <v>35000</v>
          </cell>
          <cell r="I12" t="str">
            <v>ITEM</v>
          </cell>
          <cell r="J12">
            <v>35000</v>
          </cell>
          <cell r="K12">
            <v>35000</v>
          </cell>
          <cell r="L12" t="str">
            <v>ITEM</v>
          </cell>
          <cell r="M12">
            <v>35000</v>
          </cell>
          <cell r="N12">
            <v>35000</v>
          </cell>
          <cell r="O12" t="str">
            <v>ITEM</v>
          </cell>
          <cell r="P12">
            <v>35000</v>
          </cell>
          <cell r="Q12">
            <v>35000</v>
          </cell>
          <cell r="R12" t="str">
            <v>ITEM</v>
          </cell>
          <cell r="S12">
            <v>35000</v>
          </cell>
          <cell r="U12">
            <v>35000</v>
          </cell>
          <cell r="X12">
            <v>1</v>
          </cell>
          <cell r="Y12">
            <v>35000</v>
          </cell>
        </row>
        <row r="13">
          <cell r="B13">
            <v>1208</v>
          </cell>
          <cell r="C13">
            <v>9</v>
          </cell>
          <cell r="D13">
            <v>5</v>
          </cell>
          <cell r="E13" t="str">
            <v xml:space="preserve">CONTRACTORS OFFICE EQUIPMENT </v>
          </cell>
          <cell r="F13" t="str">
            <v>ITEM</v>
          </cell>
          <cell r="G13">
            <v>35000</v>
          </cell>
          <cell r="H13">
            <v>35000</v>
          </cell>
          <cell r="I13" t="str">
            <v>ITEM</v>
          </cell>
          <cell r="J13">
            <v>35000</v>
          </cell>
          <cell r="K13">
            <v>35000</v>
          </cell>
          <cell r="L13" t="str">
            <v>ITEM</v>
          </cell>
          <cell r="M13">
            <v>35000</v>
          </cell>
          <cell r="N13">
            <v>35000</v>
          </cell>
          <cell r="O13" t="str">
            <v>ITEM</v>
          </cell>
          <cell r="P13">
            <v>35000</v>
          </cell>
          <cell r="Q13">
            <v>35000</v>
          </cell>
          <cell r="R13" t="str">
            <v>ITEM</v>
          </cell>
          <cell r="S13">
            <v>35000</v>
          </cell>
          <cell r="U13">
            <v>35000</v>
          </cell>
          <cell r="X13">
            <v>1</v>
          </cell>
          <cell r="Y13">
            <v>35000</v>
          </cell>
        </row>
        <row r="14">
          <cell r="B14">
            <v>1209</v>
          </cell>
          <cell r="C14">
            <v>10</v>
          </cell>
          <cell r="D14">
            <v>37</v>
          </cell>
          <cell r="E14" t="str">
            <v>FIRST AID EQUIPMENT</v>
          </cell>
          <cell r="F14">
            <v>24</v>
          </cell>
          <cell r="G14">
            <v>2000</v>
          </cell>
          <cell r="H14">
            <v>48000</v>
          </cell>
          <cell r="I14">
            <v>26</v>
          </cell>
          <cell r="J14">
            <v>2000</v>
          </cell>
          <cell r="K14">
            <v>52000</v>
          </cell>
          <cell r="L14">
            <v>24</v>
          </cell>
          <cell r="M14">
            <v>2000</v>
          </cell>
          <cell r="N14">
            <v>48000</v>
          </cell>
          <cell r="O14">
            <v>30</v>
          </cell>
          <cell r="P14">
            <v>2000</v>
          </cell>
          <cell r="Q14">
            <v>60000</v>
          </cell>
          <cell r="R14">
            <v>30</v>
          </cell>
          <cell r="S14">
            <v>2000</v>
          </cell>
          <cell r="U14">
            <v>60000</v>
          </cell>
          <cell r="X14">
            <v>30</v>
          </cell>
          <cell r="Y14">
            <v>2000</v>
          </cell>
        </row>
        <row r="15">
          <cell r="B15">
            <v>1210</v>
          </cell>
          <cell r="C15">
            <v>11</v>
          </cell>
          <cell r="D15">
            <v>5</v>
          </cell>
          <cell r="E15" t="str">
            <v>ENGINEERING INSTRUMENTS</v>
          </cell>
          <cell r="F15" t="str">
            <v>ITEM</v>
          </cell>
          <cell r="G15">
            <v>35000</v>
          </cell>
          <cell r="H15">
            <v>35000</v>
          </cell>
          <cell r="I15" t="str">
            <v>ITEM</v>
          </cell>
          <cell r="J15">
            <v>35000</v>
          </cell>
          <cell r="K15">
            <v>35000</v>
          </cell>
          <cell r="L15" t="str">
            <v>ITEM</v>
          </cell>
          <cell r="M15">
            <v>35000</v>
          </cell>
          <cell r="N15">
            <v>35000</v>
          </cell>
          <cell r="O15" t="str">
            <v>ITEM</v>
          </cell>
          <cell r="P15">
            <v>35000</v>
          </cell>
          <cell r="Q15">
            <v>35000</v>
          </cell>
          <cell r="R15" t="str">
            <v>ITEM</v>
          </cell>
          <cell r="S15">
            <v>35000</v>
          </cell>
          <cell r="U15">
            <v>35000</v>
          </cell>
          <cell r="X15">
            <v>1</v>
          </cell>
          <cell r="Y15">
            <v>35000</v>
          </cell>
        </row>
        <row r="16">
          <cell r="B16">
            <v>1211</v>
          </cell>
          <cell r="C16">
            <v>12</v>
          </cell>
          <cell r="D16">
            <v>5</v>
          </cell>
          <cell r="E16" t="str">
            <v>TEMPORARY PLUMBING</v>
          </cell>
          <cell r="F16" t="str">
            <v>ITEM</v>
          </cell>
          <cell r="G16">
            <v>50000</v>
          </cell>
          <cell r="H16">
            <v>50000</v>
          </cell>
          <cell r="I16" t="str">
            <v>ITEM</v>
          </cell>
          <cell r="J16">
            <v>50000</v>
          </cell>
          <cell r="K16">
            <v>50000</v>
          </cell>
          <cell r="L16" t="str">
            <v>ITEM</v>
          </cell>
          <cell r="M16">
            <v>50000</v>
          </cell>
          <cell r="N16">
            <v>50000</v>
          </cell>
          <cell r="O16" t="str">
            <v>ITEM</v>
          </cell>
          <cell r="P16">
            <v>50000</v>
          </cell>
          <cell r="Q16">
            <v>50000</v>
          </cell>
          <cell r="R16" t="str">
            <v>ITEM</v>
          </cell>
          <cell r="S16">
            <v>50000</v>
          </cell>
          <cell r="U16">
            <v>50000</v>
          </cell>
          <cell r="X16">
            <v>1</v>
          </cell>
          <cell r="Y16">
            <v>50000</v>
          </cell>
        </row>
        <row r="17">
          <cell r="B17">
            <v>1212</v>
          </cell>
          <cell r="C17">
            <v>13</v>
          </cell>
          <cell r="D17">
            <v>5</v>
          </cell>
          <cell r="E17" t="str">
            <v>TEMPORARY ELECTRICS</v>
          </cell>
          <cell r="F17" t="str">
            <v>ITEM</v>
          </cell>
          <cell r="G17">
            <v>85000</v>
          </cell>
          <cell r="H17">
            <v>85000</v>
          </cell>
          <cell r="I17" t="str">
            <v>ITEM</v>
          </cell>
          <cell r="J17">
            <v>85000</v>
          </cell>
          <cell r="K17">
            <v>85000</v>
          </cell>
          <cell r="L17" t="str">
            <v>ITEM</v>
          </cell>
          <cell r="M17">
            <v>85000</v>
          </cell>
          <cell r="N17">
            <v>85000</v>
          </cell>
          <cell r="O17" t="str">
            <v>ITEM</v>
          </cell>
          <cell r="P17">
            <v>85000</v>
          </cell>
          <cell r="Q17">
            <v>85000</v>
          </cell>
          <cell r="R17" t="str">
            <v>ITEM</v>
          </cell>
          <cell r="S17">
            <v>85000</v>
          </cell>
          <cell r="U17">
            <v>85000</v>
          </cell>
          <cell r="X17">
            <v>1</v>
          </cell>
          <cell r="Y17">
            <v>85000</v>
          </cell>
        </row>
        <row r="18">
          <cell r="B18">
            <v>1213</v>
          </cell>
          <cell r="C18">
            <v>14</v>
          </cell>
          <cell r="D18">
            <v>5</v>
          </cell>
          <cell r="E18" t="str">
            <v>RENT FOR LABOUR CAMP</v>
          </cell>
          <cell r="F18" t="str">
            <v>ITEM</v>
          </cell>
          <cell r="G18">
            <v>425000</v>
          </cell>
          <cell r="H18">
            <v>425000</v>
          </cell>
          <cell r="I18" t="str">
            <v>ITEM</v>
          </cell>
          <cell r="J18">
            <v>725000</v>
          </cell>
          <cell r="K18">
            <v>725000</v>
          </cell>
          <cell r="L18" t="str">
            <v>ITEM</v>
          </cell>
          <cell r="M18">
            <v>725000</v>
          </cell>
          <cell r="N18">
            <v>725000</v>
          </cell>
          <cell r="O18" t="str">
            <v>ITEM</v>
          </cell>
          <cell r="P18">
            <v>725000</v>
          </cell>
          <cell r="Q18">
            <v>725000</v>
          </cell>
          <cell r="R18" t="str">
            <v>ITEM</v>
          </cell>
          <cell r="S18">
            <v>725000</v>
          </cell>
          <cell r="U18">
            <v>725000</v>
          </cell>
          <cell r="X18">
            <v>1</v>
          </cell>
          <cell r="Y18">
            <v>725000</v>
          </cell>
        </row>
        <row r="19">
          <cell r="B19">
            <v>1214</v>
          </cell>
          <cell r="C19">
            <v>15</v>
          </cell>
          <cell r="D19">
            <v>5</v>
          </cell>
          <cell r="E19" t="str">
            <v>TEMPORARY DRAINAGE</v>
          </cell>
          <cell r="F19" t="str">
            <v>ITEM</v>
          </cell>
          <cell r="G19">
            <v>95000</v>
          </cell>
          <cell r="H19">
            <v>95000</v>
          </cell>
          <cell r="I19" t="str">
            <v>ITEM</v>
          </cell>
          <cell r="J19">
            <v>95000</v>
          </cell>
          <cell r="K19">
            <v>95000</v>
          </cell>
          <cell r="L19" t="str">
            <v>ITEM</v>
          </cell>
          <cell r="M19">
            <v>95000</v>
          </cell>
          <cell r="N19">
            <v>95000</v>
          </cell>
          <cell r="O19" t="str">
            <v>ITEM</v>
          </cell>
          <cell r="P19">
            <v>95000</v>
          </cell>
          <cell r="Q19">
            <v>95000</v>
          </cell>
          <cell r="R19" t="str">
            <v>ITEM</v>
          </cell>
          <cell r="S19">
            <v>95000</v>
          </cell>
          <cell r="U19">
            <v>95000</v>
          </cell>
          <cell r="X19">
            <v>1</v>
          </cell>
          <cell r="Y19">
            <v>95000</v>
          </cell>
        </row>
        <row r="20">
          <cell r="B20">
            <v>1215</v>
          </cell>
          <cell r="C20">
            <v>16</v>
          </cell>
          <cell r="D20">
            <v>5</v>
          </cell>
          <cell r="E20" t="str">
            <v>OFFICE CLEANING</v>
          </cell>
          <cell r="F20">
            <v>24</v>
          </cell>
          <cell r="G20">
            <v>1500</v>
          </cell>
          <cell r="H20">
            <v>36000</v>
          </cell>
          <cell r="I20">
            <v>26</v>
          </cell>
          <cell r="J20">
            <v>1500</v>
          </cell>
          <cell r="K20">
            <v>39000</v>
          </cell>
          <cell r="L20">
            <v>24</v>
          </cell>
          <cell r="M20">
            <v>1500</v>
          </cell>
          <cell r="N20">
            <v>36000</v>
          </cell>
          <cell r="O20">
            <v>30</v>
          </cell>
          <cell r="P20">
            <v>1500</v>
          </cell>
          <cell r="Q20">
            <v>45000</v>
          </cell>
          <cell r="R20">
            <v>30</v>
          </cell>
          <cell r="S20">
            <v>1500</v>
          </cell>
          <cell r="U20">
            <v>45000</v>
          </cell>
          <cell r="X20">
            <v>30</v>
          </cell>
          <cell r="Y20">
            <v>1500</v>
          </cell>
        </row>
        <row r="21">
          <cell r="B21">
            <v>1216</v>
          </cell>
          <cell r="C21">
            <v>17</v>
          </cell>
          <cell r="D21">
            <v>5</v>
          </cell>
          <cell r="E21" t="str">
            <v>SETUP CHARGES</v>
          </cell>
          <cell r="F21" t="str">
            <v>ITEM</v>
          </cell>
          <cell r="G21">
            <v>150000</v>
          </cell>
          <cell r="H21">
            <v>150000</v>
          </cell>
          <cell r="I21" t="str">
            <v>ITEM</v>
          </cell>
          <cell r="J21">
            <v>150000</v>
          </cell>
          <cell r="K21">
            <v>150000</v>
          </cell>
          <cell r="L21" t="str">
            <v>ITEM</v>
          </cell>
          <cell r="M21">
            <v>150000</v>
          </cell>
          <cell r="N21">
            <v>150000</v>
          </cell>
          <cell r="O21" t="str">
            <v>ITEM</v>
          </cell>
          <cell r="P21">
            <v>150000</v>
          </cell>
          <cell r="Q21">
            <v>150000</v>
          </cell>
          <cell r="R21" t="str">
            <v>ITEM</v>
          </cell>
          <cell r="S21">
            <v>150000</v>
          </cell>
          <cell r="U21">
            <v>150000</v>
          </cell>
          <cell r="X21">
            <v>1</v>
          </cell>
          <cell r="Y21">
            <v>150000</v>
          </cell>
        </row>
        <row r="22">
          <cell r="B22">
            <v>1217</v>
          </cell>
          <cell r="C22">
            <v>18</v>
          </cell>
          <cell r="D22">
            <v>5</v>
          </cell>
          <cell r="E22" t="str">
            <v>DISMANTLE CHARGES</v>
          </cell>
          <cell r="F22" t="str">
            <v>ITEM</v>
          </cell>
          <cell r="G22">
            <v>75000</v>
          </cell>
          <cell r="H22">
            <v>75000</v>
          </cell>
          <cell r="I22" t="str">
            <v>ITEM</v>
          </cell>
          <cell r="J22">
            <v>75000</v>
          </cell>
          <cell r="K22">
            <v>75000</v>
          </cell>
          <cell r="L22" t="str">
            <v>ITEM</v>
          </cell>
          <cell r="M22">
            <v>75000</v>
          </cell>
          <cell r="N22">
            <v>75000</v>
          </cell>
          <cell r="O22" t="str">
            <v>ITEM</v>
          </cell>
          <cell r="P22">
            <v>75000</v>
          </cell>
          <cell r="Q22">
            <v>75000</v>
          </cell>
          <cell r="R22" t="str">
            <v>ITEM</v>
          </cell>
          <cell r="S22">
            <v>75000</v>
          </cell>
          <cell r="U22">
            <v>75000</v>
          </cell>
          <cell r="X22">
            <v>1</v>
          </cell>
          <cell r="Y22">
            <v>75000</v>
          </cell>
        </row>
        <row r="23">
          <cell r="B23">
            <v>1218</v>
          </cell>
          <cell r="C23">
            <v>19</v>
          </cell>
          <cell r="D23">
            <v>5</v>
          </cell>
          <cell r="E23" t="str">
            <v>CONSUMABLES / SUNDRIES</v>
          </cell>
          <cell r="F23">
            <v>24</v>
          </cell>
          <cell r="G23">
            <v>5000</v>
          </cell>
          <cell r="H23">
            <v>120000</v>
          </cell>
          <cell r="I23">
            <v>26</v>
          </cell>
          <cell r="J23">
            <v>5000</v>
          </cell>
          <cell r="K23">
            <v>130000</v>
          </cell>
          <cell r="L23">
            <v>24</v>
          </cell>
          <cell r="M23">
            <v>5000</v>
          </cell>
          <cell r="N23">
            <v>120000</v>
          </cell>
          <cell r="O23">
            <v>30</v>
          </cell>
          <cell r="P23">
            <v>5000</v>
          </cell>
          <cell r="Q23">
            <v>150000</v>
          </cell>
          <cell r="R23">
            <v>30</v>
          </cell>
          <cell r="S23">
            <v>5000</v>
          </cell>
          <cell r="U23">
            <v>150000</v>
          </cell>
          <cell r="V23" t="str">
            <v xml:space="preserve"> </v>
          </cell>
          <cell r="X23">
            <v>30</v>
          </cell>
          <cell r="Y23">
            <v>5000</v>
          </cell>
        </row>
        <row r="24">
          <cell r="B24">
            <v>1219</v>
          </cell>
          <cell r="C24">
            <v>20</v>
          </cell>
          <cell r="D24">
            <v>5</v>
          </cell>
          <cell r="E24" t="str">
            <v>FUEL STORE</v>
          </cell>
          <cell r="F24" t="str">
            <v>ITEM</v>
          </cell>
          <cell r="G24">
            <v>25000</v>
          </cell>
          <cell r="H24">
            <v>25000</v>
          </cell>
          <cell r="I24" t="str">
            <v>ITEM</v>
          </cell>
          <cell r="J24">
            <v>25000</v>
          </cell>
          <cell r="K24">
            <v>25000</v>
          </cell>
          <cell r="L24" t="str">
            <v>ITEM</v>
          </cell>
          <cell r="M24">
            <v>25000</v>
          </cell>
          <cell r="N24">
            <v>25000</v>
          </cell>
          <cell r="O24" t="str">
            <v>ITEM</v>
          </cell>
          <cell r="P24">
            <v>25000</v>
          </cell>
          <cell r="Q24">
            <v>25000</v>
          </cell>
          <cell r="R24" t="str">
            <v>ITEM</v>
          </cell>
          <cell r="S24">
            <v>25000</v>
          </cell>
          <cell r="U24">
            <v>25000</v>
          </cell>
          <cell r="V24" t="str">
            <v xml:space="preserve"> </v>
          </cell>
          <cell r="X24">
            <v>1</v>
          </cell>
          <cell r="Y24">
            <v>25000</v>
          </cell>
        </row>
        <row r="25">
          <cell r="B25">
            <v>1220</v>
          </cell>
          <cell r="C25">
            <v>21</v>
          </cell>
          <cell r="D25">
            <v>5</v>
          </cell>
          <cell r="E25" t="str">
            <v>TEMPORARY SHELTER</v>
          </cell>
          <cell r="F25" t="str">
            <v>ITEM</v>
          </cell>
          <cell r="G25">
            <v>25000</v>
          </cell>
          <cell r="H25">
            <v>25000</v>
          </cell>
          <cell r="I25" t="str">
            <v>ITEM</v>
          </cell>
          <cell r="J25">
            <v>25000</v>
          </cell>
          <cell r="K25">
            <v>25000</v>
          </cell>
          <cell r="L25" t="str">
            <v>ITEM</v>
          </cell>
          <cell r="M25">
            <v>25000</v>
          </cell>
          <cell r="N25">
            <v>25000</v>
          </cell>
          <cell r="O25" t="str">
            <v>ITEM</v>
          </cell>
          <cell r="P25">
            <v>25000</v>
          </cell>
          <cell r="Q25">
            <v>25000</v>
          </cell>
          <cell r="R25" t="str">
            <v>ITEM</v>
          </cell>
          <cell r="S25">
            <v>25000</v>
          </cell>
          <cell r="U25">
            <v>25000</v>
          </cell>
          <cell r="X25">
            <v>1</v>
          </cell>
          <cell r="Y25">
            <v>25000</v>
          </cell>
        </row>
        <row r="26">
          <cell r="B26">
            <v>1221</v>
          </cell>
          <cell r="C26">
            <v>22</v>
          </cell>
          <cell r="D26">
            <v>5</v>
          </cell>
          <cell r="E26" t="str">
            <v>Car Sheds</v>
          </cell>
          <cell r="F26" t="str">
            <v>ITEM</v>
          </cell>
          <cell r="G26">
            <v>15000</v>
          </cell>
          <cell r="H26">
            <v>15000</v>
          </cell>
          <cell r="I26" t="str">
            <v>ITEM</v>
          </cell>
          <cell r="J26">
            <v>15000</v>
          </cell>
          <cell r="K26">
            <v>15000</v>
          </cell>
          <cell r="L26" t="str">
            <v>ITEM</v>
          </cell>
          <cell r="M26">
            <v>15000</v>
          </cell>
          <cell r="N26">
            <v>15000</v>
          </cell>
          <cell r="O26" t="str">
            <v>ITEM</v>
          </cell>
          <cell r="P26">
            <v>15000</v>
          </cell>
          <cell r="Q26">
            <v>15000</v>
          </cell>
          <cell r="R26" t="str">
            <v>ITEM</v>
          </cell>
          <cell r="S26">
            <v>15000</v>
          </cell>
          <cell r="U26">
            <v>15000</v>
          </cell>
          <cell r="X26">
            <v>1</v>
          </cell>
          <cell r="Y26">
            <v>15000</v>
          </cell>
        </row>
        <row r="27">
          <cell r="B27">
            <v>1300</v>
          </cell>
          <cell r="C27">
            <v>24</v>
          </cell>
          <cell r="D27">
            <v>5</v>
          </cell>
          <cell r="E27" t="str">
            <v>SUPERVISION [SALARIED STAFF]</v>
          </cell>
          <cell r="F27" t="str">
            <v>ITEM</v>
          </cell>
          <cell r="G27">
            <v>15000</v>
          </cell>
          <cell r="H27">
            <v>15000</v>
          </cell>
          <cell r="I27" t="str">
            <v>ITEM</v>
          </cell>
          <cell r="J27">
            <v>15000</v>
          </cell>
          <cell r="K27">
            <v>15000</v>
          </cell>
          <cell r="L27" t="str">
            <v>ITEM</v>
          </cell>
          <cell r="M27">
            <v>15000</v>
          </cell>
          <cell r="N27">
            <v>15000</v>
          </cell>
          <cell r="O27" t="str">
            <v>ITEM</v>
          </cell>
          <cell r="P27">
            <v>15000</v>
          </cell>
          <cell r="Q27">
            <v>15000</v>
          </cell>
          <cell r="R27" t="str">
            <v>ITEM</v>
          </cell>
          <cell r="S27">
            <v>15000</v>
          </cell>
          <cell r="U27">
            <v>15000</v>
          </cell>
          <cell r="X27">
            <v>0</v>
          </cell>
          <cell r="Y27">
            <v>15000</v>
          </cell>
        </row>
        <row r="28">
          <cell r="B28">
            <v>1301</v>
          </cell>
          <cell r="C28">
            <v>25</v>
          </cell>
          <cell r="D28">
            <v>31</v>
          </cell>
          <cell r="E28" t="str">
            <v>Technical  Manager</v>
          </cell>
          <cell r="H28">
            <v>13500</v>
          </cell>
          <cell r="K28">
            <v>0</v>
          </cell>
          <cell r="L28">
            <v>12</v>
          </cell>
          <cell r="M28">
            <v>35756</v>
          </cell>
          <cell r="N28">
            <v>429072</v>
          </cell>
          <cell r="O28">
            <v>28</v>
          </cell>
          <cell r="P28">
            <v>35756</v>
          </cell>
          <cell r="Q28">
            <v>1001168</v>
          </cell>
          <cell r="R28">
            <v>28</v>
          </cell>
          <cell r="S28">
            <v>35756</v>
          </cell>
          <cell r="T28">
            <v>273543.16939890711</v>
          </cell>
          <cell r="U28">
            <v>1001168</v>
          </cell>
          <cell r="X28">
            <v>28</v>
          </cell>
          <cell r="Y28">
            <v>35756</v>
          </cell>
        </row>
        <row r="29">
          <cell r="B29">
            <v>1302</v>
          </cell>
          <cell r="C29">
            <v>26</v>
          </cell>
          <cell r="D29">
            <v>31</v>
          </cell>
          <cell r="E29" t="str">
            <v>PROJECT MANAGER</v>
          </cell>
          <cell r="F29">
            <v>27</v>
          </cell>
          <cell r="G29">
            <v>35000</v>
          </cell>
          <cell r="H29">
            <v>945000</v>
          </cell>
          <cell r="I29">
            <v>29</v>
          </cell>
          <cell r="J29">
            <v>35000</v>
          </cell>
          <cell r="K29">
            <v>1015000</v>
          </cell>
          <cell r="L29">
            <v>27</v>
          </cell>
          <cell r="M29">
            <v>36782</v>
          </cell>
          <cell r="N29">
            <v>993114</v>
          </cell>
          <cell r="O29">
            <v>31</v>
          </cell>
          <cell r="P29">
            <v>36782</v>
          </cell>
          <cell r="Q29">
            <v>1140242</v>
          </cell>
          <cell r="R29">
            <v>31</v>
          </cell>
          <cell r="S29">
            <v>36782</v>
          </cell>
          <cell r="T29">
            <v>311541.5300546448</v>
          </cell>
          <cell r="U29">
            <v>1140242</v>
          </cell>
          <cell r="X29">
            <v>31</v>
          </cell>
          <cell r="Y29">
            <v>36782</v>
          </cell>
        </row>
        <row r="30">
          <cell r="B30">
            <v>1303</v>
          </cell>
          <cell r="C30">
            <v>27</v>
          </cell>
          <cell r="D30">
            <v>31</v>
          </cell>
          <cell r="E30" t="str">
            <v>CONST.MANAGER</v>
          </cell>
          <cell r="F30">
            <v>25</v>
          </cell>
          <cell r="G30">
            <v>25000</v>
          </cell>
          <cell r="H30">
            <v>625000</v>
          </cell>
          <cell r="I30">
            <v>29</v>
          </cell>
          <cell r="J30">
            <v>25000</v>
          </cell>
          <cell r="K30">
            <v>725000</v>
          </cell>
          <cell r="L30">
            <v>27</v>
          </cell>
          <cell r="M30">
            <v>25000</v>
          </cell>
          <cell r="N30">
            <v>675000</v>
          </cell>
          <cell r="O30">
            <v>31</v>
          </cell>
          <cell r="P30">
            <v>25000</v>
          </cell>
          <cell r="Q30">
            <v>775000</v>
          </cell>
          <cell r="R30">
            <v>28</v>
          </cell>
          <cell r="S30">
            <v>25000</v>
          </cell>
          <cell r="T30">
            <v>191256.83060109289</v>
          </cell>
          <cell r="U30">
            <v>700000</v>
          </cell>
          <cell r="X30">
            <v>28</v>
          </cell>
          <cell r="Y30">
            <v>25000</v>
          </cell>
        </row>
        <row r="31">
          <cell r="B31">
            <v>1304</v>
          </cell>
          <cell r="C31">
            <v>28</v>
          </cell>
          <cell r="D31">
            <v>31</v>
          </cell>
          <cell r="E31" t="str">
            <v xml:space="preserve">COMMERCIAL MANAGER </v>
          </cell>
          <cell r="F31">
            <v>27</v>
          </cell>
          <cell r="G31">
            <v>25000</v>
          </cell>
          <cell r="H31">
            <v>675000</v>
          </cell>
          <cell r="I31">
            <v>29</v>
          </cell>
          <cell r="J31">
            <v>25000</v>
          </cell>
          <cell r="K31">
            <v>725000</v>
          </cell>
          <cell r="L31">
            <v>27</v>
          </cell>
          <cell r="M31">
            <v>30000</v>
          </cell>
          <cell r="N31">
            <v>810000</v>
          </cell>
          <cell r="O31">
            <v>33</v>
          </cell>
          <cell r="P31">
            <v>30000</v>
          </cell>
          <cell r="Q31">
            <v>990000</v>
          </cell>
          <cell r="R31">
            <v>33</v>
          </cell>
          <cell r="S31">
            <v>30000</v>
          </cell>
          <cell r="T31">
            <v>270491.80327868852</v>
          </cell>
          <cell r="U31">
            <v>990000</v>
          </cell>
          <cell r="X31">
            <v>33</v>
          </cell>
          <cell r="Y31">
            <v>30000</v>
          </cell>
        </row>
        <row r="32">
          <cell r="B32">
            <v>1305</v>
          </cell>
          <cell r="C32">
            <v>29</v>
          </cell>
          <cell r="D32">
            <v>31</v>
          </cell>
          <cell r="E32" t="str">
            <v>ASST.QUANTITY SURVEYOR</v>
          </cell>
          <cell r="F32" t="str">
            <v>2x24</v>
          </cell>
          <cell r="G32">
            <v>7500</v>
          </cell>
          <cell r="H32">
            <v>360000</v>
          </cell>
          <cell r="I32" t="str">
            <v>2x26</v>
          </cell>
          <cell r="J32">
            <v>7500</v>
          </cell>
          <cell r="K32">
            <v>390000</v>
          </cell>
          <cell r="L32" t="str">
            <v>2x24</v>
          </cell>
          <cell r="M32">
            <v>7500</v>
          </cell>
          <cell r="N32">
            <v>360000</v>
          </cell>
          <cell r="O32" t="str">
            <v>2x29</v>
          </cell>
          <cell r="P32">
            <v>7500</v>
          </cell>
          <cell r="Q32">
            <v>435000</v>
          </cell>
          <cell r="R32" t="str">
            <v>2x24</v>
          </cell>
          <cell r="S32">
            <v>10000</v>
          </cell>
          <cell r="T32">
            <v>131147.54098360657</v>
          </cell>
          <cell r="U32">
            <v>480000</v>
          </cell>
          <cell r="X32">
            <v>48</v>
          </cell>
          <cell r="Y32">
            <v>10000</v>
          </cell>
        </row>
        <row r="33">
          <cell r="B33">
            <v>1306</v>
          </cell>
          <cell r="C33">
            <v>30</v>
          </cell>
          <cell r="D33">
            <v>31</v>
          </cell>
          <cell r="E33" t="str">
            <v>PROJECT ENGINEER</v>
          </cell>
          <cell r="F33" t="str">
            <v>2*24</v>
          </cell>
          <cell r="G33">
            <v>20000</v>
          </cell>
          <cell r="H33">
            <v>960000</v>
          </cell>
          <cell r="I33" t="str">
            <v>2x26</v>
          </cell>
          <cell r="J33">
            <v>20000</v>
          </cell>
          <cell r="K33">
            <v>1040000</v>
          </cell>
          <cell r="L33" t="str">
            <v>2x24</v>
          </cell>
          <cell r="M33">
            <v>15000</v>
          </cell>
          <cell r="N33">
            <v>720000</v>
          </cell>
          <cell r="O33" t="str">
            <v>2x24</v>
          </cell>
          <cell r="P33">
            <v>15000</v>
          </cell>
          <cell r="Q33">
            <v>720000</v>
          </cell>
          <cell r="R33" t="str">
            <v>2*24</v>
          </cell>
          <cell r="S33">
            <v>15000</v>
          </cell>
          <cell r="T33">
            <v>196721.31147540984</v>
          </cell>
          <cell r="U33">
            <v>720000</v>
          </cell>
          <cell r="X33">
            <v>24</v>
          </cell>
          <cell r="Y33">
            <v>15000</v>
          </cell>
        </row>
        <row r="34">
          <cell r="B34">
            <v>1306.0999999999999</v>
          </cell>
          <cell r="C34">
            <v>30</v>
          </cell>
          <cell r="D34">
            <v>31</v>
          </cell>
          <cell r="E34" t="str">
            <v>PROJECT ENGINEER</v>
          </cell>
          <cell r="F34" t="str">
            <v>2*24</v>
          </cell>
          <cell r="G34">
            <v>20000</v>
          </cell>
          <cell r="H34">
            <v>960000</v>
          </cell>
          <cell r="I34" t="str">
            <v>2x26</v>
          </cell>
          <cell r="J34">
            <v>20000</v>
          </cell>
          <cell r="K34">
            <v>1040000</v>
          </cell>
          <cell r="L34" t="str">
            <v>2x24</v>
          </cell>
          <cell r="M34">
            <v>15000</v>
          </cell>
          <cell r="N34">
            <v>720000</v>
          </cell>
          <cell r="O34" t="str">
            <v>2x24</v>
          </cell>
          <cell r="P34">
            <v>15000</v>
          </cell>
          <cell r="Q34">
            <v>720000</v>
          </cell>
          <cell r="R34" t="str">
            <v>2*24</v>
          </cell>
          <cell r="S34">
            <v>15000</v>
          </cell>
          <cell r="T34">
            <v>196721.31147540984</v>
          </cell>
          <cell r="U34">
            <v>720000</v>
          </cell>
          <cell r="X34">
            <v>24</v>
          </cell>
          <cell r="Y34">
            <v>15000</v>
          </cell>
        </row>
        <row r="35">
          <cell r="B35">
            <v>1307</v>
          </cell>
          <cell r="C35">
            <v>31</v>
          </cell>
          <cell r="D35">
            <v>31</v>
          </cell>
          <cell r="E35" t="str">
            <v>MEP CO-ORDINATOR</v>
          </cell>
          <cell r="F35">
            <v>25</v>
          </cell>
          <cell r="G35">
            <v>25000</v>
          </cell>
          <cell r="H35">
            <v>625000</v>
          </cell>
          <cell r="I35">
            <v>27</v>
          </cell>
          <cell r="J35">
            <v>25000</v>
          </cell>
          <cell r="K35">
            <v>675000</v>
          </cell>
          <cell r="L35">
            <v>24</v>
          </cell>
          <cell r="M35">
            <v>31395</v>
          </cell>
          <cell r="N35">
            <v>753480</v>
          </cell>
          <cell r="O35">
            <v>32</v>
          </cell>
          <cell r="P35">
            <v>31395</v>
          </cell>
          <cell r="Q35">
            <v>1004640</v>
          </cell>
          <cell r="R35">
            <v>30</v>
          </cell>
          <cell r="S35">
            <v>31395</v>
          </cell>
          <cell r="T35">
            <v>257336.06557377049</v>
          </cell>
          <cell r="U35">
            <v>941850</v>
          </cell>
          <cell r="X35">
            <v>30</v>
          </cell>
          <cell r="Y35">
            <v>31395</v>
          </cell>
        </row>
        <row r="36">
          <cell r="B36">
            <v>1307.0999999999999</v>
          </cell>
          <cell r="C36">
            <v>31</v>
          </cell>
          <cell r="D36">
            <v>31</v>
          </cell>
          <cell r="E36" t="str">
            <v>MEP CO-ORDINATOR</v>
          </cell>
          <cell r="F36" t="str">
            <v>3*24</v>
          </cell>
          <cell r="G36">
            <v>2000</v>
          </cell>
          <cell r="H36">
            <v>144000</v>
          </cell>
          <cell r="I36" t="str">
            <v>3*26</v>
          </cell>
          <cell r="J36">
            <v>2000</v>
          </cell>
          <cell r="K36">
            <v>156000</v>
          </cell>
          <cell r="L36">
            <v>24</v>
          </cell>
          <cell r="M36">
            <v>31395</v>
          </cell>
          <cell r="N36">
            <v>753480</v>
          </cell>
          <cell r="O36">
            <v>32</v>
          </cell>
          <cell r="P36">
            <v>31395</v>
          </cell>
          <cell r="Q36">
            <v>1004640</v>
          </cell>
          <cell r="R36">
            <v>30</v>
          </cell>
          <cell r="S36">
            <v>31395</v>
          </cell>
          <cell r="T36">
            <v>257336.06557377049</v>
          </cell>
          <cell r="U36">
            <v>941850</v>
          </cell>
          <cell r="X36">
            <v>30</v>
          </cell>
          <cell r="Y36">
            <v>31395</v>
          </cell>
        </row>
        <row r="37">
          <cell r="B37">
            <v>1308</v>
          </cell>
          <cell r="C37">
            <v>32</v>
          </cell>
          <cell r="D37">
            <v>31</v>
          </cell>
          <cell r="E37" t="str">
            <v>ENGINEERS</v>
          </cell>
          <cell r="F37" t="str">
            <v>7*24</v>
          </cell>
          <cell r="G37">
            <v>6000</v>
          </cell>
          <cell r="H37">
            <v>1008000</v>
          </cell>
          <cell r="I37" t="str">
            <v>7*26</v>
          </cell>
          <cell r="J37">
            <v>6000</v>
          </cell>
          <cell r="K37">
            <v>1092000</v>
          </cell>
          <cell r="L37">
            <v>24</v>
          </cell>
          <cell r="M37">
            <v>27086</v>
          </cell>
          <cell r="N37">
            <v>650064</v>
          </cell>
          <cell r="O37">
            <v>28</v>
          </cell>
          <cell r="P37">
            <v>27086</v>
          </cell>
          <cell r="Q37">
            <v>758408</v>
          </cell>
          <cell r="R37">
            <v>24</v>
          </cell>
          <cell r="S37">
            <v>27086</v>
          </cell>
          <cell r="T37">
            <v>177613.11475409835</v>
          </cell>
          <cell r="U37">
            <v>650064</v>
          </cell>
          <cell r="X37">
            <v>24</v>
          </cell>
          <cell r="Y37">
            <v>27086</v>
          </cell>
        </row>
        <row r="38">
          <cell r="B38">
            <v>1308.0999999999999</v>
          </cell>
          <cell r="C38">
            <v>41</v>
          </cell>
          <cell r="D38">
            <v>31</v>
          </cell>
          <cell r="E38" t="str">
            <v xml:space="preserve">         ARCH</v>
          </cell>
          <cell r="F38" t="str">
            <v>3*24</v>
          </cell>
          <cell r="G38">
            <v>3500</v>
          </cell>
          <cell r="H38">
            <v>252000</v>
          </cell>
          <cell r="I38" t="str">
            <v>3*26</v>
          </cell>
          <cell r="J38">
            <v>3500</v>
          </cell>
          <cell r="K38">
            <v>273000</v>
          </cell>
          <cell r="L38">
            <v>24</v>
          </cell>
          <cell r="M38">
            <v>39385</v>
          </cell>
          <cell r="N38">
            <v>945240</v>
          </cell>
          <cell r="O38" t="str">
            <v>06*27</v>
          </cell>
          <cell r="P38">
            <v>6500</v>
          </cell>
          <cell r="Q38">
            <v>1053000</v>
          </cell>
          <cell r="R38" t="str">
            <v>24X4</v>
          </cell>
          <cell r="S38">
            <v>4923.125</v>
          </cell>
          <cell r="T38">
            <v>129131.1475409836</v>
          </cell>
          <cell r="U38">
            <v>472620</v>
          </cell>
          <cell r="X38">
            <v>24</v>
          </cell>
          <cell r="Y38">
            <v>4923.125</v>
          </cell>
        </row>
        <row r="39">
          <cell r="B39">
            <v>1308.2</v>
          </cell>
          <cell r="C39">
            <v>42</v>
          </cell>
          <cell r="D39">
            <v>31</v>
          </cell>
          <cell r="E39" t="str">
            <v xml:space="preserve">         ARCH</v>
          </cell>
          <cell r="F39" t="str">
            <v>4*24</v>
          </cell>
          <cell r="G39">
            <v>2500</v>
          </cell>
          <cell r="H39">
            <v>240000</v>
          </cell>
          <cell r="I39" t="str">
            <v>4*26</v>
          </cell>
          <cell r="J39">
            <v>2500</v>
          </cell>
          <cell r="K39">
            <v>260000</v>
          </cell>
          <cell r="L39" t="str">
            <v>4*24</v>
          </cell>
          <cell r="M39">
            <v>2500</v>
          </cell>
          <cell r="N39">
            <v>240000</v>
          </cell>
          <cell r="O39" t="str">
            <v>4*27</v>
          </cell>
          <cell r="P39">
            <v>2500</v>
          </cell>
          <cell r="Q39">
            <v>270000</v>
          </cell>
          <cell r="R39" t="str">
            <v>24X2</v>
          </cell>
          <cell r="S39">
            <v>4923.125</v>
          </cell>
          <cell r="T39">
            <v>64565.573770491799</v>
          </cell>
          <cell r="U39">
            <v>236310</v>
          </cell>
          <cell r="X39">
            <v>24</v>
          </cell>
          <cell r="Y39">
            <v>4923.125</v>
          </cell>
        </row>
        <row r="40">
          <cell r="B40">
            <v>1308.3</v>
          </cell>
          <cell r="C40">
            <v>43</v>
          </cell>
          <cell r="D40">
            <v>31</v>
          </cell>
          <cell r="E40" t="str">
            <v xml:space="preserve">         ARCH</v>
          </cell>
          <cell r="F40" t="str">
            <v>3*20</v>
          </cell>
          <cell r="G40">
            <v>3000</v>
          </cell>
          <cell r="H40">
            <v>180000</v>
          </cell>
          <cell r="I40" t="str">
            <v>3*22</v>
          </cell>
          <cell r="J40">
            <v>3000</v>
          </cell>
          <cell r="K40">
            <v>198000</v>
          </cell>
          <cell r="L40" t="str">
            <v>3*20</v>
          </cell>
          <cell r="M40">
            <v>3000</v>
          </cell>
          <cell r="N40">
            <v>180000</v>
          </cell>
          <cell r="O40" t="str">
            <v>3*23</v>
          </cell>
          <cell r="P40">
            <v>3000</v>
          </cell>
          <cell r="Q40">
            <v>225000</v>
          </cell>
          <cell r="R40" t="str">
            <v>24X2</v>
          </cell>
          <cell r="S40">
            <v>4923.125</v>
          </cell>
          <cell r="T40">
            <v>64565.573770491799</v>
          </cell>
          <cell r="U40">
            <v>236310</v>
          </cell>
          <cell r="X40">
            <v>24</v>
          </cell>
          <cell r="Y40">
            <v>4923.125</v>
          </cell>
        </row>
        <row r="41">
          <cell r="B41">
            <v>1308.4000000000001</v>
          </cell>
          <cell r="C41">
            <v>44</v>
          </cell>
          <cell r="D41">
            <v>31</v>
          </cell>
          <cell r="E41" t="str">
            <v xml:space="preserve">         ARCH</v>
          </cell>
          <cell r="F41" t="str">
            <v>2*24</v>
          </cell>
          <cell r="G41">
            <v>4000</v>
          </cell>
          <cell r="H41">
            <v>192000</v>
          </cell>
          <cell r="I41" t="str">
            <v>2*26</v>
          </cell>
          <cell r="J41">
            <v>4000</v>
          </cell>
          <cell r="K41">
            <v>208000</v>
          </cell>
          <cell r="L41" t="str">
            <v>2*24</v>
          </cell>
          <cell r="M41">
            <v>4000</v>
          </cell>
          <cell r="N41">
            <v>192000</v>
          </cell>
          <cell r="O41" t="str">
            <v>2*27</v>
          </cell>
          <cell r="P41">
            <v>4000</v>
          </cell>
          <cell r="Q41">
            <v>216000</v>
          </cell>
          <cell r="R41" t="str">
            <v>24X2</v>
          </cell>
          <cell r="S41">
            <v>4923.125</v>
          </cell>
          <cell r="T41">
            <v>64565.573770491799</v>
          </cell>
          <cell r="U41">
            <v>236310</v>
          </cell>
          <cell r="X41">
            <v>24</v>
          </cell>
          <cell r="Y41">
            <v>4923.125</v>
          </cell>
        </row>
        <row r="42">
          <cell r="B42">
            <v>1308.5</v>
          </cell>
          <cell r="C42">
            <v>45</v>
          </cell>
          <cell r="D42">
            <v>31</v>
          </cell>
          <cell r="E42" t="str">
            <v xml:space="preserve">       MECH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27</v>
          </cell>
          <cell r="M42">
            <v>31395</v>
          </cell>
          <cell r="N42">
            <v>1506960</v>
          </cell>
          <cell r="O42">
            <v>33</v>
          </cell>
          <cell r="P42">
            <v>31395</v>
          </cell>
          <cell r="Q42">
            <v>1036035</v>
          </cell>
          <cell r="R42">
            <v>33</v>
          </cell>
          <cell r="S42">
            <v>31395</v>
          </cell>
          <cell r="T42">
            <v>411737.70491803274</v>
          </cell>
          <cell r="U42">
            <v>1506960</v>
          </cell>
          <cell r="X42">
            <v>24</v>
          </cell>
          <cell r="Y42">
            <v>4923.125</v>
          </cell>
        </row>
        <row r="43">
          <cell r="B43">
            <v>1308.5999999999999</v>
          </cell>
          <cell r="C43">
            <v>46</v>
          </cell>
          <cell r="D43">
            <v>31</v>
          </cell>
          <cell r="E43" t="str">
            <v xml:space="preserve">       MECH</v>
          </cell>
          <cell r="F43" t="str">
            <v>3*26</v>
          </cell>
          <cell r="G43">
            <v>900</v>
          </cell>
          <cell r="H43">
            <v>70200</v>
          </cell>
          <cell r="I43" t="str">
            <v>3*28</v>
          </cell>
          <cell r="J43">
            <v>900</v>
          </cell>
          <cell r="K43">
            <v>75600</v>
          </cell>
          <cell r="L43" t="str">
            <v>3*26</v>
          </cell>
          <cell r="M43">
            <v>900</v>
          </cell>
          <cell r="N43">
            <v>70200</v>
          </cell>
          <cell r="O43" t="str">
            <v>3*29</v>
          </cell>
          <cell r="P43">
            <v>900</v>
          </cell>
          <cell r="Q43">
            <v>78300</v>
          </cell>
          <cell r="R43" t="str">
            <v>3*26</v>
          </cell>
          <cell r="S43">
            <v>900</v>
          </cell>
          <cell r="T43">
            <v>176229.50819672132</v>
          </cell>
          <cell r="U43">
            <v>645000</v>
          </cell>
          <cell r="X43">
            <v>24</v>
          </cell>
          <cell r="Y43">
            <v>4923.125</v>
          </cell>
        </row>
        <row r="44">
          <cell r="B44">
            <v>1308.7</v>
          </cell>
          <cell r="C44">
            <v>47</v>
          </cell>
          <cell r="D44">
            <v>31</v>
          </cell>
          <cell r="E44" t="str">
            <v xml:space="preserve">        ELEC</v>
          </cell>
          <cell r="F44" t="str">
            <v>1*24</v>
          </cell>
          <cell r="G44">
            <v>3000</v>
          </cell>
          <cell r="H44">
            <v>72000</v>
          </cell>
          <cell r="I44" t="str">
            <v>1*28</v>
          </cell>
          <cell r="J44">
            <v>3000</v>
          </cell>
          <cell r="K44">
            <v>84000</v>
          </cell>
          <cell r="L44" t="str">
            <v>1*24</v>
          </cell>
          <cell r="M44">
            <v>20000</v>
          </cell>
          <cell r="N44">
            <v>480000</v>
          </cell>
          <cell r="O44" t="str">
            <v>1*30</v>
          </cell>
          <cell r="P44">
            <v>3000</v>
          </cell>
          <cell r="Q44">
            <v>90000</v>
          </cell>
          <cell r="R44" t="str">
            <v>1*24</v>
          </cell>
          <cell r="S44">
            <v>20000</v>
          </cell>
          <cell r="T44">
            <v>131147.54098360657</v>
          </cell>
          <cell r="U44">
            <v>480000</v>
          </cell>
          <cell r="X44">
            <v>24</v>
          </cell>
          <cell r="Y44">
            <v>4923.125</v>
          </cell>
        </row>
        <row r="45">
          <cell r="B45">
            <v>1308.8</v>
          </cell>
          <cell r="C45">
            <v>48</v>
          </cell>
          <cell r="D45">
            <v>31</v>
          </cell>
          <cell r="E45" t="str">
            <v xml:space="preserve">        ELEC</v>
          </cell>
          <cell r="F45">
            <v>27</v>
          </cell>
          <cell r="G45">
            <v>20000</v>
          </cell>
          <cell r="H45">
            <v>540000</v>
          </cell>
          <cell r="I45">
            <v>29</v>
          </cell>
          <cell r="J45">
            <v>20000</v>
          </cell>
          <cell r="K45">
            <v>580000</v>
          </cell>
          <cell r="L45">
            <v>27</v>
          </cell>
          <cell r="M45">
            <v>15000</v>
          </cell>
          <cell r="N45">
            <v>405000</v>
          </cell>
          <cell r="O45">
            <v>30</v>
          </cell>
          <cell r="P45">
            <v>15000</v>
          </cell>
          <cell r="Q45">
            <v>450000</v>
          </cell>
          <cell r="R45">
            <v>30</v>
          </cell>
          <cell r="S45">
            <v>15000</v>
          </cell>
          <cell r="T45">
            <v>110655.73770491802</v>
          </cell>
          <cell r="U45">
            <v>405000</v>
          </cell>
          <cell r="X45">
            <v>24</v>
          </cell>
          <cell r="Y45">
            <v>4923.125</v>
          </cell>
        </row>
        <row r="46">
          <cell r="B46">
            <v>1309</v>
          </cell>
          <cell r="C46">
            <v>33</v>
          </cell>
          <cell r="D46">
            <v>31</v>
          </cell>
          <cell r="E46" t="str">
            <v>GENERAL FORMAN</v>
          </cell>
          <cell r="F46" t="str">
            <v>5*24</v>
          </cell>
          <cell r="G46">
            <v>5000</v>
          </cell>
          <cell r="H46">
            <v>600000</v>
          </cell>
          <cell r="I46" t="str">
            <v>5*26</v>
          </cell>
          <cell r="J46">
            <v>5000</v>
          </cell>
          <cell r="K46">
            <v>650000</v>
          </cell>
          <cell r="L46" t="str">
            <v>5*24</v>
          </cell>
          <cell r="M46">
            <v>5000</v>
          </cell>
          <cell r="N46">
            <v>600000</v>
          </cell>
          <cell r="O46" t="str">
            <v>5*27</v>
          </cell>
          <cell r="P46">
            <v>5000</v>
          </cell>
          <cell r="Q46">
            <v>675000</v>
          </cell>
          <cell r="R46" t="str">
            <v>5*24</v>
          </cell>
          <cell r="S46">
            <v>5000</v>
          </cell>
          <cell r="T46">
            <v>163934.42622950819</v>
          </cell>
          <cell r="U46">
            <v>600000</v>
          </cell>
          <cell r="X46">
            <v>120</v>
          </cell>
          <cell r="Y46">
            <v>5000</v>
          </cell>
        </row>
        <row r="47">
          <cell r="B47">
            <v>1310</v>
          </cell>
          <cell r="C47">
            <v>34</v>
          </cell>
          <cell r="D47">
            <v>31</v>
          </cell>
          <cell r="E47" t="str">
            <v>FORMAN (TRADES)</v>
          </cell>
          <cell r="F47" t="str">
            <v>10*24</v>
          </cell>
          <cell r="G47">
            <v>3000</v>
          </cell>
          <cell r="H47">
            <v>720000</v>
          </cell>
          <cell r="I47" t="str">
            <v>11*26</v>
          </cell>
          <cell r="J47">
            <v>3000</v>
          </cell>
          <cell r="K47">
            <v>780000</v>
          </cell>
          <cell r="L47" t="str">
            <v>10*24</v>
          </cell>
          <cell r="M47">
            <v>3000</v>
          </cell>
          <cell r="N47">
            <v>720000</v>
          </cell>
          <cell r="O47" t="str">
            <v>10*27</v>
          </cell>
          <cell r="P47">
            <v>3000</v>
          </cell>
          <cell r="Q47">
            <v>810000</v>
          </cell>
          <cell r="R47" t="str">
            <v>10*24</v>
          </cell>
          <cell r="S47">
            <v>3000</v>
          </cell>
          <cell r="T47">
            <v>196721.31147540984</v>
          </cell>
          <cell r="U47">
            <v>720000</v>
          </cell>
          <cell r="X47">
            <v>240</v>
          </cell>
          <cell r="Y47">
            <v>3000</v>
          </cell>
        </row>
        <row r="48">
          <cell r="B48">
            <v>1311</v>
          </cell>
          <cell r="C48">
            <v>35</v>
          </cell>
          <cell r="D48">
            <v>4</v>
          </cell>
          <cell r="E48" t="str">
            <v>SURVEYOR</v>
          </cell>
          <cell r="F48">
            <v>44</v>
          </cell>
          <cell r="G48">
            <v>4000</v>
          </cell>
          <cell r="H48">
            <v>176000</v>
          </cell>
          <cell r="I48" t="str">
            <v>2*24</v>
          </cell>
          <cell r="J48">
            <v>4000</v>
          </cell>
          <cell r="K48">
            <v>192000</v>
          </cell>
          <cell r="L48" t="str">
            <v>02*22</v>
          </cell>
          <cell r="M48">
            <v>4000</v>
          </cell>
          <cell r="N48">
            <v>176000</v>
          </cell>
          <cell r="O48" t="str">
            <v>02*25</v>
          </cell>
          <cell r="P48">
            <v>4000</v>
          </cell>
          <cell r="Q48">
            <v>200000</v>
          </cell>
          <cell r="R48" t="str">
            <v>2*22</v>
          </cell>
          <cell r="S48">
            <v>4000</v>
          </cell>
          <cell r="T48">
            <v>48087.43169398907</v>
          </cell>
          <cell r="U48">
            <v>176000</v>
          </cell>
          <cell r="X48">
            <v>44</v>
          </cell>
          <cell r="Y48">
            <v>4000</v>
          </cell>
        </row>
        <row r="49">
          <cell r="B49">
            <v>1312</v>
          </cell>
          <cell r="C49">
            <v>36</v>
          </cell>
          <cell r="D49">
            <v>4</v>
          </cell>
          <cell r="E49" t="str">
            <v>CHAINMAN</v>
          </cell>
          <cell r="F49" t="str">
            <v>4*22</v>
          </cell>
          <cell r="G49">
            <v>2000</v>
          </cell>
          <cell r="H49">
            <v>176000</v>
          </cell>
          <cell r="I49" t="str">
            <v>4*24</v>
          </cell>
          <cell r="J49">
            <v>2000</v>
          </cell>
          <cell r="K49">
            <v>192000</v>
          </cell>
          <cell r="L49" t="str">
            <v>04*22</v>
          </cell>
          <cell r="M49">
            <v>2000</v>
          </cell>
          <cell r="N49">
            <v>176000</v>
          </cell>
          <cell r="O49" t="str">
            <v>04*25</v>
          </cell>
          <cell r="P49">
            <v>2000</v>
          </cell>
          <cell r="Q49">
            <v>200000</v>
          </cell>
          <cell r="R49" t="str">
            <v>4*22</v>
          </cell>
          <cell r="S49">
            <v>2000</v>
          </cell>
          <cell r="T49">
            <v>48087.43169398907</v>
          </cell>
          <cell r="U49">
            <v>176000</v>
          </cell>
          <cell r="X49">
            <v>88</v>
          </cell>
          <cell r="Y49">
            <v>2000</v>
          </cell>
        </row>
        <row r="50">
          <cell r="B50">
            <v>1313</v>
          </cell>
          <cell r="C50">
            <v>37</v>
          </cell>
          <cell r="D50">
            <v>31</v>
          </cell>
          <cell r="E50" t="str">
            <v>CHARGEHANDS</v>
          </cell>
          <cell r="F50" t="str">
            <v>30*20</v>
          </cell>
          <cell r="G50">
            <v>1500</v>
          </cell>
          <cell r="H50">
            <v>900000</v>
          </cell>
          <cell r="I50" t="str">
            <v>34*22</v>
          </cell>
          <cell r="J50">
            <v>1500</v>
          </cell>
          <cell r="K50">
            <v>1320000</v>
          </cell>
          <cell r="L50" t="str">
            <v>40*20</v>
          </cell>
          <cell r="M50">
            <v>1500</v>
          </cell>
          <cell r="N50">
            <v>1200000</v>
          </cell>
          <cell r="O50" t="str">
            <v>40*23</v>
          </cell>
          <cell r="P50">
            <v>1500</v>
          </cell>
          <cell r="Q50">
            <v>1173000</v>
          </cell>
          <cell r="R50" t="str">
            <v>40*20</v>
          </cell>
          <cell r="S50">
            <v>1500</v>
          </cell>
          <cell r="T50">
            <v>327868.85245901637</v>
          </cell>
          <cell r="U50">
            <v>1200000</v>
          </cell>
          <cell r="X50">
            <v>800</v>
          </cell>
          <cell r="Y50">
            <v>1500</v>
          </cell>
        </row>
        <row r="51">
          <cell r="B51">
            <v>1314</v>
          </cell>
          <cell r="C51">
            <v>38</v>
          </cell>
          <cell r="D51">
            <v>31</v>
          </cell>
          <cell r="E51" t="str">
            <v>SITE ADMINISTRATOR</v>
          </cell>
          <cell r="F51">
            <v>25</v>
          </cell>
          <cell r="G51">
            <v>4000</v>
          </cell>
          <cell r="H51">
            <v>100000</v>
          </cell>
          <cell r="I51">
            <v>29</v>
          </cell>
          <cell r="J51">
            <v>4000</v>
          </cell>
          <cell r="K51">
            <v>116000</v>
          </cell>
          <cell r="L51">
            <v>27</v>
          </cell>
          <cell r="M51">
            <v>4000</v>
          </cell>
          <cell r="N51">
            <v>108000</v>
          </cell>
          <cell r="O51">
            <v>30</v>
          </cell>
          <cell r="P51">
            <v>4000</v>
          </cell>
          <cell r="Q51">
            <v>120000</v>
          </cell>
          <cell r="R51">
            <v>27</v>
          </cell>
          <cell r="S51">
            <v>4000</v>
          </cell>
          <cell r="T51">
            <v>29508.196721311473</v>
          </cell>
          <cell r="U51">
            <v>108000</v>
          </cell>
          <cell r="X51">
            <v>27</v>
          </cell>
          <cell r="Y51">
            <v>4000</v>
          </cell>
        </row>
        <row r="52">
          <cell r="B52">
            <v>1315</v>
          </cell>
          <cell r="C52">
            <v>39</v>
          </cell>
          <cell r="D52">
            <v>31</v>
          </cell>
          <cell r="E52" t="str">
            <v>SITE STORE/TIME KEEPER</v>
          </cell>
          <cell r="F52" t="str">
            <v>3*24</v>
          </cell>
          <cell r="G52">
            <v>2000</v>
          </cell>
          <cell r="H52">
            <v>144000</v>
          </cell>
          <cell r="I52" t="str">
            <v>3*26</v>
          </cell>
          <cell r="J52">
            <v>2000</v>
          </cell>
          <cell r="K52">
            <v>156000</v>
          </cell>
          <cell r="L52" t="str">
            <v>3*24</v>
          </cell>
          <cell r="M52">
            <v>2000</v>
          </cell>
          <cell r="N52">
            <v>144000</v>
          </cell>
          <cell r="O52" t="str">
            <v>3*27</v>
          </cell>
          <cell r="P52">
            <v>2000</v>
          </cell>
          <cell r="Q52">
            <v>162000</v>
          </cell>
          <cell r="R52" t="str">
            <v>3*24</v>
          </cell>
          <cell r="S52">
            <v>2000</v>
          </cell>
          <cell r="T52">
            <v>39344.262295081964</v>
          </cell>
          <cell r="U52">
            <v>144000</v>
          </cell>
          <cell r="X52">
            <v>72</v>
          </cell>
          <cell r="Y52">
            <v>2000</v>
          </cell>
        </row>
        <row r="53">
          <cell r="B53">
            <v>1316</v>
          </cell>
          <cell r="C53">
            <v>40</v>
          </cell>
          <cell r="D53">
            <v>31</v>
          </cell>
          <cell r="E53" t="str">
            <v>SITE TIME KEEPER</v>
          </cell>
          <cell r="F53" t="str">
            <v>5*24</v>
          </cell>
          <cell r="G53">
            <v>2000</v>
          </cell>
          <cell r="H53">
            <v>240000</v>
          </cell>
          <cell r="I53" t="str">
            <v>5*26</v>
          </cell>
          <cell r="J53">
            <v>2000</v>
          </cell>
          <cell r="K53">
            <v>260000</v>
          </cell>
          <cell r="L53" t="str">
            <v>5*24</v>
          </cell>
          <cell r="M53">
            <v>2000</v>
          </cell>
          <cell r="N53">
            <v>240000</v>
          </cell>
          <cell r="O53" t="str">
            <v>5*27</v>
          </cell>
          <cell r="P53">
            <v>2000</v>
          </cell>
          <cell r="Q53">
            <v>270000</v>
          </cell>
          <cell r="R53" t="str">
            <v>5*24</v>
          </cell>
          <cell r="S53">
            <v>2000</v>
          </cell>
          <cell r="T53">
            <v>65573.770491803283</v>
          </cell>
          <cell r="U53">
            <v>240000</v>
          </cell>
          <cell r="X53">
            <v>120</v>
          </cell>
          <cell r="Y53">
            <v>2000</v>
          </cell>
        </row>
        <row r="54">
          <cell r="B54">
            <v>1317</v>
          </cell>
          <cell r="C54">
            <v>41</v>
          </cell>
          <cell r="D54">
            <v>31</v>
          </cell>
          <cell r="E54" t="str">
            <v>SECRETARY(2+1)</v>
          </cell>
          <cell r="F54" t="str">
            <v>3*24</v>
          </cell>
          <cell r="G54">
            <v>3500</v>
          </cell>
          <cell r="H54">
            <v>252000</v>
          </cell>
          <cell r="I54" t="str">
            <v>3*26</v>
          </cell>
          <cell r="J54">
            <v>3500</v>
          </cell>
          <cell r="K54">
            <v>273000</v>
          </cell>
          <cell r="L54" t="str">
            <v>3*24</v>
          </cell>
          <cell r="M54">
            <v>3500</v>
          </cell>
          <cell r="N54">
            <v>252000</v>
          </cell>
          <cell r="O54" t="str">
            <v>3*27</v>
          </cell>
          <cell r="P54">
            <v>3500</v>
          </cell>
          <cell r="Q54">
            <v>283500</v>
          </cell>
          <cell r="R54" t="str">
            <v>3*27</v>
          </cell>
          <cell r="S54">
            <v>3500</v>
          </cell>
          <cell r="T54">
            <v>77459.016393442624</v>
          </cell>
          <cell r="U54">
            <v>283500</v>
          </cell>
          <cell r="X54">
            <v>81</v>
          </cell>
          <cell r="Y54">
            <v>3500</v>
          </cell>
        </row>
        <row r="55">
          <cell r="B55">
            <v>1318</v>
          </cell>
          <cell r="C55">
            <v>42</v>
          </cell>
          <cell r="D55">
            <v>31</v>
          </cell>
          <cell r="E55" t="str">
            <v>SITE TYPIST AND PHONE OPERATOR</v>
          </cell>
          <cell r="F55" t="str">
            <v>4*24</v>
          </cell>
          <cell r="G55">
            <v>2500</v>
          </cell>
          <cell r="H55">
            <v>240000</v>
          </cell>
          <cell r="I55" t="str">
            <v>4*26</v>
          </cell>
          <cell r="J55">
            <v>2500</v>
          </cell>
          <cell r="K55">
            <v>260000</v>
          </cell>
          <cell r="L55" t="str">
            <v>4*24</v>
          </cell>
          <cell r="M55">
            <v>2500</v>
          </cell>
          <cell r="N55">
            <v>240000</v>
          </cell>
          <cell r="O55" t="str">
            <v>4*27</v>
          </cell>
          <cell r="P55">
            <v>2500</v>
          </cell>
          <cell r="Q55">
            <v>270000</v>
          </cell>
          <cell r="R55" t="str">
            <v>4*27</v>
          </cell>
          <cell r="S55">
            <v>2500</v>
          </cell>
          <cell r="T55">
            <v>73770.491803278681</v>
          </cell>
          <cell r="U55">
            <v>270000</v>
          </cell>
          <cell r="X55">
            <v>108</v>
          </cell>
          <cell r="Y55">
            <v>2500</v>
          </cell>
        </row>
        <row r="56">
          <cell r="B56">
            <v>1319</v>
          </cell>
          <cell r="C56">
            <v>43</v>
          </cell>
          <cell r="D56">
            <v>31</v>
          </cell>
          <cell r="E56" t="str">
            <v>DRAUGHTSMAN</v>
          </cell>
          <cell r="F56" t="str">
            <v>3*20</v>
          </cell>
          <cell r="G56">
            <v>3000</v>
          </cell>
          <cell r="H56">
            <v>180000</v>
          </cell>
          <cell r="I56" t="str">
            <v>3*22</v>
          </cell>
          <cell r="J56">
            <v>3000</v>
          </cell>
          <cell r="K56">
            <v>198000</v>
          </cell>
          <cell r="L56" t="str">
            <v>3*20</v>
          </cell>
          <cell r="M56">
            <v>3000</v>
          </cell>
          <cell r="N56">
            <v>180000</v>
          </cell>
          <cell r="O56" t="str">
            <v>3*23</v>
          </cell>
          <cell r="P56">
            <v>3000</v>
          </cell>
          <cell r="Q56">
            <v>225000</v>
          </cell>
          <cell r="R56" t="str">
            <v>3*23</v>
          </cell>
          <cell r="S56">
            <v>3000</v>
          </cell>
          <cell r="T56">
            <v>56557.377049180323</v>
          </cell>
          <cell r="U56">
            <v>207000</v>
          </cell>
          <cell r="X56">
            <v>23</v>
          </cell>
          <cell r="Y56">
            <v>3000</v>
          </cell>
        </row>
        <row r="57">
          <cell r="B57">
            <v>1319.1</v>
          </cell>
          <cell r="C57">
            <v>43</v>
          </cell>
          <cell r="D57">
            <v>31</v>
          </cell>
          <cell r="E57" t="str">
            <v>DRAUGHTSMAN</v>
          </cell>
          <cell r="F57" t="str">
            <v>3*20</v>
          </cell>
          <cell r="G57">
            <v>3000</v>
          </cell>
          <cell r="H57">
            <v>180000</v>
          </cell>
          <cell r="I57" t="str">
            <v>3*22</v>
          </cell>
          <cell r="J57">
            <v>3000</v>
          </cell>
          <cell r="K57">
            <v>198000</v>
          </cell>
          <cell r="L57" t="str">
            <v>3*20</v>
          </cell>
          <cell r="M57">
            <v>3000</v>
          </cell>
          <cell r="N57">
            <v>180000</v>
          </cell>
          <cell r="O57" t="str">
            <v>3*23</v>
          </cell>
          <cell r="P57">
            <v>3000</v>
          </cell>
          <cell r="Q57">
            <v>225000</v>
          </cell>
          <cell r="R57" t="str">
            <v>3*23</v>
          </cell>
          <cell r="S57">
            <v>3000</v>
          </cell>
          <cell r="T57">
            <v>56557.377049180323</v>
          </cell>
          <cell r="U57">
            <v>207000</v>
          </cell>
          <cell r="X57">
            <v>23</v>
          </cell>
          <cell r="Y57">
            <v>3000</v>
          </cell>
        </row>
        <row r="58">
          <cell r="B58">
            <v>1319.2</v>
          </cell>
          <cell r="C58">
            <v>43</v>
          </cell>
          <cell r="D58">
            <v>31</v>
          </cell>
          <cell r="E58" t="str">
            <v>DRAUGHTSMAN</v>
          </cell>
          <cell r="F58" t="str">
            <v>3*20</v>
          </cell>
          <cell r="G58">
            <v>3000</v>
          </cell>
          <cell r="H58">
            <v>180000</v>
          </cell>
          <cell r="I58" t="str">
            <v>3*22</v>
          </cell>
          <cell r="J58">
            <v>3000</v>
          </cell>
          <cell r="K58">
            <v>198000</v>
          </cell>
          <cell r="L58" t="str">
            <v>3*20</v>
          </cell>
          <cell r="M58">
            <v>3000</v>
          </cell>
          <cell r="N58">
            <v>180000</v>
          </cell>
          <cell r="O58" t="str">
            <v>3*23</v>
          </cell>
          <cell r="P58">
            <v>3000</v>
          </cell>
          <cell r="Q58">
            <v>225000</v>
          </cell>
          <cell r="R58" t="str">
            <v>3*23</v>
          </cell>
          <cell r="S58">
            <v>3000</v>
          </cell>
          <cell r="T58">
            <v>56557.377049180323</v>
          </cell>
          <cell r="U58">
            <v>207000</v>
          </cell>
          <cell r="X58">
            <v>23</v>
          </cell>
          <cell r="Y58">
            <v>3000</v>
          </cell>
        </row>
        <row r="59">
          <cell r="B59">
            <v>1320</v>
          </cell>
          <cell r="C59">
            <v>44</v>
          </cell>
          <cell r="D59">
            <v>31</v>
          </cell>
          <cell r="E59" t="str">
            <v>DOCUMENT CONTROLLER(1+1)</v>
          </cell>
          <cell r="F59" t="str">
            <v>2*24</v>
          </cell>
          <cell r="G59">
            <v>4000</v>
          </cell>
          <cell r="H59">
            <v>192000</v>
          </cell>
          <cell r="I59" t="str">
            <v>2*26</v>
          </cell>
          <cell r="J59">
            <v>4000</v>
          </cell>
          <cell r="K59">
            <v>208000</v>
          </cell>
          <cell r="L59" t="str">
            <v>2*24</v>
          </cell>
          <cell r="M59">
            <v>4000</v>
          </cell>
          <cell r="N59">
            <v>192000</v>
          </cell>
          <cell r="O59" t="str">
            <v>2*27</v>
          </cell>
          <cell r="P59">
            <v>4000</v>
          </cell>
          <cell r="Q59">
            <v>216000</v>
          </cell>
          <cell r="R59" t="str">
            <v>2*24</v>
          </cell>
          <cell r="S59">
            <v>4000</v>
          </cell>
          <cell r="T59">
            <v>52459.016393442624</v>
          </cell>
          <cell r="U59">
            <v>192000</v>
          </cell>
          <cell r="X59">
            <v>24</v>
          </cell>
          <cell r="Y59">
            <v>4000</v>
          </cell>
        </row>
        <row r="60">
          <cell r="B60">
            <v>1320.1</v>
          </cell>
          <cell r="C60">
            <v>44</v>
          </cell>
          <cell r="D60">
            <v>31</v>
          </cell>
          <cell r="E60" t="str">
            <v>DOCUMENT CONTROLLER(1+1)</v>
          </cell>
          <cell r="F60" t="str">
            <v>2*24</v>
          </cell>
          <cell r="G60">
            <v>4000</v>
          </cell>
          <cell r="H60">
            <v>192000</v>
          </cell>
          <cell r="I60" t="str">
            <v>2*26</v>
          </cell>
          <cell r="J60">
            <v>4000</v>
          </cell>
          <cell r="K60">
            <v>208000</v>
          </cell>
          <cell r="L60" t="str">
            <v>2*24</v>
          </cell>
          <cell r="M60">
            <v>4000</v>
          </cell>
          <cell r="N60">
            <v>192000</v>
          </cell>
          <cell r="O60" t="str">
            <v>2*27</v>
          </cell>
          <cell r="P60">
            <v>4000</v>
          </cell>
          <cell r="Q60">
            <v>216000</v>
          </cell>
          <cell r="R60" t="str">
            <v>2*24</v>
          </cell>
          <cell r="S60">
            <v>4000</v>
          </cell>
          <cell r="T60">
            <v>52459.016393442624</v>
          </cell>
          <cell r="U60">
            <v>192000</v>
          </cell>
          <cell r="X60">
            <v>24</v>
          </cell>
          <cell r="Y60">
            <v>4000</v>
          </cell>
        </row>
        <row r="61">
          <cell r="B61">
            <v>1321</v>
          </cell>
          <cell r="C61">
            <v>45</v>
          </cell>
          <cell r="D61">
            <v>31</v>
          </cell>
          <cell r="E61" t="str">
            <v>COST  MANAGER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27</v>
          </cell>
          <cell r="M61">
            <v>31395</v>
          </cell>
          <cell r="N61">
            <v>1506960</v>
          </cell>
          <cell r="O61">
            <v>33</v>
          </cell>
          <cell r="P61">
            <v>31395</v>
          </cell>
          <cell r="Q61">
            <v>1036035</v>
          </cell>
          <cell r="R61">
            <v>33</v>
          </cell>
          <cell r="S61">
            <v>31395</v>
          </cell>
          <cell r="T61">
            <v>411737.70491803274</v>
          </cell>
          <cell r="U61">
            <v>1506960</v>
          </cell>
          <cell r="X61">
            <v>33</v>
          </cell>
          <cell r="Y61">
            <v>31395</v>
          </cell>
        </row>
        <row r="62">
          <cell r="B62">
            <v>1322</v>
          </cell>
          <cell r="C62">
            <v>46</v>
          </cell>
          <cell r="D62">
            <v>31</v>
          </cell>
          <cell r="E62" t="str">
            <v>OFFICE BOY(2+1)</v>
          </cell>
          <cell r="F62" t="str">
            <v>3*26</v>
          </cell>
          <cell r="G62">
            <v>900</v>
          </cell>
          <cell r="H62">
            <v>70200</v>
          </cell>
          <cell r="I62" t="str">
            <v>3*28</v>
          </cell>
          <cell r="J62">
            <v>900</v>
          </cell>
          <cell r="K62">
            <v>75600</v>
          </cell>
          <cell r="L62" t="str">
            <v>3*26</v>
          </cell>
          <cell r="M62">
            <v>900</v>
          </cell>
          <cell r="N62">
            <v>70200</v>
          </cell>
          <cell r="O62" t="str">
            <v>3*29</v>
          </cell>
          <cell r="P62">
            <v>900</v>
          </cell>
          <cell r="Q62">
            <v>78300</v>
          </cell>
          <cell r="R62" t="str">
            <v>3*26</v>
          </cell>
          <cell r="S62">
            <v>900</v>
          </cell>
          <cell r="T62">
            <v>176229.50819672132</v>
          </cell>
          <cell r="U62">
            <v>645000</v>
          </cell>
          <cell r="X62">
            <v>81</v>
          </cell>
          <cell r="Y62">
            <v>900</v>
          </cell>
        </row>
        <row r="63">
          <cell r="B63">
            <v>1323</v>
          </cell>
          <cell r="C63">
            <v>47</v>
          </cell>
          <cell r="D63">
            <v>31</v>
          </cell>
          <cell r="E63" t="str">
            <v>LOCAL PURCHASER</v>
          </cell>
          <cell r="F63" t="str">
            <v>1*24</v>
          </cell>
          <cell r="G63">
            <v>3000</v>
          </cell>
          <cell r="H63">
            <v>72000</v>
          </cell>
          <cell r="I63" t="str">
            <v>1*28</v>
          </cell>
          <cell r="J63">
            <v>3000</v>
          </cell>
          <cell r="K63">
            <v>84000</v>
          </cell>
          <cell r="L63" t="str">
            <v>1*24</v>
          </cell>
          <cell r="M63">
            <v>20000</v>
          </cell>
          <cell r="N63">
            <v>480000</v>
          </cell>
          <cell r="O63" t="str">
            <v>1*30</v>
          </cell>
          <cell r="P63">
            <v>3000</v>
          </cell>
          <cell r="Q63">
            <v>90000</v>
          </cell>
          <cell r="R63" t="str">
            <v>1*24</v>
          </cell>
          <cell r="S63">
            <v>20000</v>
          </cell>
          <cell r="T63">
            <v>131147.54098360657</v>
          </cell>
          <cell r="U63">
            <v>480000</v>
          </cell>
          <cell r="X63">
            <v>24</v>
          </cell>
          <cell r="Y63">
            <v>20000</v>
          </cell>
        </row>
        <row r="64">
          <cell r="B64">
            <v>1324</v>
          </cell>
          <cell r="C64">
            <v>48</v>
          </cell>
          <cell r="D64">
            <v>31</v>
          </cell>
          <cell r="E64" t="str">
            <v>PLANNING</v>
          </cell>
          <cell r="F64">
            <v>27</v>
          </cell>
          <cell r="G64">
            <v>20000</v>
          </cell>
          <cell r="H64">
            <v>540000</v>
          </cell>
          <cell r="I64">
            <v>29</v>
          </cell>
          <cell r="J64">
            <v>20000</v>
          </cell>
          <cell r="K64">
            <v>580000</v>
          </cell>
          <cell r="L64">
            <v>27</v>
          </cell>
          <cell r="M64">
            <v>15000</v>
          </cell>
          <cell r="N64">
            <v>405000</v>
          </cell>
          <cell r="O64">
            <v>30</v>
          </cell>
          <cell r="P64">
            <v>15000</v>
          </cell>
          <cell r="Q64">
            <v>450000</v>
          </cell>
          <cell r="R64">
            <v>30</v>
          </cell>
          <cell r="S64">
            <v>15000</v>
          </cell>
          <cell r="T64">
            <v>110655.73770491802</v>
          </cell>
          <cell r="U64">
            <v>405000</v>
          </cell>
          <cell r="X64">
            <v>30</v>
          </cell>
          <cell r="Y64">
            <v>15000</v>
          </cell>
        </row>
        <row r="65">
          <cell r="B65">
            <v>1325</v>
          </cell>
          <cell r="C65">
            <v>49</v>
          </cell>
          <cell r="D65">
            <v>31</v>
          </cell>
          <cell r="E65" t="str">
            <v>ASST.PLANNING</v>
          </cell>
          <cell r="F65" t="str">
            <v>2*24</v>
          </cell>
          <cell r="G65">
            <v>6000</v>
          </cell>
          <cell r="H65">
            <v>288000</v>
          </cell>
          <cell r="I65" t="str">
            <v>2*26</v>
          </cell>
          <cell r="J65">
            <v>6000</v>
          </cell>
          <cell r="K65">
            <v>312000</v>
          </cell>
          <cell r="L65" t="str">
            <v>2*24</v>
          </cell>
          <cell r="M65">
            <v>6000</v>
          </cell>
          <cell r="N65">
            <v>288000</v>
          </cell>
          <cell r="O65" t="str">
            <v>2*27</v>
          </cell>
          <cell r="P65">
            <v>6000</v>
          </cell>
          <cell r="Q65">
            <v>324000</v>
          </cell>
          <cell r="R65" t="str">
            <v>2*24</v>
          </cell>
          <cell r="S65">
            <v>6000</v>
          </cell>
          <cell r="T65">
            <v>78688.524590163928</v>
          </cell>
          <cell r="U65">
            <v>288000</v>
          </cell>
          <cell r="X65">
            <v>24</v>
          </cell>
          <cell r="Y65">
            <v>6000</v>
          </cell>
        </row>
        <row r="66">
          <cell r="B66">
            <v>1325.1</v>
          </cell>
          <cell r="C66">
            <v>49</v>
          </cell>
          <cell r="D66">
            <v>31</v>
          </cell>
          <cell r="E66" t="str">
            <v>ASST.PLANNING</v>
          </cell>
          <cell r="F66" t="str">
            <v>2*24</v>
          </cell>
          <cell r="G66">
            <v>6000</v>
          </cell>
          <cell r="H66">
            <v>288000</v>
          </cell>
          <cell r="I66" t="str">
            <v>2*26</v>
          </cell>
          <cell r="J66">
            <v>6000</v>
          </cell>
          <cell r="K66">
            <v>312000</v>
          </cell>
          <cell r="L66" t="str">
            <v>2*24</v>
          </cell>
          <cell r="M66">
            <v>6000</v>
          </cell>
          <cell r="N66">
            <v>288000</v>
          </cell>
          <cell r="O66" t="str">
            <v>2*27</v>
          </cell>
          <cell r="P66">
            <v>6000</v>
          </cell>
          <cell r="Q66">
            <v>324000</v>
          </cell>
          <cell r="R66" t="str">
            <v>2*24</v>
          </cell>
          <cell r="S66">
            <v>6000</v>
          </cell>
          <cell r="T66">
            <v>78688.524590163928</v>
          </cell>
          <cell r="U66">
            <v>288000</v>
          </cell>
          <cell r="X66">
            <v>24</v>
          </cell>
          <cell r="Y66">
            <v>6000</v>
          </cell>
        </row>
        <row r="67">
          <cell r="B67">
            <v>1326</v>
          </cell>
          <cell r="C67">
            <v>50</v>
          </cell>
          <cell r="D67">
            <v>31</v>
          </cell>
          <cell r="E67" t="str">
            <v>QA-QC ENG.</v>
          </cell>
          <cell r="F67">
            <v>24</v>
          </cell>
          <cell r="G67">
            <v>15000</v>
          </cell>
          <cell r="H67">
            <v>360000</v>
          </cell>
          <cell r="I67">
            <v>26</v>
          </cell>
          <cell r="J67">
            <v>15000</v>
          </cell>
          <cell r="K67">
            <v>390000</v>
          </cell>
          <cell r="L67">
            <v>24</v>
          </cell>
          <cell r="M67">
            <v>15000</v>
          </cell>
          <cell r="N67">
            <v>360000</v>
          </cell>
          <cell r="O67">
            <v>29</v>
          </cell>
          <cell r="P67">
            <v>15000</v>
          </cell>
          <cell r="Q67">
            <v>435000</v>
          </cell>
          <cell r="R67">
            <v>27</v>
          </cell>
          <cell r="S67">
            <v>15000</v>
          </cell>
          <cell r="T67">
            <v>110655.73770491802</v>
          </cell>
          <cell r="U67">
            <v>405000</v>
          </cell>
          <cell r="X67">
            <v>27</v>
          </cell>
          <cell r="Y67">
            <v>15000</v>
          </cell>
        </row>
        <row r="68">
          <cell r="B68">
            <v>1327</v>
          </cell>
          <cell r="C68">
            <v>51</v>
          </cell>
          <cell r="D68">
            <v>31</v>
          </cell>
          <cell r="E68" t="str">
            <v>ASST. QA-QC ENGINEER.</v>
          </cell>
          <cell r="F68" t="str">
            <v>2*24</v>
          </cell>
          <cell r="G68">
            <v>5000</v>
          </cell>
          <cell r="H68">
            <v>240000</v>
          </cell>
          <cell r="I68" t="str">
            <v>2*26</v>
          </cell>
          <cell r="J68">
            <v>5000</v>
          </cell>
          <cell r="K68">
            <v>260000</v>
          </cell>
          <cell r="L68" t="str">
            <v>2*24</v>
          </cell>
          <cell r="M68">
            <v>5000</v>
          </cell>
          <cell r="N68">
            <v>240000</v>
          </cell>
          <cell r="O68" t="str">
            <v>2*29</v>
          </cell>
          <cell r="P68">
            <v>5000</v>
          </cell>
          <cell r="Q68">
            <v>290000</v>
          </cell>
          <cell r="R68" t="str">
            <v>2*24</v>
          </cell>
          <cell r="S68">
            <v>5000</v>
          </cell>
          <cell r="T68">
            <v>65573.770491803283</v>
          </cell>
          <cell r="U68">
            <v>240000</v>
          </cell>
          <cell r="X68">
            <v>24</v>
          </cell>
          <cell r="Y68">
            <v>5000</v>
          </cell>
        </row>
        <row r="69">
          <cell r="B69">
            <v>1327.1</v>
          </cell>
          <cell r="C69">
            <v>51</v>
          </cell>
          <cell r="D69">
            <v>31</v>
          </cell>
          <cell r="E69" t="str">
            <v>ASST. QA-QC ENGINEER.</v>
          </cell>
          <cell r="F69" t="str">
            <v>2*24</v>
          </cell>
          <cell r="G69">
            <v>5000</v>
          </cell>
          <cell r="H69">
            <v>240000</v>
          </cell>
          <cell r="I69" t="str">
            <v>2*26</v>
          </cell>
          <cell r="J69">
            <v>5000</v>
          </cell>
          <cell r="K69">
            <v>260000</v>
          </cell>
          <cell r="L69" t="str">
            <v>2*24</v>
          </cell>
          <cell r="M69">
            <v>5000</v>
          </cell>
          <cell r="N69">
            <v>240000</v>
          </cell>
          <cell r="O69" t="str">
            <v>2*29</v>
          </cell>
          <cell r="P69">
            <v>5000</v>
          </cell>
          <cell r="Q69">
            <v>290000</v>
          </cell>
          <cell r="R69" t="str">
            <v>2*24</v>
          </cell>
          <cell r="S69">
            <v>5000</v>
          </cell>
          <cell r="T69">
            <v>65573.770491803283</v>
          </cell>
          <cell r="U69">
            <v>240000</v>
          </cell>
          <cell r="X69">
            <v>24</v>
          </cell>
          <cell r="Y69">
            <v>5000</v>
          </cell>
        </row>
        <row r="70">
          <cell r="B70">
            <v>1328</v>
          </cell>
          <cell r="C70">
            <v>52</v>
          </cell>
          <cell r="D70">
            <v>31</v>
          </cell>
          <cell r="E70" t="str">
            <v>SR. ACCOUNTANT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24</v>
          </cell>
          <cell r="M70">
            <v>12000</v>
          </cell>
          <cell r="N70">
            <v>288000</v>
          </cell>
          <cell r="O70">
            <v>31</v>
          </cell>
          <cell r="P70">
            <v>27086</v>
          </cell>
          <cell r="Q70">
            <v>839666</v>
          </cell>
          <cell r="R70">
            <v>31</v>
          </cell>
          <cell r="S70">
            <v>19000</v>
          </cell>
          <cell r="T70">
            <v>160928.96174863388</v>
          </cell>
          <cell r="U70">
            <v>589000</v>
          </cell>
          <cell r="X70">
            <v>31</v>
          </cell>
          <cell r="Y70">
            <v>19000</v>
          </cell>
        </row>
        <row r="71">
          <cell r="B71">
            <v>1329</v>
          </cell>
          <cell r="C71">
            <v>53</v>
          </cell>
          <cell r="D71">
            <v>31</v>
          </cell>
          <cell r="E71" t="str">
            <v>ACCOUNTANT</v>
          </cell>
          <cell r="F71" t="str">
            <v>1*27</v>
          </cell>
          <cell r="G71">
            <v>3000</v>
          </cell>
          <cell r="H71">
            <v>81000</v>
          </cell>
          <cell r="I71" t="str">
            <v>1*29</v>
          </cell>
          <cell r="J71">
            <v>3000</v>
          </cell>
          <cell r="K71">
            <v>87000</v>
          </cell>
          <cell r="L71" t="str">
            <v>1*27</v>
          </cell>
          <cell r="M71">
            <v>6500</v>
          </cell>
          <cell r="N71">
            <v>175500</v>
          </cell>
          <cell r="O71" t="str">
            <v>1*30</v>
          </cell>
          <cell r="P71">
            <v>6500</v>
          </cell>
          <cell r="Q71">
            <v>195000</v>
          </cell>
          <cell r="R71" t="str">
            <v>1*27</v>
          </cell>
          <cell r="S71">
            <v>6500</v>
          </cell>
          <cell r="T71">
            <v>47950.819672131147</v>
          </cell>
          <cell r="U71">
            <v>175500</v>
          </cell>
          <cell r="X71">
            <v>27</v>
          </cell>
          <cell r="Y71">
            <v>6500</v>
          </cell>
        </row>
        <row r="72">
          <cell r="B72">
            <v>1330</v>
          </cell>
          <cell r="C72">
            <v>54</v>
          </cell>
          <cell r="D72">
            <v>31</v>
          </cell>
          <cell r="E72" t="str">
            <v>DESIGN COORDINATOR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T72">
            <v>0</v>
          </cell>
          <cell r="X72">
            <v>0</v>
          </cell>
          <cell r="Y72">
            <v>0</v>
          </cell>
        </row>
        <row r="73">
          <cell r="B73">
            <v>1330.1</v>
          </cell>
          <cell r="C73">
            <v>55</v>
          </cell>
          <cell r="D73">
            <v>31</v>
          </cell>
          <cell r="E73" t="str">
            <v>SETTING PLANNING AT BEGINNING</v>
          </cell>
          <cell r="H73">
            <v>0</v>
          </cell>
          <cell r="K73">
            <v>0</v>
          </cell>
          <cell r="N73">
            <v>0</v>
          </cell>
          <cell r="Q73">
            <v>0</v>
          </cell>
          <cell r="T73">
            <v>0</v>
          </cell>
          <cell r="X73">
            <v>0</v>
          </cell>
        </row>
        <row r="74">
          <cell r="B74">
            <v>1331</v>
          </cell>
          <cell r="C74">
            <v>56</v>
          </cell>
          <cell r="D74">
            <v>31</v>
          </cell>
          <cell r="E74" t="str">
            <v>PRO</v>
          </cell>
          <cell r="F74">
            <v>9</v>
          </cell>
          <cell r="G74">
            <v>20000</v>
          </cell>
          <cell r="H74">
            <v>180000</v>
          </cell>
          <cell r="I74">
            <v>28</v>
          </cell>
          <cell r="J74">
            <v>5000</v>
          </cell>
          <cell r="K74">
            <v>140000</v>
          </cell>
          <cell r="L74">
            <v>26</v>
          </cell>
          <cell r="M74">
            <v>5000</v>
          </cell>
          <cell r="N74">
            <v>130000</v>
          </cell>
          <cell r="O74">
            <v>30</v>
          </cell>
          <cell r="P74">
            <v>5000</v>
          </cell>
          <cell r="Q74">
            <v>150000</v>
          </cell>
          <cell r="R74">
            <v>26</v>
          </cell>
          <cell r="S74">
            <v>5000</v>
          </cell>
          <cell r="T74">
            <v>35519.125683060105</v>
          </cell>
          <cell r="U74">
            <v>130000</v>
          </cell>
          <cell r="X74">
            <v>26</v>
          </cell>
          <cell r="Y74">
            <v>5000</v>
          </cell>
        </row>
        <row r="75">
          <cell r="B75">
            <v>1390</v>
          </cell>
          <cell r="C75">
            <v>56</v>
          </cell>
          <cell r="D75">
            <v>31</v>
          </cell>
          <cell r="E75" t="str">
            <v>GENERAL CLERK</v>
          </cell>
          <cell r="H75">
            <v>0</v>
          </cell>
          <cell r="K75">
            <v>0</v>
          </cell>
          <cell r="N75">
            <v>0</v>
          </cell>
          <cell r="Q75">
            <v>0</v>
          </cell>
          <cell r="T75">
            <v>0</v>
          </cell>
          <cell r="X75">
            <v>0</v>
          </cell>
          <cell r="Y75">
            <v>0</v>
          </cell>
        </row>
        <row r="76">
          <cell r="B76">
            <v>1400</v>
          </cell>
          <cell r="C76">
            <v>79</v>
          </cell>
          <cell r="E76" t="str">
            <v xml:space="preserve">MECHANICAL PLANT </v>
          </cell>
          <cell r="H76">
            <v>8818184.120000001</v>
          </cell>
          <cell r="K76">
            <v>10534560</v>
          </cell>
          <cell r="N76">
            <v>9546566</v>
          </cell>
          <cell r="Q76">
            <v>10534560</v>
          </cell>
          <cell r="T76">
            <v>0</v>
          </cell>
          <cell r="U76">
            <v>11014317.120000001</v>
          </cell>
          <cell r="X76">
            <v>0</v>
          </cell>
        </row>
        <row r="77">
          <cell r="B77">
            <v>1400</v>
          </cell>
          <cell r="C77">
            <v>58</v>
          </cell>
          <cell r="E77" t="str">
            <v>MECHANICAL PLANT REFER SEPARATE PLANT SHEET</v>
          </cell>
          <cell r="H77">
            <v>0</v>
          </cell>
          <cell r="K77">
            <v>0</v>
          </cell>
          <cell r="N77">
            <v>0</v>
          </cell>
          <cell r="Q77">
            <v>0</v>
          </cell>
          <cell r="T77">
            <v>0</v>
          </cell>
          <cell r="X77">
            <v>0</v>
          </cell>
        </row>
        <row r="78">
          <cell r="B78">
            <v>1401</v>
          </cell>
          <cell r="C78">
            <v>59</v>
          </cell>
          <cell r="E78" t="str">
            <v>TOWER CRANE (6NO)</v>
          </cell>
          <cell r="F78">
            <v>0</v>
          </cell>
          <cell r="G78">
            <v>10000</v>
          </cell>
          <cell r="H78">
            <v>0</v>
          </cell>
          <cell r="I78">
            <v>0</v>
          </cell>
          <cell r="J78">
            <v>10000</v>
          </cell>
          <cell r="K78">
            <v>0</v>
          </cell>
          <cell r="L78">
            <v>0</v>
          </cell>
          <cell r="M78">
            <v>10000</v>
          </cell>
          <cell r="N78">
            <v>0</v>
          </cell>
          <cell r="O78">
            <v>0</v>
          </cell>
          <cell r="P78">
            <v>10000</v>
          </cell>
          <cell r="Q78">
            <v>0</v>
          </cell>
          <cell r="T78">
            <v>0</v>
          </cell>
          <cell r="X78">
            <v>0</v>
          </cell>
        </row>
        <row r="79">
          <cell r="B79">
            <v>1402</v>
          </cell>
          <cell r="C79">
            <v>60</v>
          </cell>
          <cell r="E79" t="str">
            <v>MOBILE CRANE(3 NO)</v>
          </cell>
          <cell r="F79">
            <v>0</v>
          </cell>
          <cell r="G79">
            <v>12000</v>
          </cell>
          <cell r="H79">
            <v>0</v>
          </cell>
          <cell r="I79">
            <v>0</v>
          </cell>
          <cell r="J79">
            <v>12000</v>
          </cell>
          <cell r="K79">
            <v>0</v>
          </cell>
          <cell r="L79">
            <v>0</v>
          </cell>
          <cell r="M79">
            <v>12000</v>
          </cell>
          <cell r="N79">
            <v>0</v>
          </cell>
          <cell r="O79">
            <v>0</v>
          </cell>
          <cell r="P79">
            <v>12000</v>
          </cell>
          <cell r="Q79">
            <v>0</v>
          </cell>
          <cell r="T79">
            <v>0</v>
          </cell>
          <cell r="U79" t="e">
            <v>#REF!</v>
          </cell>
          <cell r="X79">
            <v>0</v>
          </cell>
        </row>
        <row r="80">
          <cell r="B80">
            <v>1403</v>
          </cell>
          <cell r="C80">
            <v>61</v>
          </cell>
          <cell r="E80" t="str">
            <v>GOODS HOIST/BOBCAT</v>
          </cell>
          <cell r="F80">
            <v>0</v>
          </cell>
          <cell r="G80">
            <v>4000</v>
          </cell>
          <cell r="H80">
            <v>0</v>
          </cell>
          <cell r="I80">
            <v>0</v>
          </cell>
          <cell r="J80">
            <v>4000</v>
          </cell>
          <cell r="K80">
            <v>0</v>
          </cell>
          <cell r="L80">
            <v>0</v>
          </cell>
          <cell r="M80">
            <v>4000</v>
          </cell>
          <cell r="N80">
            <v>0</v>
          </cell>
          <cell r="O80">
            <v>0</v>
          </cell>
          <cell r="P80">
            <v>4000</v>
          </cell>
          <cell r="Q80">
            <v>0</v>
          </cell>
          <cell r="T80">
            <v>0</v>
          </cell>
          <cell r="X80">
            <v>0</v>
          </cell>
        </row>
        <row r="81">
          <cell r="B81">
            <v>1404</v>
          </cell>
          <cell r="C81">
            <v>62</v>
          </cell>
          <cell r="D81">
            <v>5</v>
          </cell>
          <cell r="E81" t="str">
            <v>FORK LIFTS</v>
          </cell>
          <cell r="F81">
            <v>0</v>
          </cell>
          <cell r="G81">
            <v>8000</v>
          </cell>
          <cell r="H81">
            <v>0</v>
          </cell>
          <cell r="I81">
            <v>0</v>
          </cell>
          <cell r="J81">
            <v>8000</v>
          </cell>
          <cell r="K81">
            <v>0</v>
          </cell>
          <cell r="L81">
            <v>0</v>
          </cell>
          <cell r="M81">
            <v>8000</v>
          </cell>
          <cell r="N81">
            <v>0</v>
          </cell>
          <cell r="O81">
            <v>0</v>
          </cell>
          <cell r="P81">
            <v>8000</v>
          </cell>
          <cell r="Q81">
            <v>0</v>
          </cell>
          <cell r="R81">
            <v>0</v>
          </cell>
          <cell r="T81">
            <v>0</v>
          </cell>
          <cell r="U81">
            <v>200000</v>
          </cell>
          <cell r="X81">
            <v>0</v>
          </cell>
        </row>
        <row r="82">
          <cell r="B82">
            <v>1405</v>
          </cell>
          <cell r="C82">
            <v>63</v>
          </cell>
          <cell r="D82">
            <v>11</v>
          </cell>
          <cell r="E82" t="str">
            <v>BATCHING PLANT</v>
          </cell>
          <cell r="F82" t="str">
            <v>ITEM</v>
          </cell>
          <cell r="G82">
            <v>0</v>
          </cell>
          <cell r="H82" t="str">
            <v xml:space="preserve"> </v>
          </cell>
          <cell r="I82" t="str">
            <v>ITEM</v>
          </cell>
          <cell r="J82">
            <v>0</v>
          </cell>
          <cell r="K82" t="str">
            <v xml:space="preserve"> </v>
          </cell>
          <cell r="L82" t="str">
            <v>ITEM</v>
          </cell>
          <cell r="M82">
            <v>0</v>
          </cell>
          <cell r="N82" t="str">
            <v xml:space="preserve"> </v>
          </cell>
          <cell r="O82" t="str">
            <v>ITEM</v>
          </cell>
          <cell r="P82">
            <v>0</v>
          </cell>
          <cell r="Q82" t="str">
            <v xml:space="preserve"> </v>
          </cell>
          <cell r="R82">
            <v>500</v>
          </cell>
          <cell r="S82">
            <v>200</v>
          </cell>
          <cell r="T82">
            <v>0</v>
          </cell>
          <cell r="U82">
            <v>100000</v>
          </cell>
          <cell r="X82">
            <v>0</v>
          </cell>
          <cell r="Y82">
            <v>200</v>
          </cell>
        </row>
        <row r="83">
          <cell r="B83">
            <v>1406</v>
          </cell>
          <cell r="C83">
            <v>64</v>
          </cell>
          <cell r="D83">
            <v>4</v>
          </cell>
          <cell r="E83" t="str">
            <v>MIXERS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str">
            <v>ITEM</v>
          </cell>
          <cell r="S83">
            <v>0</v>
          </cell>
          <cell r="T83">
            <v>0</v>
          </cell>
          <cell r="U83">
            <v>25000</v>
          </cell>
          <cell r="X83">
            <v>0</v>
          </cell>
          <cell r="Y83">
            <v>0</v>
          </cell>
        </row>
        <row r="84">
          <cell r="B84">
            <v>1407</v>
          </cell>
          <cell r="C84">
            <v>65</v>
          </cell>
          <cell r="D84">
            <v>38</v>
          </cell>
          <cell r="E84" t="str">
            <v>CONCRETE PUMP</v>
          </cell>
          <cell r="H84" t="str">
            <v xml:space="preserve"> </v>
          </cell>
          <cell r="K84" t="str">
            <v xml:space="preserve"> </v>
          </cell>
          <cell r="N84" t="str">
            <v xml:space="preserve"> </v>
          </cell>
          <cell r="Q84" t="str">
            <v xml:space="preserve"> </v>
          </cell>
          <cell r="T84">
            <v>0</v>
          </cell>
          <cell r="U84">
            <v>603180</v>
          </cell>
          <cell r="X84">
            <v>0</v>
          </cell>
        </row>
        <row r="85">
          <cell r="B85">
            <v>1408</v>
          </cell>
          <cell r="C85">
            <v>66</v>
          </cell>
          <cell r="E85" t="str">
            <v>DUMPERS  (6Nos)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str">
            <v>IN PLANT</v>
          </cell>
          <cell r="X85">
            <v>0</v>
          </cell>
          <cell r="Y85">
            <v>0</v>
          </cell>
        </row>
        <row r="86">
          <cell r="B86">
            <v>1409</v>
          </cell>
          <cell r="C86">
            <v>67</v>
          </cell>
          <cell r="E86" t="str">
            <v>SHOVEL</v>
          </cell>
          <cell r="H86">
            <v>0</v>
          </cell>
          <cell r="K86">
            <v>0</v>
          </cell>
          <cell r="N86">
            <v>0</v>
          </cell>
          <cell r="Q86">
            <v>0</v>
          </cell>
          <cell r="T86">
            <v>0</v>
          </cell>
          <cell r="U86" t="e">
            <v>#REF!</v>
          </cell>
          <cell r="X86">
            <v>0</v>
          </cell>
        </row>
        <row r="87">
          <cell r="B87">
            <v>1410</v>
          </cell>
          <cell r="C87">
            <v>68</v>
          </cell>
          <cell r="E87" t="str">
            <v>EXCAVATOR</v>
          </cell>
          <cell r="H87">
            <v>0</v>
          </cell>
          <cell r="K87">
            <v>0</v>
          </cell>
          <cell r="N87">
            <v>0</v>
          </cell>
          <cell r="Q87">
            <v>0</v>
          </cell>
          <cell r="T87">
            <v>0</v>
          </cell>
          <cell r="X87">
            <v>0</v>
          </cell>
        </row>
        <row r="88">
          <cell r="B88">
            <v>1411</v>
          </cell>
          <cell r="C88">
            <v>69</v>
          </cell>
          <cell r="D88">
            <v>5.0999999999999996</v>
          </cell>
          <cell r="E88" t="str">
            <v>COMPRESSOR(2 NO)</v>
          </cell>
          <cell r="F88">
            <v>0</v>
          </cell>
          <cell r="H88">
            <v>0</v>
          </cell>
          <cell r="I88">
            <v>0</v>
          </cell>
          <cell r="K88">
            <v>0</v>
          </cell>
          <cell r="L88">
            <v>0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  <cell r="T88">
            <v>0</v>
          </cell>
          <cell r="U88">
            <v>2400000</v>
          </cell>
          <cell r="X88">
            <v>0</v>
          </cell>
        </row>
        <row r="89">
          <cell r="B89">
            <v>1412</v>
          </cell>
          <cell r="C89">
            <v>70</v>
          </cell>
          <cell r="D89">
            <v>5.0999999999999996</v>
          </cell>
          <cell r="E89" t="str">
            <v>VIB ROLLERS</v>
          </cell>
          <cell r="G89">
            <v>80750</v>
          </cell>
          <cell r="H89">
            <v>0</v>
          </cell>
          <cell r="J89">
            <v>85000</v>
          </cell>
          <cell r="K89">
            <v>0</v>
          </cell>
          <cell r="M89">
            <v>85000</v>
          </cell>
          <cell r="N89">
            <v>0</v>
          </cell>
          <cell r="P89">
            <v>85000</v>
          </cell>
          <cell r="Q89">
            <v>0</v>
          </cell>
          <cell r="S89">
            <v>85000</v>
          </cell>
          <cell r="T89">
            <v>0</v>
          </cell>
          <cell r="U89">
            <v>85000</v>
          </cell>
          <cell r="X89">
            <v>0</v>
          </cell>
          <cell r="Y89">
            <v>85000</v>
          </cell>
        </row>
        <row r="90">
          <cell r="B90">
            <v>1413</v>
          </cell>
          <cell r="C90">
            <v>71</v>
          </cell>
          <cell r="D90">
            <v>5.0999999999999996</v>
          </cell>
          <cell r="E90" t="str">
            <v>PLATE COMPACTOR (3)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str">
            <v>Incl.</v>
          </cell>
          <cell r="X90">
            <v>0</v>
          </cell>
          <cell r="Y90">
            <v>0</v>
          </cell>
        </row>
        <row r="91">
          <cell r="B91">
            <v>1414</v>
          </cell>
          <cell r="C91">
            <v>72</v>
          </cell>
          <cell r="D91">
            <v>5.0999999999999996</v>
          </cell>
          <cell r="E91" t="str">
            <v>BAR BENDER</v>
          </cell>
          <cell r="F91">
            <v>32</v>
          </cell>
          <cell r="G91">
            <v>0</v>
          </cell>
          <cell r="H91">
            <v>0</v>
          </cell>
          <cell r="I91">
            <v>32</v>
          </cell>
          <cell r="J91">
            <v>0</v>
          </cell>
          <cell r="K91">
            <v>0</v>
          </cell>
          <cell r="L91">
            <v>32</v>
          </cell>
          <cell r="M91">
            <v>0</v>
          </cell>
          <cell r="N91">
            <v>0</v>
          </cell>
          <cell r="O91">
            <v>32</v>
          </cell>
          <cell r="P91">
            <v>0</v>
          </cell>
          <cell r="Q91">
            <v>0</v>
          </cell>
          <cell r="R91">
            <v>32</v>
          </cell>
          <cell r="S91">
            <v>0</v>
          </cell>
          <cell r="T91">
            <v>0</v>
          </cell>
          <cell r="U91" t="str">
            <v>Incl.</v>
          </cell>
          <cell r="X91">
            <v>0</v>
          </cell>
          <cell r="Y91">
            <v>0</v>
          </cell>
        </row>
        <row r="92">
          <cell r="B92">
            <v>1415</v>
          </cell>
          <cell r="C92">
            <v>73</v>
          </cell>
          <cell r="D92">
            <v>5.0999999999999996</v>
          </cell>
          <cell r="E92" t="str">
            <v>BAR CUTTER</v>
          </cell>
          <cell r="F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Q92">
            <v>0</v>
          </cell>
          <cell r="R92">
            <v>0</v>
          </cell>
          <cell r="T92">
            <v>0</v>
          </cell>
          <cell r="U92" t="str">
            <v>Incl.</v>
          </cell>
          <cell r="X92">
            <v>0</v>
          </cell>
        </row>
        <row r="93">
          <cell r="B93">
            <v>1416</v>
          </cell>
          <cell r="C93">
            <v>74</v>
          </cell>
          <cell r="D93">
            <v>5.0999999999999996</v>
          </cell>
          <cell r="E93" t="str">
            <v>TANKER DIESEL</v>
          </cell>
          <cell r="F93">
            <v>24</v>
          </cell>
          <cell r="G93">
            <v>5000</v>
          </cell>
          <cell r="H93">
            <v>0</v>
          </cell>
          <cell r="I93">
            <v>24</v>
          </cell>
          <cell r="J93">
            <v>5000</v>
          </cell>
          <cell r="K93">
            <v>0</v>
          </cell>
          <cell r="L93">
            <v>24</v>
          </cell>
          <cell r="M93">
            <v>5000</v>
          </cell>
          <cell r="N93">
            <v>0</v>
          </cell>
          <cell r="O93">
            <v>29</v>
          </cell>
          <cell r="P93">
            <v>5000</v>
          </cell>
          <cell r="Q93">
            <v>0</v>
          </cell>
          <cell r="R93">
            <v>24</v>
          </cell>
          <cell r="S93">
            <v>5000</v>
          </cell>
          <cell r="T93">
            <v>0</v>
          </cell>
          <cell r="U93" t="str">
            <v>Incl.</v>
          </cell>
          <cell r="X93">
            <v>0</v>
          </cell>
          <cell r="Y93">
            <v>0</v>
          </cell>
        </row>
        <row r="94">
          <cell r="B94">
            <v>1417</v>
          </cell>
          <cell r="C94">
            <v>75</v>
          </cell>
          <cell r="D94">
            <v>5.0999999999999996</v>
          </cell>
          <cell r="E94" t="str">
            <v>WATER TANKER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1124210</v>
          </cell>
          <cell r="X94">
            <v>0</v>
          </cell>
          <cell r="Y94">
            <v>0</v>
          </cell>
        </row>
        <row r="95">
          <cell r="B95">
            <v>1418</v>
          </cell>
          <cell r="C95">
            <v>76</v>
          </cell>
          <cell r="D95">
            <v>5.0999999999999996</v>
          </cell>
          <cell r="E95" t="str">
            <v>CONCRETE VIBRATOR(8)</v>
          </cell>
          <cell r="G95">
            <v>0</v>
          </cell>
          <cell r="H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P95">
            <v>0</v>
          </cell>
          <cell r="Q95">
            <v>0</v>
          </cell>
          <cell r="S95">
            <v>0</v>
          </cell>
          <cell r="T95">
            <v>0</v>
          </cell>
          <cell r="U95" t="str">
            <v>Incl.</v>
          </cell>
          <cell r="X95">
            <v>0</v>
          </cell>
          <cell r="Y95">
            <v>0</v>
          </cell>
        </row>
        <row r="96">
          <cell r="B96">
            <v>1419</v>
          </cell>
          <cell r="C96">
            <v>77</v>
          </cell>
          <cell r="D96">
            <v>5.0999999999999996</v>
          </cell>
          <cell r="E96" t="str">
            <v>COMPANY CARS</v>
          </cell>
          <cell r="F96" t="str">
            <v>ITEM</v>
          </cell>
          <cell r="G96">
            <v>0</v>
          </cell>
          <cell r="H96">
            <v>0</v>
          </cell>
          <cell r="I96" t="str">
            <v>ITEM</v>
          </cell>
          <cell r="J96">
            <v>0</v>
          </cell>
          <cell r="K96">
            <v>0</v>
          </cell>
          <cell r="L96" t="str">
            <v>ITEM</v>
          </cell>
          <cell r="M96">
            <v>0</v>
          </cell>
          <cell r="N96">
            <v>0</v>
          </cell>
          <cell r="O96" t="str">
            <v>ITEM</v>
          </cell>
          <cell r="P96">
            <v>0</v>
          </cell>
          <cell r="Q96">
            <v>0</v>
          </cell>
          <cell r="R96" t="str">
            <v>ITEM</v>
          </cell>
          <cell r="S96">
            <v>0</v>
          </cell>
          <cell r="T96">
            <v>0</v>
          </cell>
          <cell r="U96" t="str">
            <v>Incl.</v>
          </cell>
          <cell r="X96">
            <v>0</v>
          </cell>
          <cell r="Y96">
            <v>0</v>
          </cell>
        </row>
        <row r="97">
          <cell r="B97">
            <v>1420</v>
          </cell>
          <cell r="C97">
            <v>78</v>
          </cell>
          <cell r="D97">
            <v>5.0999999999999996</v>
          </cell>
          <cell r="E97" t="str">
            <v>HAULAGE TRANSPORT</v>
          </cell>
          <cell r="F97">
            <v>10</v>
          </cell>
          <cell r="G97">
            <v>1000</v>
          </cell>
          <cell r="H97">
            <v>0</v>
          </cell>
          <cell r="I97">
            <v>10</v>
          </cell>
          <cell r="J97">
            <v>1000</v>
          </cell>
          <cell r="K97">
            <v>0</v>
          </cell>
          <cell r="L97">
            <v>10</v>
          </cell>
          <cell r="M97">
            <v>1000</v>
          </cell>
          <cell r="N97">
            <v>0</v>
          </cell>
          <cell r="O97">
            <v>10</v>
          </cell>
          <cell r="P97">
            <v>1000</v>
          </cell>
          <cell r="Q97">
            <v>0</v>
          </cell>
          <cell r="R97">
            <v>10</v>
          </cell>
          <cell r="S97">
            <v>1000</v>
          </cell>
          <cell r="T97">
            <v>0</v>
          </cell>
          <cell r="U97">
            <v>10000</v>
          </cell>
          <cell r="X97">
            <v>0</v>
          </cell>
          <cell r="Y97">
            <v>1000</v>
          </cell>
        </row>
        <row r="98">
          <cell r="B98">
            <v>1421</v>
          </cell>
          <cell r="C98">
            <v>79</v>
          </cell>
          <cell r="D98">
            <v>5.0999999999999996</v>
          </cell>
          <cell r="E98" t="str">
            <v xml:space="preserve">BUS TRANSPORT </v>
          </cell>
          <cell r="F98">
            <v>24</v>
          </cell>
          <cell r="G98">
            <v>2000</v>
          </cell>
          <cell r="H98">
            <v>0</v>
          </cell>
          <cell r="I98">
            <v>26</v>
          </cell>
          <cell r="J98">
            <v>2000</v>
          </cell>
          <cell r="K98">
            <v>0</v>
          </cell>
          <cell r="L98">
            <v>24</v>
          </cell>
          <cell r="M98">
            <v>2000</v>
          </cell>
          <cell r="N98">
            <v>0</v>
          </cell>
          <cell r="O98">
            <v>26</v>
          </cell>
          <cell r="P98">
            <v>2000</v>
          </cell>
          <cell r="Q98">
            <v>0</v>
          </cell>
          <cell r="R98">
            <v>26</v>
          </cell>
          <cell r="S98">
            <v>2000</v>
          </cell>
          <cell r="T98">
            <v>0</v>
          </cell>
          <cell r="U98">
            <v>52000</v>
          </cell>
          <cell r="X98">
            <v>0</v>
          </cell>
          <cell r="Y98">
            <v>2000</v>
          </cell>
        </row>
        <row r="99">
          <cell r="B99">
            <v>1422</v>
          </cell>
          <cell r="C99">
            <v>80</v>
          </cell>
          <cell r="D99">
            <v>5.0999999999999996</v>
          </cell>
          <cell r="E99" t="str">
            <v>PICK UPS</v>
          </cell>
          <cell r="H99">
            <v>0</v>
          </cell>
          <cell r="K99">
            <v>0</v>
          </cell>
          <cell r="N99">
            <v>0</v>
          </cell>
          <cell r="Q99">
            <v>0</v>
          </cell>
          <cell r="T99">
            <v>0</v>
          </cell>
          <cell r="U99">
            <v>103125</v>
          </cell>
          <cell r="X99">
            <v>0</v>
          </cell>
        </row>
        <row r="100">
          <cell r="B100">
            <v>1423</v>
          </cell>
          <cell r="C100">
            <v>81</v>
          </cell>
          <cell r="D100">
            <v>5.0999999999999996</v>
          </cell>
          <cell r="E100" t="str">
            <v>FUEL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S100">
            <v>0</v>
          </cell>
          <cell r="T100">
            <v>0</v>
          </cell>
          <cell r="U100">
            <v>59895</v>
          </cell>
          <cell r="X100">
            <v>0</v>
          </cell>
          <cell r="Y100">
            <v>0</v>
          </cell>
        </row>
        <row r="101">
          <cell r="B101">
            <v>1500</v>
          </cell>
          <cell r="C101">
            <v>104</v>
          </cell>
          <cell r="D101">
            <v>5.0999999999999996</v>
          </cell>
          <cell r="E101" t="str">
            <v xml:space="preserve">NON-MECHANICAL PLANT </v>
          </cell>
          <cell r="H101">
            <v>4370000</v>
          </cell>
          <cell r="K101">
            <v>0</v>
          </cell>
          <cell r="N101">
            <v>0</v>
          </cell>
          <cell r="Q101">
            <v>0</v>
          </cell>
          <cell r="T101">
            <v>0</v>
          </cell>
          <cell r="U101">
            <v>0</v>
          </cell>
          <cell r="X101">
            <v>0</v>
          </cell>
        </row>
        <row r="102">
          <cell r="B102">
            <v>1500</v>
          </cell>
          <cell r="C102">
            <v>83</v>
          </cell>
          <cell r="E102" t="str">
            <v>NON- MECHANICAL PLANT</v>
          </cell>
          <cell r="H102" t="e">
            <v>#REF!</v>
          </cell>
          <cell r="K102" t="e">
            <v>#REF!</v>
          </cell>
          <cell r="N102" t="e">
            <v>#REF!</v>
          </cell>
          <cell r="Q102" t="e">
            <v>#REF!</v>
          </cell>
          <cell r="T102">
            <v>0</v>
          </cell>
          <cell r="U102" t="e">
            <v>#REF!</v>
          </cell>
          <cell r="X102">
            <v>0</v>
          </cell>
        </row>
        <row r="103">
          <cell r="B103">
            <v>1501</v>
          </cell>
          <cell r="C103">
            <v>84</v>
          </cell>
          <cell r="D103">
            <v>5</v>
          </cell>
          <cell r="E103" t="str">
            <v>SMALL TOOLS</v>
          </cell>
          <cell r="F103">
            <v>0</v>
          </cell>
          <cell r="H103">
            <v>175000</v>
          </cell>
          <cell r="I103">
            <v>0</v>
          </cell>
          <cell r="K103">
            <v>200000</v>
          </cell>
          <cell r="L103">
            <v>0</v>
          </cell>
          <cell r="N103">
            <v>175000</v>
          </cell>
          <cell r="Q103">
            <v>200000</v>
          </cell>
          <cell r="R103">
            <v>0</v>
          </cell>
          <cell r="T103">
            <v>54644.8087431694</v>
          </cell>
          <cell r="U103">
            <v>200000</v>
          </cell>
          <cell r="X103">
            <v>1</v>
          </cell>
          <cell r="Y103">
            <v>200000</v>
          </cell>
        </row>
        <row r="104">
          <cell r="B104">
            <v>1502</v>
          </cell>
          <cell r="C104">
            <v>85</v>
          </cell>
          <cell r="D104">
            <v>11</v>
          </cell>
          <cell r="E104" t="str">
            <v>PROTECTIVE CLOTHING</v>
          </cell>
          <cell r="F104">
            <v>500</v>
          </cell>
          <cell r="G104">
            <v>200</v>
          </cell>
          <cell r="H104">
            <v>100000</v>
          </cell>
          <cell r="I104">
            <v>500</v>
          </cell>
          <cell r="J104">
            <v>200</v>
          </cell>
          <cell r="K104">
            <v>100000</v>
          </cell>
          <cell r="L104">
            <v>500</v>
          </cell>
          <cell r="M104">
            <v>200</v>
          </cell>
          <cell r="N104">
            <v>100000</v>
          </cell>
          <cell r="O104">
            <v>500</v>
          </cell>
          <cell r="P104">
            <v>200</v>
          </cell>
          <cell r="Q104">
            <v>100000</v>
          </cell>
          <cell r="R104">
            <v>500</v>
          </cell>
          <cell r="S104">
            <v>200</v>
          </cell>
          <cell r="T104">
            <v>27322.4043715847</v>
          </cell>
          <cell r="U104">
            <v>100000</v>
          </cell>
          <cell r="X104">
            <v>500</v>
          </cell>
          <cell r="Y104">
            <v>200</v>
          </cell>
        </row>
        <row r="105">
          <cell r="B105">
            <v>1503</v>
          </cell>
          <cell r="C105">
            <v>86</v>
          </cell>
          <cell r="D105">
            <v>4</v>
          </cell>
          <cell r="E105" t="str">
            <v>SURVEYING EQUIPMENT</v>
          </cell>
          <cell r="F105" t="str">
            <v>ITEM</v>
          </cell>
          <cell r="G105">
            <v>0</v>
          </cell>
          <cell r="H105">
            <v>25000</v>
          </cell>
          <cell r="I105" t="str">
            <v>ITEM</v>
          </cell>
          <cell r="J105">
            <v>0</v>
          </cell>
          <cell r="K105">
            <v>25000</v>
          </cell>
          <cell r="L105" t="str">
            <v>ITEM</v>
          </cell>
          <cell r="M105">
            <v>0</v>
          </cell>
          <cell r="N105">
            <v>25000</v>
          </cell>
          <cell r="O105" t="str">
            <v>ITEM</v>
          </cell>
          <cell r="P105">
            <v>0</v>
          </cell>
          <cell r="Q105">
            <v>25000</v>
          </cell>
          <cell r="R105" t="str">
            <v>ITEM</v>
          </cell>
          <cell r="S105">
            <v>0</v>
          </cell>
          <cell r="T105">
            <v>6830.601092896175</v>
          </cell>
          <cell r="U105">
            <v>25000</v>
          </cell>
          <cell r="X105">
            <v>1</v>
          </cell>
          <cell r="Y105">
            <v>25000</v>
          </cell>
        </row>
        <row r="106">
          <cell r="B106">
            <v>1504</v>
          </cell>
          <cell r="C106">
            <v>87</v>
          </cell>
          <cell r="D106">
            <v>38</v>
          </cell>
          <cell r="E106" t="str">
            <v>Trash Debris Removal</v>
          </cell>
          <cell r="H106">
            <v>542862</v>
          </cell>
          <cell r="K106">
            <v>603180</v>
          </cell>
          <cell r="N106">
            <v>603180</v>
          </cell>
          <cell r="Q106">
            <v>603180</v>
          </cell>
          <cell r="T106">
            <v>164803.27868852459</v>
          </cell>
          <cell r="U106">
            <v>603180</v>
          </cell>
          <cell r="X106">
            <v>1</v>
          </cell>
          <cell r="Y106">
            <v>603180</v>
          </cell>
        </row>
        <row r="107">
          <cell r="B107">
            <v>1505</v>
          </cell>
          <cell r="C107">
            <v>88</v>
          </cell>
          <cell r="E107" t="str">
            <v>OILS + SPARES</v>
          </cell>
          <cell r="F107">
            <v>0</v>
          </cell>
          <cell r="G107">
            <v>0</v>
          </cell>
          <cell r="H107" t="str">
            <v>IN PLANT</v>
          </cell>
          <cell r="I107">
            <v>0</v>
          </cell>
          <cell r="J107">
            <v>0</v>
          </cell>
          <cell r="K107" t="str">
            <v>IN PLANT</v>
          </cell>
          <cell r="L107">
            <v>0</v>
          </cell>
          <cell r="M107">
            <v>0</v>
          </cell>
          <cell r="N107" t="str">
            <v>IN PLANT</v>
          </cell>
          <cell r="O107">
            <v>0</v>
          </cell>
          <cell r="P107">
            <v>0</v>
          </cell>
          <cell r="Q107" t="str">
            <v>IN PLANT</v>
          </cell>
          <cell r="R107">
            <v>0</v>
          </cell>
          <cell r="S107">
            <v>0</v>
          </cell>
          <cell r="T107" t="e">
            <v>#VALUE!</v>
          </cell>
          <cell r="U107" t="str">
            <v>IN PLANT</v>
          </cell>
          <cell r="X107">
            <v>0</v>
          </cell>
          <cell r="Y107">
            <v>0</v>
          </cell>
        </row>
        <row r="108">
          <cell r="B108">
            <v>1600</v>
          </cell>
          <cell r="C108">
            <v>111</v>
          </cell>
          <cell r="E108" t="str">
            <v>TEMPORARY SERVICES</v>
          </cell>
          <cell r="H108">
            <v>0</v>
          </cell>
          <cell r="K108">
            <v>0</v>
          </cell>
          <cell r="N108">
            <v>0</v>
          </cell>
          <cell r="Q108">
            <v>0</v>
          </cell>
          <cell r="T108">
            <v>0</v>
          </cell>
          <cell r="U108">
            <v>0</v>
          </cell>
          <cell r="X108">
            <v>0</v>
          </cell>
        </row>
        <row r="109">
          <cell r="B109">
            <v>1600</v>
          </cell>
          <cell r="C109">
            <v>90</v>
          </cell>
          <cell r="E109" t="str">
            <v>TEMPORARY SERVICES</v>
          </cell>
          <cell r="T109">
            <v>0</v>
          </cell>
          <cell r="X109">
            <v>0</v>
          </cell>
        </row>
        <row r="110">
          <cell r="B110">
            <v>1601</v>
          </cell>
          <cell r="C110">
            <v>91</v>
          </cell>
          <cell r="D110">
            <v>5.0999999999999996</v>
          </cell>
          <cell r="E110" t="str">
            <v>TEMPORARY ELECTRIC SETUP</v>
          </cell>
          <cell r="F110">
            <v>0</v>
          </cell>
          <cell r="H110">
            <v>1803174</v>
          </cell>
          <cell r="I110">
            <v>0</v>
          </cell>
          <cell r="K110">
            <v>1955020.34</v>
          </cell>
          <cell r="L110">
            <v>0</v>
          </cell>
          <cell r="N110">
            <v>1898078</v>
          </cell>
          <cell r="O110">
            <v>0</v>
          </cell>
          <cell r="Q110">
            <v>2400000</v>
          </cell>
          <cell r="R110">
            <v>0</v>
          </cell>
          <cell r="T110">
            <v>655737.70491803274</v>
          </cell>
          <cell r="U110">
            <v>2400000</v>
          </cell>
          <cell r="X110">
            <v>1</v>
          </cell>
          <cell r="Y110">
            <v>2280000</v>
          </cell>
        </row>
        <row r="111">
          <cell r="B111">
            <v>1602</v>
          </cell>
          <cell r="C111">
            <v>92</v>
          </cell>
          <cell r="D111">
            <v>5.0999999999999996</v>
          </cell>
          <cell r="E111" t="str">
            <v>MAINS CONNECTION</v>
          </cell>
          <cell r="G111">
            <v>80750</v>
          </cell>
          <cell r="H111">
            <v>80750</v>
          </cell>
          <cell r="J111">
            <v>85000</v>
          </cell>
          <cell r="K111">
            <v>85000</v>
          </cell>
          <cell r="M111">
            <v>85000</v>
          </cell>
          <cell r="N111">
            <v>85000</v>
          </cell>
          <cell r="P111">
            <v>85000</v>
          </cell>
          <cell r="Q111">
            <v>85000</v>
          </cell>
          <cell r="S111">
            <v>85000</v>
          </cell>
          <cell r="T111">
            <v>23224.043715846994</v>
          </cell>
          <cell r="U111">
            <v>85000</v>
          </cell>
          <cell r="X111">
            <v>1</v>
          </cell>
          <cell r="Y111">
            <v>85000</v>
          </cell>
        </row>
        <row r="112">
          <cell r="B112">
            <v>1603</v>
          </cell>
          <cell r="C112">
            <v>93</v>
          </cell>
          <cell r="D112">
            <v>5.0999999999999996</v>
          </cell>
          <cell r="E112" t="str">
            <v>FLOODLIGHTS</v>
          </cell>
          <cell r="F112">
            <v>0</v>
          </cell>
          <cell r="G112">
            <v>0</v>
          </cell>
          <cell r="H112" t="str">
            <v>Incl.</v>
          </cell>
          <cell r="I112">
            <v>0</v>
          </cell>
          <cell r="J112">
            <v>0</v>
          </cell>
          <cell r="K112" t="str">
            <v>Incl.</v>
          </cell>
          <cell r="L112">
            <v>0</v>
          </cell>
          <cell r="M112">
            <v>0</v>
          </cell>
          <cell r="N112" t="str">
            <v>Incl.</v>
          </cell>
          <cell r="O112">
            <v>0</v>
          </cell>
          <cell r="P112">
            <v>0</v>
          </cell>
          <cell r="Q112" t="str">
            <v>Incl.</v>
          </cell>
          <cell r="R112">
            <v>0</v>
          </cell>
          <cell r="S112">
            <v>0</v>
          </cell>
          <cell r="T112" t="e">
            <v>#VALUE!</v>
          </cell>
          <cell r="U112" t="str">
            <v>Incl.</v>
          </cell>
          <cell r="X112">
            <v>0</v>
          </cell>
          <cell r="Y112">
            <v>0</v>
          </cell>
        </row>
        <row r="113">
          <cell r="B113">
            <v>1604</v>
          </cell>
          <cell r="C113">
            <v>94</v>
          </cell>
          <cell r="D113">
            <v>5.0999999999999996</v>
          </cell>
          <cell r="E113" t="str">
            <v>DISTRIBUTION BOARDS</v>
          </cell>
          <cell r="F113">
            <v>32</v>
          </cell>
          <cell r="G113">
            <v>0</v>
          </cell>
          <cell r="H113" t="str">
            <v>Incl.</v>
          </cell>
          <cell r="I113">
            <v>32</v>
          </cell>
          <cell r="J113">
            <v>0</v>
          </cell>
          <cell r="K113" t="str">
            <v>Incl.</v>
          </cell>
          <cell r="L113">
            <v>32</v>
          </cell>
          <cell r="M113">
            <v>0</v>
          </cell>
          <cell r="N113" t="str">
            <v>Incl.</v>
          </cell>
          <cell r="O113">
            <v>32</v>
          </cell>
          <cell r="P113">
            <v>0</v>
          </cell>
          <cell r="Q113" t="str">
            <v>Incl.</v>
          </cell>
          <cell r="R113">
            <v>32</v>
          </cell>
          <cell r="S113">
            <v>0</v>
          </cell>
          <cell r="T113" t="e">
            <v>#VALUE!</v>
          </cell>
          <cell r="U113" t="str">
            <v>Incl.</v>
          </cell>
          <cell r="X113">
            <v>32</v>
          </cell>
          <cell r="Y113">
            <v>0</v>
          </cell>
        </row>
        <row r="114">
          <cell r="B114">
            <v>1605</v>
          </cell>
          <cell r="C114">
            <v>95</v>
          </cell>
          <cell r="D114">
            <v>5.0999999999999996</v>
          </cell>
          <cell r="E114" t="str">
            <v>TEMPORARY GENERATORS</v>
          </cell>
          <cell r="F114">
            <v>0</v>
          </cell>
          <cell r="H114" t="str">
            <v>Incl.</v>
          </cell>
          <cell r="I114">
            <v>0</v>
          </cell>
          <cell r="K114" t="str">
            <v>Incl.</v>
          </cell>
          <cell r="L114">
            <v>0</v>
          </cell>
          <cell r="N114" t="str">
            <v>Incl.</v>
          </cell>
          <cell r="O114">
            <v>0</v>
          </cell>
          <cell r="Q114" t="str">
            <v>Incl.</v>
          </cell>
          <cell r="R114">
            <v>0</v>
          </cell>
          <cell r="T114" t="e">
            <v>#VALUE!</v>
          </cell>
          <cell r="U114" t="str">
            <v>Incl.</v>
          </cell>
          <cell r="X114">
            <v>0</v>
          </cell>
        </row>
        <row r="115">
          <cell r="B115">
            <v>1606</v>
          </cell>
          <cell r="C115">
            <v>96</v>
          </cell>
          <cell r="D115">
            <v>5.0999999999999996</v>
          </cell>
          <cell r="E115" t="str">
            <v>RUNNING CHARGES</v>
          </cell>
          <cell r="F115">
            <v>24</v>
          </cell>
          <cell r="G115">
            <v>5000</v>
          </cell>
          <cell r="H115" t="str">
            <v>Incl.</v>
          </cell>
          <cell r="I115">
            <v>24</v>
          </cell>
          <cell r="J115">
            <v>5000</v>
          </cell>
          <cell r="K115" t="str">
            <v>Incl.</v>
          </cell>
          <cell r="L115">
            <v>24</v>
          </cell>
          <cell r="M115">
            <v>5000</v>
          </cell>
          <cell r="N115" t="str">
            <v>Incl.</v>
          </cell>
          <cell r="O115">
            <v>29</v>
          </cell>
          <cell r="P115">
            <v>5000</v>
          </cell>
          <cell r="Q115" t="str">
            <v>Incl.</v>
          </cell>
          <cell r="R115">
            <v>24</v>
          </cell>
          <cell r="S115">
            <v>5000</v>
          </cell>
          <cell r="T115" t="e">
            <v>#VALUE!</v>
          </cell>
          <cell r="U115" t="str">
            <v>Incl.</v>
          </cell>
          <cell r="X115">
            <v>24</v>
          </cell>
          <cell r="Y115">
            <v>5000</v>
          </cell>
        </row>
        <row r="116">
          <cell r="B116">
            <v>1607</v>
          </cell>
          <cell r="C116">
            <v>97</v>
          </cell>
          <cell r="D116">
            <v>5.0999999999999996</v>
          </cell>
          <cell r="E116" t="str">
            <v>PLUMBING CONNECTION (water)</v>
          </cell>
          <cell r="F116">
            <v>0</v>
          </cell>
          <cell r="G116">
            <v>0</v>
          </cell>
          <cell r="H116">
            <v>1068000</v>
          </cell>
          <cell r="I116">
            <v>0</v>
          </cell>
          <cell r="J116">
            <v>0</v>
          </cell>
          <cell r="K116">
            <v>1157936.3</v>
          </cell>
          <cell r="L116">
            <v>0</v>
          </cell>
          <cell r="M116">
            <v>0</v>
          </cell>
          <cell r="N116">
            <v>1124210</v>
          </cell>
          <cell r="O116">
            <v>0</v>
          </cell>
          <cell r="P116">
            <v>0</v>
          </cell>
          <cell r="Q116">
            <v>1157936.3</v>
          </cell>
          <cell r="R116">
            <v>0</v>
          </cell>
          <cell r="S116">
            <v>0</v>
          </cell>
          <cell r="T116">
            <v>307161.20218579232</v>
          </cell>
          <cell r="U116">
            <v>1124210</v>
          </cell>
          <cell r="X116">
            <v>1</v>
          </cell>
          <cell r="Y116">
            <v>1124210</v>
          </cell>
        </row>
        <row r="117">
          <cell r="B117">
            <v>1608</v>
          </cell>
          <cell r="C117">
            <v>98</v>
          </cell>
          <cell r="D117">
            <v>5.0999999999999996</v>
          </cell>
          <cell r="E117" t="str">
            <v>MAINS CONNECTION</v>
          </cell>
          <cell r="F117" t="str">
            <v>16m2</v>
          </cell>
          <cell r="G117">
            <v>0</v>
          </cell>
          <cell r="H117" t="str">
            <v>Incl.</v>
          </cell>
          <cell r="I117" t="str">
            <v>16m2</v>
          </cell>
          <cell r="J117">
            <v>0</v>
          </cell>
          <cell r="K117" t="str">
            <v>Incl.</v>
          </cell>
          <cell r="L117" t="str">
            <v>16m2</v>
          </cell>
          <cell r="M117">
            <v>0</v>
          </cell>
          <cell r="N117" t="str">
            <v>Incl.</v>
          </cell>
          <cell r="O117" t="str">
            <v>16m2</v>
          </cell>
          <cell r="P117">
            <v>0</v>
          </cell>
          <cell r="Q117" t="str">
            <v>Incl.</v>
          </cell>
          <cell r="R117" t="str">
            <v>16m2</v>
          </cell>
          <cell r="S117">
            <v>0</v>
          </cell>
          <cell r="T117" t="e">
            <v>#VALUE!</v>
          </cell>
          <cell r="U117" t="str">
            <v>Incl.</v>
          </cell>
          <cell r="X117">
            <v>0</v>
          </cell>
          <cell r="Y117">
            <v>0</v>
          </cell>
        </row>
        <row r="118">
          <cell r="B118">
            <v>1609</v>
          </cell>
          <cell r="C118">
            <v>99</v>
          </cell>
          <cell r="D118">
            <v>5.0999999999999996</v>
          </cell>
          <cell r="E118" t="str">
            <v>HOSES</v>
          </cell>
          <cell r="F118" t="str">
            <v>ITEM</v>
          </cell>
          <cell r="G118">
            <v>0</v>
          </cell>
          <cell r="H118" t="str">
            <v>Incl.</v>
          </cell>
          <cell r="I118" t="str">
            <v>ITEM</v>
          </cell>
          <cell r="J118">
            <v>0</v>
          </cell>
          <cell r="K118" t="str">
            <v>Incl.</v>
          </cell>
          <cell r="L118" t="str">
            <v>ITEM</v>
          </cell>
          <cell r="M118">
            <v>0</v>
          </cell>
          <cell r="N118" t="str">
            <v>Incl.</v>
          </cell>
          <cell r="O118" t="str">
            <v>ITEM</v>
          </cell>
          <cell r="P118">
            <v>0</v>
          </cell>
          <cell r="Q118" t="str">
            <v>Incl.</v>
          </cell>
          <cell r="R118" t="str">
            <v>ITEM</v>
          </cell>
          <cell r="S118">
            <v>0</v>
          </cell>
          <cell r="T118" t="e">
            <v>#VALUE!</v>
          </cell>
          <cell r="U118" t="str">
            <v>Incl.</v>
          </cell>
          <cell r="X118" t="str">
            <v>ITEM</v>
          </cell>
          <cell r="Y118">
            <v>0</v>
          </cell>
        </row>
        <row r="119">
          <cell r="B119">
            <v>1610</v>
          </cell>
          <cell r="C119">
            <v>100</v>
          </cell>
          <cell r="D119">
            <v>5.0999999999999996</v>
          </cell>
          <cell r="E119" t="str">
            <v>DRINKING COOLERS</v>
          </cell>
          <cell r="F119">
            <v>10</v>
          </cell>
          <cell r="G119">
            <v>1000</v>
          </cell>
          <cell r="H119">
            <v>10000</v>
          </cell>
          <cell r="I119">
            <v>10</v>
          </cell>
          <cell r="J119">
            <v>1000</v>
          </cell>
          <cell r="K119">
            <v>10000</v>
          </cell>
          <cell r="L119">
            <v>10</v>
          </cell>
          <cell r="M119">
            <v>1000</v>
          </cell>
          <cell r="N119">
            <v>10000</v>
          </cell>
          <cell r="O119">
            <v>10</v>
          </cell>
          <cell r="P119">
            <v>1000</v>
          </cell>
          <cell r="Q119">
            <v>10000</v>
          </cell>
          <cell r="R119">
            <v>10</v>
          </cell>
          <cell r="S119">
            <v>1000</v>
          </cell>
          <cell r="T119">
            <v>2732.2404371584698</v>
          </cell>
          <cell r="U119">
            <v>10000</v>
          </cell>
          <cell r="X119">
            <v>10</v>
          </cell>
          <cell r="Y119">
            <v>1000</v>
          </cell>
        </row>
        <row r="120">
          <cell r="B120">
            <v>1611</v>
          </cell>
          <cell r="C120">
            <v>101</v>
          </cell>
          <cell r="D120">
            <v>5.0999999999999996</v>
          </cell>
          <cell r="E120" t="str">
            <v>RUNNING CHARGES</v>
          </cell>
          <cell r="F120">
            <v>24</v>
          </cell>
          <cell r="G120">
            <v>2000</v>
          </cell>
          <cell r="H120">
            <v>48000</v>
          </cell>
          <cell r="I120">
            <v>26</v>
          </cell>
          <cell r="J120">
            <v>2000</v>
          </cell>
          <cell r="K120">
            <v>52000</v>
          </cell>
          <cell r="L120">
            <v>24</v>
          </cell>
          <cell r="M120">
            <v>2000</v>
          </cell>
          <cell r="N120">
            <v>48000</v>
          </cell>
          <cell r="O120">
            <v>26</v>
          </cell>
          <cell r="P120">
            <v>2000</v>
          </cell>
          <cell r="Q120">
            <v>52000</v>
          </cell>
          <cell r="R120">
            <v>26</v>
          </cell>
          <cell r="S120">
            <v>2000</v>
          </cell>
          <cell r="T120">
            <v>14207.650273224042</v>
          </cell>
          <cell r="U120">
            <v>52000</v>
          </cell>
          <cell r="X120">
            <v>26</v>
          </cell>
          <cell r="Y120">
            <v>2000</v>
          </cell>
        </row>
        <row r="121">
          <cell r="B121">
            <v>1612</v>
          </cell>
          <cell r="C121">
            <v>102</v>
          </cell>
          <cell r="D121">
            <v>5.0999999999999996</v>
          </cell>
          <cell r="E121" t="str">
            <v>CURING WATER</v>
          </cell>
          <cell r="F121">
            <v>0</v>
          </cell>
          <cell r="G121">
            <v>125</v>
          </cell>
          <cell r="H121">
            <v>93750</v>
          </cell>
          <cell r="I121">
            <v>0</v>
          </cell>
          <cell r="J121">
            <v>125</v>
          </cell>
          <cell r="K121">
            <v>103125.00000000001</v>
          </cell>
          <cell r="L121">
            <v>0</v>
          </cell>
          <cell r="M121">
            <v>125</v>
          </cell>
          <cell r="N121">
            <v>93750</v>
          </cell>
          <cell r="O121">
            <v>0</v>
          </cell>
          <cell r="P121">
            <v>125</v>
          </cell>
          <cell r="Q121">
            <v>103125.00000000001</v>
          </cell>
          <cell r="R121">
            <v>0</v>
          </cell>
          <cell r="S121">
            <v>125</v>
          </cell>
          <cell r="T121">
            <v>28176.22950819672</v>
          </cell>
          <cell r="U121">
            <v>103125</v>
          </cell>
          <cell r="X121">
            <v>1</v>
          </cell>
          <cell r="Y121">
            <v>103125</v>
          </cell>
        </row>
        <row r="122">
          <cell r="B122">
            <v>1613</v>
          </cell>
          <cell r="C122">
            <v>103</v>
          </cell>
          <cell r="D122">
            <v>5.0999999999999996</v>
          </cell>
          <cell r="E122" t="str">
            <v>Water for Pilling Contract</v>
          </cell>
          <cell r="F122">
            <v>4</v>
          </cell>
          <cell r="G122">
            <v>0</v>
          </cell>
          <cell r="H122">
            <v>54450</v>
          </cell>
          <cell r="I122">
            <v>4</v>
          </cell>
          <cell r="J122">
            <v>0</v>
          </cell>
          <cell r="K122">
            <v>59895.000000000007</v>
          </cell>
          <cell r="L122">
            <v>4</v>
          </cell>
          <cell r="M122">
            <v>0</v>
          </cell>
          <cell r="N122">
            <v>54450</v>
          </cell>
          <cell r="O122">
            <v>4</v>
          </cell>
          <cell r="P122">
            <v>0</v>
          </cell>
          <cell r="Q122">
            <v>59895.000000000007</v>
          </cell>
          <cell r="R122">
            <v>4</v>
          </cell>
          <cell r="S122">
            <v>0</v>
          </cell>
          <cell r="T122">
            <v>16364.754098360656</v>
          </cell>
          <cell r="U122">
            <v>59895</v>
          </cell>
          <cell r="X122">
            <v>1</v>
          </cell>
          <cell r="Y122">
            <v>59895</v>
          </cell>
        </row>
        <row r="123">
          <cell r="B123">
            <v>1614</v>
          </cell>
          <cell r="C123">
            <v>104</v>
          </cell>
          <cell r="D123">
            <v>5.0999999999999996</v>
          </cell>
          <cell r="E123" t="str">
            <v>Muck removal</v>
          </cell>
          <cell r="F123" t="str">
            <v>ITEM</v>
          </cell>
          <cell r="G123">
            <v>0</v>
          </cell>
          <cell r="H123">
            <v>0</v>
          </cell>
          <cell r="I123" t="str">
            <v>ITEM</v>
          </cell>
          <cell r="J123">
            <v>0</v>
          </cell>
          <cell r="K123">
            <v>0</v>
          </cell>
          <cell r="L123" t="str">
            <v>ITEM</v>
          </cell>
          <cell r="M123">
            <v>0</v>
          </cell>
          <cell r="N123">
            <v>0</v>
          </cell>
          <cell r="O123" t="str">
            <v>ITEM</v>
          </cell>
          <cell r="P123">
            <v>0</v>
          </cell>
          <cell r="Q123">
            <v>0</v>
          </cell>
          <cell r="R123" t="str">
            <v>ITEM</v>
          </cell>
          <cell r="S123">
            <v>0</v>
          </cell>
          <cell r="T123">
            <v>0</v>
          </cell>
          <cell r="U123">
            <v>0</v>
          </cell>
          <cell r="X123">
            <v>0</v>
          </cell>
          <cell r="Y123">
            <v>0</v>
          </cell>
        </row>
        <row r="124">
          <cell r="B124">
            <v>1700</v>
          </cell>
          <cell r="C124">
            <v>127</v>
          </cell>
          <cell r="D124">
            <v>5</v>
          </cell>
          <cell r="E124" t="str">
            <v>SCAFFOLDING MATERIAL</v>
          </cell>
          <cell r="F124">
            <v>300</v>
          </cell>
          <cell r="G124">
            <v>150</v>
          </cell>
          <cell r="H124">
            <v>0</v>
          </cell>
          <cell r="I124">
            <v>300</v>
          </cell>
          <cell r="J124">
            <v>150</v>
          </cell>
          <cell r="K124">
            <v>0</v>
          </cell>
          <cell r="L124">
            <v>300</v>
          </cell>
          <cell r="M124">
            <v>150</v>
          </cell>
          <cell r="N124">
            <v>0</v>
          </cell>
          <cell r="O124">
            <v>300</v>
          </cell>
          <cell r="P124">
            <v>150</v>
          </cell>
          <cell r="Q124">
            <v>0</v>
          </cell>
          <cell r="R124">
            <v>300</v>
          </cell>
          <cell r="S124">
            <v>150</v>
          </cell>
          <cell r="U124">
            <v>0</v>
          </cell>
          <cell r="X124">
            <v>300</v>
          </cell>
          <cell r="Y124">
            <v>150</v>
          </cell>
        </row>
        <row r="125">
          <cell r="B125">
            <v>1700</v>
          </cell>
          <cell r="C125">
            <v>106</v>
          </cell>
          <cell r="E125" t="str">
            <v>SCAFFOLDING [MATERIALS]</v>
          </cell>
          <cell r="F125">
            <v>0</v>
          </cell>
          <cell r="G125">
            <v>450</v>
          </cell>
          <cell r="H125">
            <v>0</v>
          </cell>
          <cell r="I125">
            <v>0</v>
          </cell>
          <cell r="J125">
            <v>450</v>
          </cell>
          <cell r="K125">
            <v>0</v>
          </cell>
          <cell r="L125">
            <v>0</v>
          </cell>
          <cell r="M125">
            <v>450</v>
          </cell>
          <cell r="N125">
            <v>0</v>
          </cell>
          <cell r="O125">
            <v>0</v>
          </cell>
          <cell r="P125">
            <v>450</v>
          </cell>
          <cell r="Q125">
            <v>0</v>
          </cell>
          <cell r="R125">
            <v>0</v>
          </cell>
          <cell r="S125">
            <v>450</v>
          </cell>
          <cell r="T125">
            <v>0</v>
          </cell>
          <cell r="X125">
            <v>0</v>
          </cell>
          <cell r="Y125">
            <v>450</v>
          </cell>
        </row>
        <row r="126">
          <cell r="B126">
            <v>1701</v>
          </cell>
          <cell r="C126">
            <v>107</v>
          </cell>
          <cell r="E126" t="str">
            <v>EXTERNAL SCAFFOLDING</v>
          </cell>
          <cell r="H126">
            <v>0</v>
          </cell>
          <cell r="K126">
            <v>0</v>
          </cell>
          <cell r="N126">
            <v>0</v>
          </cell>
          <cell r="Q126">
            <v>0</v>
          </cell>
          <cell r="T126">
            <v>0</v>
          </cell>
          <cell r="U126">
            <v>0</v>
          </cell>
          <cell r="X126">
            <v>0</v>
          </cell>
        </row>
        <row r="127">
          <cell r="B127">
            <v>1702</v>
          </cell>
          <cell r="C127">
            <v>108</v>
          </cell>
          <cell r="E127" t="str">
            <v>INTERNAL SCAFFOLDING</v>
          </cell>
          <cell r="T127">
            <v>0</v>
          </cell>
          <cell r="X127">
            <v>0</v>
          </cell>
        </row>
        <row r="128">
          <cell r="B128">
            <v>1703</v>
          </cell>
          <cell r="C128">
            <v>109</v>
          </cell>
          <cell r="D128">
            <v>35</v>
          </cell>
          <cell r="E128" t="str">
            <v>LIFTS, SHAFTS</v>
          </cell>
          <cell r="F128">
            <v>10</v>
          </cell>
          <cell r="G128">
            <v>500</v>
          </cell>
          <cell r="H128">
            <v>5000</v>
          </cell>
          <cell r="I128">
            <v>10</v>
          </cell>
          <cell r="J128">
            <v>500</v>
          </cell>
          <cell r="K128">
            <v>5000</v>
          </cell>
          <cell r="L128">
            <v>10</v>
          </cell>
          <cell r="M128">
            <v>500</v>
          </cell>
          <cell r="N128">
            <v>5000</v>
          </cell>
          <cell r="O128">
            <v>10</v>
          </cell>
          <cell r="P128">
            <v>500</v>
          </cell>
          <cell r="Q128">
            <v>5000</v>
          </cell>
          <cell r="R128">
            <v>10</v>
          </cell>
          <cell r="S128">
            <v>500</v>
          </cell>
          <cell r="T128">
            <v>0</v>
          </cell>
          <cell r="U128">
            <v>5000</v>
          </cell>
          <cell r="X128">
            <v>0</v>
          </cell>
          <cell r="Y128">
            <v>500</v>
          </cell>
        </row>
        <row r="129">
          <cell r="B129">
            <v>1704</v>
          </cell>
          <cell r="C129">
            <v>110</v>
          </cell>
          <cell r="D129">
            <v>35</v>
          </cell>
          <cell r="E129" t="str">
            <v>MOBILE TOWERS</v>
          </cell>
          <cell r="F129">
            <v>27</v>
          </cell>
          <cell r="G129">
            <v>2000</v>
          </cell>
          <cell r="H129">
            <v>0</v>
          </cell>
          <cell r="I129">
            <v>29</v>
          </cell>
          <cell r="J129">
            <v>2000</v>
          </cell>
          <cell r="K129">
            <v>0</v>
          </cell>
          <cell r="L129">
            <v>27</v>
          </cell>
          <cell r="M129">
            <v>2000</v>
          </cell>
          <cell r="N129">
            <v>0</v>
          </cell>
          <cell r="O129">
            <v>30</v>
          </cell>
          <cell r="P129">
            <v>2000</v>
          </cell>
          <cell r="Q129">
            <v>0</v>
          </cell>
          <cell r="R129">
            <v>30</v>
          </cell>
          <cell r="S129">
            <v>2000</v>
          </cell>
          <cell r="T129">
            <v>0</v>
          </cell>
          <cell r="U129">
            <v>0</v>
          </cell>
          <cell r="X129">
            <v>0</v>
          </cell>
          <cell r="Y129">
            <v>2000</v>
          </cell>
        </row>
        <row r="130">
          <cell r="B130">
            <v>1705</v>
          </cell>
          <cell r="C130">
            <v>111</v>
          </cell>
          <cell r="D130">
            <v>35</v>
          </cell>
          <cell r="E130" t="str">
            <v>LOADING PLATFORM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X130">
            <v>0</v>
          </cell>
          <cell r="Y130">
            <v>40000</v>
          </cell>
        </row>
        <row r="131">
          <cell r="B131">
            <v>1706</v>
          </cell>
          <cell r="C131">
            <v>112</v>
          </cell>
          <cell r="D131">
            <v>35</v>
          </cell>
          <cell r="E131" t="str">
            <v>FANS</v>
          </cell>
          <cell r="F131">
            <v>27</v>
          </cell>
          <cell r="G131">
            <v>1000</v>
          </cell>
          <cell r="H131">
            <v>27000</v>
          </cell>
          <cell r="I131">
            <v>29</v>
          </cell>
          <cell r="J131">
            <v>1000</v>
          </cell>
          <cell r="K131">
            <v>29000</v>
          </cell>
          <cell r="L131">
            <v>27</v>
          </cell>
          <cell r="M131">
            <v>1000</v>
          </cell>
          <cell r="N131">
            <v>27000</v>
          </cell>
          <cell r="O131">
            <v>30</v>
          </cell>
          <cell r="P131">
            <v>1000</v>
          </cell>
          <cell r="Q131">
            <v>30000</v>
          </cell>
          <cell r="R131">
            <v>30</v>
          </cell>
          <cell r="S131">
            <v>1000</v>
          </cell>
          <cell r="T131">
            <v>0</v>
          </cell>
          <cell r="U131">
            <v>30000</v>
          </cell>
          <cell r="X131">
            <v>0</v>
          </cell>
          <cell r="Y131">
            <v>1000</v>
          </cell>
        </row>
        <row r="132">
          <cell r="B132">
            <v>1707</v>
          </cell>
          <cell r="C132">
            <v>113</v>
          </cell>
          <cell r="D132">
            <v>35</v>
          </cell>
          <cell r="E132" t="str">
            <v>GANTRY</v>
          </cell>
          <cell r="F132">
            <v>10</v>
          </cell>
          <cell r="G132">
            <v>1000</v>
          </cell>
          <cell r="H132">
            <v>10000</v>
          </cell>
          <cell r="I132">
            <v>10</v>
          </cell>
          <cell r="J132">
            <v>1000</v>
          </cell>
          <cell r="K132">
            <v>10000</v>
          </cell>
          <cell r="L132">
            <v>10</v>
          </cell>
          <cell r="M132">
            <v>1000</v>
          </cell>
          <cell r="N132">
            <v>10000</v>
          </cell>
          <cell r="O132">
            <v>15</v>
          </cell>
          <cell r="P132">
            <v>1000</v>
          </cell>
          <cell r="Q132">
            <v>15000</v>
          </cell>
          <cell r="R132">
            <v>15</v>
          </cell>
          <cell r="S132">
            <v>1000</v>
          </cell>
          <cell r="T132">
            <v>0</v>
          </cell>
          <cell r="U132">
            <v>15000</v>
          </cell>
          <cell r="X132">
            <v>0</v>
          </cell>
          <cell r="Y132">
            <v>1000</v>
          </cell>
        </row>
        <row r="133">
          <cell r="B133">
            <v>1708</v>
          </cell>
          <cell r="C133">
            <v>114</v>
          </cell>
          <cell r="D133">
            <v>35</v>
          </cell>
          <cell r="E133" t="str">
            <v>HAULAGE OF SCAFFOLD</v>
          </cell>
          <cell r="F133">
            <v>3</v>
          </cell>
          <cell r="G133">
            <v>3500</v>
          </cell>
          <cell r="H133">
            <v>10500</v>
          </cell>
          <cell r="I133">
            <v>3</v>
          </cell>
          <cell r="J133">
            <v>3500</v>
          </cell>
          <cell r="K133">
            <v>10500</v>
          </cell>
          <cell r="L133">
            <v>3</v>
          </cell>
          <cell r="M133">
            <v>3500</v>
          </cell>
          <cell r="N133">
            <v>10500</v>
          </cell>
          <cell r="O133">
            <v>3</v>
          </cell>
          <cell r="P133">
            <v>3500</v>
          </cell>
          <cell r="Q133">
            <v>10500</v>
          </cell>
          <cell r="R133">
            <v>3</v>
          </cell>
          <cell r="S133">
            <v>3500</v>
          </cell>
          <cell r="T133">
            <v>0</v>
          </cell>
          <cell r="U133">
            <v>10500</v>
          </cell>
          <cell r="X133">
            <v>0</v>
          </cell>
          <cell r="Y133">
            <v>3500</v>
          </cell>
        </row>
        <row r="134">
          <cell r="B134">
            <v>1709</v>
          </cell>
          <cell r="C134">
            <v>115</v>
          </cell>
          <cell r="D134">
            <v>35</v>
          </cell>
          <cell r="E134" t="str">
            <v>SUB-CONTRACTOR SCAFFOLDING</v>
          </cell>
          <cell r="F134">
            <v>1</v>
          </cell>
          <cell r="G134">
            <v>1000</v>
          </cell>
          <cell r="H134">
            <v>0</v>
          </cell>
          <cell r="I134">
            <v>1</v>
          </cell>
          <cell r="J134">
            <v>1000</v>
          </cell>
          <cell r="K134">
            <v>0</v>
          </cell>
          <cell r="L134">
            <v>1</v>
          </cell>
          <cell r="M134">
            <v>1000</v>
          </cell>
          <cell r="N134">
            <v>0</v>
          </cell>
          <cell r="O134">
            <v>1</v>
          </cell>
          <cell r="P134">
            <v>1000</v>
          </cell>
          <cell r="Q134">
            <v>0</v>
          </cell>
          <cell r="R134">
            <v>1</v>
          </cell>
          <cell r="S134">
            <v>1000</v>
          </cell>
          <cell r="U134">
            <v>0</v>
          </cell>
          <cell r="X134">
            <v>1</v>
          </cell>
          <cell r="Y134">
            <v>1000</v>
          </cell>
        </row>
        <row r="135">
          <cell r="B135">
            <v>1800</v>
          </cell>
          <cell r="C135">
            <v>139</v>
          </cell>
          <cell r="D135">
            <v>35</v>
          </cell>
          <cell r="E135" t="str">
            <v>SECURITY</v>
          </cell>
          <cell r="F135">
            <v>3</v>
          </cell>
          <cell r="G135">
            <v>25000</v>
          </cell>
          <cell r="H135">
            <v>0</v>
          </cell>
          <cell r="I135">
            <v>3</v>
          </cell>
          <cell r="J135">
            <v>25000</v>
          </cell>
          <cell r="K135">
            <v>0</v>
          </cell>
          <cell r="L135">
            <v>3</v>
          </cell>
          <cell r="M135">
            <v>25000</v>
          </cell>
          <cell r="N135">
            <v>0</v>
          </cell>
          <cell r="O135">
            <v>3</v>
          </cell>
          <cell r="P135">
            <v>25000</v>
          </cell>
          <cell r="Q135">
            <v>0</v>
          </cell>
          <cell r="R135">
            <v>3</v>
          </cell>
          <cell r="S135">
            <v>25000</v>
          </cell>
          <cell r="U135">
            <v>0</v>
          </cell>
          <cell r="X135">
            <v>1</v>
          </cell>
          <cell r="Y135">
            <v>185700</v>
          </cell>
        </row>
        <row r="136">
          <cell r="B136">
            <v>1800</v>
          </cell>
          <cell r="C136">
            <v>117</v>
          </cell>
          <cell r="D136">
            <v>35</v>
          </cell>
          <cell r="E136" t="str">
            <v>SECURITY  / WATCHMAN</v>
          </cell>
          <cell r="F136">
            <v>27</v>
          </cell>
          <cell r="G136">
            <v>1500</v>
          </cell>
          <cell r="H136">
            <v>40500</v>
          </cell>
          <cell r="I136">
            <v>29</v>
          </cell>
          <cell r="J136">
            <v>1500</v>
          </cell>
          <cell r="K136">
            <v>43500</v>
          </cell>
          <cell r="L136">
            <v>27</v>
          </cell>
          <cell r="M136">
            <v>1500</v>
          </cell>
          <cell r="N136">
            <v>40500</v>
          </cell>
          <cell r="O136">
            <v>30</v>
          </cell>
          <cell r="P136">
            <v>1500</v>
          </cell>
          <cell r="Q136">
            <v>45000</v>
          </cell>
          <cell r="R136">
            <v>30</v>
          </cell>
          <cell r="S136">
            <v>1500</v>
          </cell>
          <cell r="U136">
            <v>45000</v>
          </cell>
          <cell r="X136">
            <v>0</v>
          </cell>
          <cell r="Y136">
            <v>1500</v>
          </cell>
        </row>
        <row r="137">
          <cell r="B137">
            <v>1801</v>
          </cell>
          <cell r="C137">
            <v>118</v>
          </cell>
          <cell r="D137">
            <v>31</v>
          </cell>
          <cell r="E137" t="str">
            <v>SECURITY WATCHMAN(4)</v>
          </cell>
          <cell r="F137">
            <v>24</v>
          </cell>
          <cell r="G137">
            <v>900</v>
          </cell>
          <cell r="H137">
            <v>86400</v>
          </cell>
          <cell r="I137">
            <v>26</v>
          </cell>
          <cell r="J137">
            <v>900</v>
          </cell>
          <cell r="K137">
            <v>93600</v>
          </cell>
          <cell r="L137">
            <v>24</v>
          </cell>
          <cell r="M137">
            <v>900</v>
          </cell>
          <cell r="N137">
            <v>86400</v>
          </cell>
          <cell r="O137">
            <v>29</v>
          </cell>
          <cell r="P137">
            <v>900</v>
          </cell>
          <cell r="Q137">
            <v>104400</v>
          </cell>
          <cell r="R137" t="str">
            <v>29x4</v>
          </cell>
          <cell r="S137">
            <v>900</v>
          </cell>
          <cell r="T137">
            <v>28524.590163934427</v>
          </cell>
          <cell r="U137">
            <v>104400</v>
          </cell>
          <cell r="X137">
            <v>116</v>
          </cell>
          <cell r="Y137">
            <v>900</v>
          </cell>
        </row>
        <row r="138">
          <cell r="B138">
            <v>1802</v>
          </cell>
          <cell r="C138">
            <v>119</v>
          </cell>
          <cell r="D138">
            <v>31</v>
          </cell>
          <cell r="E138" t="str">
            <v>SECURITY OFFICER</v>
          </cell>
          <cell r="F138">
            <v>24</v>
          </cell>
          <cell r="G138">
            <v>2500</v>
          </cell>
          <cell r="H138">
            <v>60000</v>
          </cell>
          <cell r="I138">
            <v>26</v>
          </cell>
          <cell r="J138">
            <v>2500</v>
          </cell>
          <cell r="K138">
            <v>65000</v>
          </cell>
          <cell r="L138">
            <v>24</v>
          </cell>
          <cell r="M138">
            <v>2500</v>
          </cell>
          <cell r="N138">
            <v>60000</v>
          </cell>
          <cell r="O138">
            <v>29</v>
          </cell>
          <cell r="P138">
            <v>2500</v>
          </cell>
          <cell r="Q138">
            <v>72500</v>
          </cell>
          <cell r="R138">
            <v>29</v>
          </cell>
          <cell r="S138">
            <v>2500</v>
          </cell>
          <cell r="T138">
            <v>19808.743169398906</v>
          </cell>
          <cell r="U138">
            <v>72500</v>
          </cell>
          <cell r="X138">
            <v>29</v>
          </cell>
          <cell r="Y138">
            <v>2500</v>
          </cell>
        </row>
        <row r="139">
          <cell r="B139">
            <v>1803</v>
          </cell>
          <cell r="C139">
            <v>120</v>
          </cell>
          <cell r="D139">
            <v>5</v>
          </cell>
          <cell r="E139" t="str">
            <v>Security room (2 No.)</v>
          </cell>
          <cell r="F139" t="str">
            <v>16m2</v>
          </cell>
          <cell r="G139">
            <v>550</v>
          </cell>
          <cell r="H139">
            <v>8800</v>
          </cell>
          <cell r="I139" t="str">
            <v>16m2</v>
          </cell>
          <cell r="J139">
            <v>550</v>
          </cell>
          <cell r="K139">
            <v>8800</v>
          </cell>
          <cell r="L139" t="str">
            <v>16m2</v>
          </cell>
          <cell r="M139">
            <v>550</v>
          </cell>
          <cell r="N139">
            <v>8800</v>
          </cell>
          <cell r="O139" t="str">
            <v>16m2</v>
          </cell>
          <cell r="P139">
            <v>550</v>
          </cell>
          <cell r="Q139">
            <v>8800</v>
          </cell>
          <cell r="R139" t="str">
            <v>16m2</v>
          </cell>
          <cell r="S139">
            <v>550</v>
          </cell>
          <cell r="U139">
            <v>8800</v>
          </cell>
          <cell r="X139">
            <v>16</v>
          </cell>
          <cell r="Y139">
            <v>550</v>
          </cell>
        </row>
        <row r="140">
          <cell r="B140">
            <v>1900</v>
          </cell>
          <cell r="C140">
            <v>144</v>
          </cell>
          <cell r="D140">
            <v>5</v>
          </cell>
          <cell r="E140" t="str">
            <v>HOARDINGS</v>
          </cell>
          <cell r="H140">
            <v>0</v>
          </cell>
          <cell r="K140">
            <v>0</v>
          </cell>
          <cell r="N140">
            <v>0</v>
          </cell>
          <cell r="Q140">
            <v>0</v>
          </cell>
          <cell r="U140">
            <v>0</v>
          </cell>
          <cell r="X140">
            <v>1</v>
          </cell>
          <cell r="Y140">
            <v>210000</v>
          </cell>
        </row>
        <row r="141">
          <cell r="B141">
            <v>1900</v>
          </cell>
          <cell r="C141">
            <v>122</v>
          </cell>
          <cell r="D141">
            <v>5</v>
          </cell>
          <cell r="E141" t="str">
            <v>HOARDINGS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X141">
            <v>0</v>
          </cell>
          <cell r="Y141">
            <v>0</v>
          </cell>
        </row>
        <row r="142">
          <cell r="B142">
            <v>1901</v>
          </cell>
          <cell r="C142">
            <v>123</v>
          </cell>
          <cell r="D142">
            <v>5</v>
          </cell>
          <cell r="E142" t="str">
            <v>TEMPORARY HOARDING</v>
          </cell>
          <cell r="F142">
            <v>850</v>
          </cell>
          <cell r="G142">
            <v>150</v>
          </cell>
          <cell r="H142">
            <v>127500</v>
          </cell>
          <cell r="I142">
            <v>850</v>
          </cell>
          <cell r="J142">
            <v>150</v>
          </cell>
          <cell r="K142">
            <v>127500</v>
          </cell>
          <cell r="L142">
            <v>850</v>
          </cell>
          <cell r="M142">
            <v>150</v>
          </cell>
          <cell r="N142">
            <v>127500</v>
          </cell>
          <cell r="O142">
            <v>850</v>
          </cell>
          <cell r="P142">
            <v>188.23529411764707</v>
          </cell>
          <cell r="Q142">
            <v>160000</v>
          </cell>
          <cell r="R142" t="str">
            <v>ls</v>
          </cell>
          <cell r="S142" t="str">
            <v>item</v>
          </cell>
          <cell r="U142">
            <v>160000</v>
          </cell>
          <cell r="X142">
            <v>1</v>
          </cell>
          <cell r="Y142">
            <v>160000</v>
          </cell>
        </row>
        <row r="143">
          <cell r="B143">
            <v>1902</v>
          </cell>
          <cell r="C143">
            <v>124</v>
          </cell>
          <cell r="D143">
            <v>5</v>
          </cell>
          <cell r="E143" t="str">
            <v>TEMPORARY FENCE</v>
          </cell>
          <cell r="F143">
            <v>0</v>
          </cell>
          <cell r="G143">
            <v>125</v>
          </cell>
          <cell r="H143">
            <v>0</v>
          </cell>
          <cell r="I143">
            <v>0</v>
          </cell>
          <cell r="J143">
            <v>125</v>
          </cell>
          <cell r="K143">
            <v>0</v>
          </cell>
          <cell r="L143">
            <v>0</v>
          </cell>
          <cell r="M143">
            <v>125</v>
          </cell>
          <cell r="N143">
            <v>0</v>
          </cell>
          <cell r="O143">
            <v>0</v>
          </cell>
          <cell r="P143">
            <v>125</v>
          </cell>
          <cell r="Q143">
            <v>0</v>
          </cell>
          <cell r="R143">
            <v>0</v>
          </cell>
          <cell r="S143">
            <v>125</v>
          </cell>
          <cell r="U143">
            <v>0</v>
          </cell>
          <cell r="X143">
            <v>0</v>
          </cell>
          <cell r="Y143">
            <v>125</v>
          </cell>
        </row>
        <row r="144">
          <cell r="B144">
            <v>1903</v>
          </cell>
          <cell r="C144">
            <v>125</v>
          </cell>
          <cell r="D144">
            <v>5</v>
          </cell>
          <cell r="E144" t="str">
            <v>GATES</v>
          </cell>
          <cell r="F144">
            <v>4</v>
          </cell>
          <cell r="G144">
            <v>1250</v>
          </cell>
          <cell r="H144">
            <v>5000</v>
          </cell>
          <cell r="I144">
            <v>4</v>
          </cell>
          <cell r="J144">
            <v>1250</v>
          </cell>
          <cell r="K144">
            <v>5000</v>
          </cell>
          <cell r="L144">
            <v>4</v>
          </cell>
          <cell r="M144">
            <v>1250</v>
          </cell>
          <cell r="N144">
            <v>5000</v>
          </cell>
          <cell r="O144">
            <v>4</v>
          </cell>
          <cell r="P144">
            <v>1250</v>
          </cell>
          <cell r="Q144">
            <v>5000</v>
          </cell>
          <cell r="R144">
            <v>4</v>
          </cell>
          <cell r="S144">
            <v>1250</v>
          </cell>
          <cell r="U144">
            <v>5000</v>
          </cell>
          <cell r="X144">
            <v>4</v>
          </cell>
          <cell r="Y144">
            <v>1250</v>
          </cell>
        </row>
        <row r="145">
          <cell r="B145">
            <v>1904</v>
          </cell>
          <cell r="C145">
            <v>126</v>
          </cell>
          <cell r="D145">
            <v>5</v>
          </cell>
          <cell r="E145" t="str">
            <v>COMPOUND</v>
          </cell>
          <cell r="F145" t="str">
            <v>ITEM</v>
          </cell>
          <cell r="G145">
            <v>0</v>
          </cell>
          <cell r="H145">
            <v>0</v>
          </cell>
          <cell r="I145" t="str">
            <v>ITEM</v>
          </cell>
          <cell r="J145">
            <v>0</v>
          </cell>
          <cell r="K145">
            <v>0</v>
          </cell>
          <cell r="L145" t="str">
            <v>ITEM</v>
          </cell>
          <cell r="M145">
            <v>0</v>
          </cell>
          <cell r="N145">
            <v>0</v>
          </cell>
          <cell r="O145" t="str">
            <v>ITEM</v>
          </cell>
          <cell r="P145">
            <v>0</v>
          </cell>
          <cell r="Q145">
            <v>0</v>
          </cell>
          <cell r="R145" t="str">
            <v>ITEM</v>
          </cell>
          <cell r="S145">
            <v>0</v>
          </cell>
          <cell r="U145">
            <v>0</v>
          </cell>
          <cell r="X145">
            <v>0</v>
          </cell>
          <cell r="Y145">
            <v>0</v>
          </cell>
        </row>
        <row r="146">
          <cell r="B146">
            <v>1905</v>
          </cell>
          <cell r="C146">
            <v>127</v>
          </cell>
          <cell r="D146">
            <v>5</v>
          </cell>
          <cell r="E146" t="str">
            <v>PEDASTRAIN WALKWAY</v>
          </cell>
          <cell r="F146">
            <v>300</v>
          </cell>
          <cell r="G146">
            <v>150</v>
          </cell>
          <cell r="H146">
            <v>45000</v>
          </cell>
          <cell r="I146">
            <v>300</v>
          </cell>
          <cell r="J146">
            <v>150</v>
          </cell>
          <cell r="K146">
            <v>45000</v>
          </cell>
          <cell r="L146">
            <v>300</v>
          </cell>
          <cell r="M146">
            <v>150</v>
          </cell>
          <cell r="N146">
            <v>45000</v>
          </cell>
          <cell r="O146">
            <v>300</v>
          </cell>
          <cell r="P146">
            <v>150</v>
          </cell>
          <cell r="Q146">
            <v>45000</v>
          </cell>
          <cell r="R146">
            <v>300</v>
          </cell>
          <cell r="S146">
            <v>150</v>
          </cell>
          <cell r="U146">
            <v>45000</v>
          </cell>
          <cell r="X146">
            <v>300</v>
          </cell>
          <cell r="Y146">
            <v>150</v>
          </cell>
        </row>
        <row r="147">
          <cell r="B147">
            <v>1906</v>
          </cell>
          <cell r="C147">
            <v>128</v>
          </cell>
          <cell r="D147">
            <v>35</v>
          </cell>
          <cell r="E147" t="str">
            <v>TEMPORARY SCREEN</v>
          </cell>
          <cell r="F147">
            <v>0</v>
          </cell>
          <cell r="G147">
            <v>450</v>
          </cell>
          <cell r="H147">
            <v>0</v>
          </cell>
          <cell r="I147">
            <v>0</v>
          </cell>
          <cell r="J147">
            <v>450</v>
          </cell>
          <cell r="K147">
            <v>0</v>
          </cell>
          <cell r="L147">
            <v>0</v>
          </cell>
          <cell r="M147">
            <v>450</v>
          </cell>
          <cell r="N147">
            <v>0</v>
          </cell>
          <cell r="O147">
            <v>0</v>
          </cell>
          <cell r="P147">
            <v>450</v>
          </cell>
          <cell r="Q147">
            <v>0</v>
          </cell>
          <cell r="R147">
            <v>0</v>
          </cell>
          <cell r="S147">
            <v>450</v>
          </cell>
          <cell r="U147">
            <v>0</v>
          </cell>
          <cell r="X147">
            <v>0</v>
          </cell>
          <cell r="Y147">
            <v>450</v>
          </cell>
        </row>
        <row r="148">
          <cell r="B148">
            <v>2000</v>
          </cell>
          <cell r="C148">
            <v>157</v>
          </cell>
          <cell r="D148">
            <v>35</v>
          </cell>
          <cell r="E148" t="str">
            <v>TELEPHONES/FAXES</v>
          </cell>
          <cell r="F148" t="str">
            <v>ITEM</v>
          </cell>
          <cell r="G148">
            <v>0</v>
          </cell>
          <cell r="H148">
            <v>0</v>
          </cell>
          <cell r="I148" t="str">
            <v>ITEM</v>
          </cell>
          <cell r="J148">
            <v>0</v>
          </cell>
          <cell r="K148">
            <v>0</v>
          </cell>
          <cell r="L148" t="str">
            <v>ITEM</v>
          </cell>
          <cell r="M148">
            <v>0</v>
          </cell>
          <cell r="N148">
            <v>0</v>
          </cell>
          <cell r="O148" t="str">
            <v>ITEM</v>
          </cell>
          <cell r="P148">
            <v>0</v>
          </cell>
          <cell r="Q148">
            <v>0</v>
          </cell>
          <cell r="R148" t="str">
            <v>ITEM</v>
          </cell>
          <cell r="S148">
            <v>0</v>
          </cell>
          <cell r="U148">
            <v>0</v>
          </cell>
          <cell r="X148">
            <v>30</v>
          </cell>
          <cell r="Y148">
            <v>10850</v>
          </cell>
        </row>
        <row r="149">
          <cell r="B149">
            <v>2000</v>
          </cell>
          <cell r="C149">
            <v>131</v>
          </cell>
          <cell r="D149">
            <v>35</v>
          </cell>
          <cell r="E149" t="str">
            <v>TELEPHONE / FAX</v>
          </cell>
          <cell r="F149" t="str">
            <v>ITEM</v>
          </cell>
          <cell r="G149">
            <v>0</v>
          </cell>
          <cell r="H149">
            <v>0</v>
          </cell>
          <cell r="I149" t="str">
            <v>ITEM</v>
          </cell>
          <cell r="J149">
            <v>0</v>
          </cell>
          <cell r="K149">
            <v>0</v>
          </cell>
          <cell r="L149" t="str">
            <v>ITEM</v>
          </cell>
          <cell r="M149">
            <v>0</v>
          </cell>
          <cell r="N149">
            <v>0</v>
          </cell>
          <cell r="O149" t="str">
            <v>ITEM</v>
          </cell>
          <cell r="P149">
            <v>0</v>
          </cell>
          <cell r="Q149">
            <v>0</v>
          </cell>
          <cell r="R149" t="str">
            <v>ITEM</v>
          </cell>
          <cell r="S149">
            <v>0</v>
          </cell>
          <cell r="U149">
            <v>0</v>
          </cell>
          <cell r="X149">
            <v>0</v>
          </cell>
          <cell r="Y149">
            <v>0</v>
          </cell>
        </row>
        <row r="150">
          <cell r="B150">
            <v>2021</v>
          </cell>
          <cell r="C150">
            <v>132</v>
          </cell>
          <cell r="D150">
            <v>35</v>
          </cell>
          <cell r="E150" t="str">
            <v>INSTALLATION CONTRACTORS</v>
          </cell>
          <cell r="F150">
            <v>10</v>
          </cell>
          <cell r="G150">
            <v>500</v>
          </cell>
          <cell r="H150">
            <v>5000</v>
          </cell>
          <cell r="I150">
            <v>10</v>
          </cell>
          <cell r="J150">
            <v>500</v>
          </cell>
          <cell r="K150">
            <v>5000</v>
          </cell>
          <cell r="L150">
            <v>10</v>
          </cell>
          <cell r="M150">
            <v>500</v>
          </cell>
          <cell r="N150">
            <v>5000</v>
          </cell>
          <cell r="O150">
            <v>10</v>
          </cell>
          <cell r="P150">
            <v>500</v>
          </cell>
          <cell r="Q150">
            <v>5000</v>
          </cell>
          <cell r="R150">
            <v>10</v>
          </cell>
          <cell r="S150">
            <v>500</v>
          </cell>
          <cell r="T150">
            <v>76502.732240437152</v>
          </cell>
          <cell r="U150">
            <v>5000</v>
          </cell>
          <cell r="X150">
            <v>10</v>
          </cell>
          <cell r="Y150">
            <v>500</v>
          </cell>
        </row>
        <row r="151">
          <cell r="B151">
            <v>2022</v>
          </cell>
          <cell r="C151">
            <v>133</v>
          </cell>
          <cell r="D151">
            <v>35</v>
          </cell>
          <cell r="E151" t="str">
            <v>CALLS [CONTRACTORS]</v>
          </cell>
          <cell r="F151">
            <v>27</v>
          </cell>
          <cell r="G151">
            <v>2000</v>
          </cell>
          <cell r="H151">
            <v>54000</v>
          </cell>
          <cell r="I151">
            <v>29</v>
          </cell>
          <cell r="J151">
            <v>2000</v>
          </cell>
          <cell r="K151">
            <v>58000</v>
          </cell>
          <cell r="L151">
            <v>27</v>
          </cell>
          <cell r="M151">
            <v>2000</v>
          </cell>
          <cell r="N151">
            <v>54000</v>
          </cell>
          <cell r="O151">
            <v>30</v>
          </cell>
          <cell r="P151">
            <v>2000</v>
          </cell>
          <cell r="Q151">
            <v>60000</v>
          </cell>
          <cell r="R151">
            <v>30</v>
          </cell>
          <cell r="S151">
            <v>2000</v>
          </cell>
          <cell r="T151">
            <v>68852.459016393434</v>
          </cell>
          <cell r="U151">
            <v>60000</v>
          </cell>
          <cell r="X151">
            <v>30</v>
          </cell>
          <cell r="Y151">
            <v>2000</v>
          </cell>
        </row>
        <row r="152">
          <cell r="B152">
            <v>2023</v>
          </cell>
          <cell r="C152">
            <v>134</v>
          </cell>
          <cell r="D152">
            <v>35</v>
          </cell>
          <cell r="E152" t="str">
            <v>RADIO SYSTEM</v>
          </cell>
          <cell r="F152">
            <v>0</v>
          </cell>
          <cell r="G152">
            <v>0</v>
          </cell>
          <cell r="H152">
            <v>40000</v>
          </cell>
          <cell r="I152">
            <v>0</v>
          </cell>
          <cell r="J152">
            <v>0</v>
          </cell>
          <cell r="K152">
            <v>40000</v>
          </cell>
          <cell r="L152">
            <v>0</v>
          </cell>
          <cell r="M152">
            <v>0</v>
          </cell>
          <cell r="N152">
            <v>40000</v>
          </cell>
          <cell r="O152">
            <v>0</v>
          </cell>
          <cell r="P152">
            <v>0</v>
          </cell>
          <cell r="Q152">
            <v>40000</v>
          </cell>
          <cell r="R152">
            <v>0</v>
          </cell>
          <cell r="S152">
            <v>0</v>
          </cell>
          <cell r="T152">
            <v>40983.606557377047</v>
          </cell>
          <cell r="U152">
            <v>40000</v>
          </cell>
          <cell r="X152">
            <v>1</v>
          </cell>
          <cell r="Y152">
            <v>40000</v>
          </cell>
        </row>
        <row r="153">
          <cell r="B153">
            <v>2024</v>
          </cell>
          <cell r="C153">
            <v>135</v>
          </cell>
          <cell r="D153">
            <v>35</v>
          </cell>
          <cell r="E153" t="str">
            <v>CALLS [EMPLOYERS]</v>
          </cell>
          <cell r="F153">
            <v>27</v>
          </cell>
          <cell r="G153">
            <v>1000</v>
          </cell>
          <cell r="H153">
            <v>27000</v>
          </cell>
          <cell r="I153">
            <v>29</v>
          </cell>
          <cell r="J153">
            <v>1000</v>
          </cell>
          <cell r="K153">
            <v>29000</v>
          </cell>
          <cell r="L153">
            <v>27</v>
          </cell>
          <cell r="M153">
            <v>1000</v>
          </cell>
          <cell r="N153">
            <v>27000</v>
          </cell>
          <cell r="O153">
            <v>30</v>
          </cell>
          <cell r="P153">
            <v>1000</v>
          </cell>
          <cell r="Q153">
            <v>30000</v>
          </cell>
          <cell r="R153">
            <v>30</v>
          </cell>
          <cell r="S153">
            <v>1000</v>
          </cell>
          <cell r="U153">
            <v>30000</v>
          </cell>
          <cell r="X153">
            <v>30</v>
          </cell>
          <cell r="Y153">
            <v>1000</v>
          </cell>
        </row>
        <row r="154">
          <cell r="B154">
            <v>2025</v>
          </cell>
          <cell r="C154">
            <v>136</v>
          </cell>
          <cell r="D154">
            <v>35</v>
          </cell>
          <cell r="E154" t="str">
            <v>MOBILE PHONE</v>
          </cell>
          <cell r="F154">
            <v>10</v>
          </cell>
          <cell r="G154">
            <v>1000</v>
          </cell>
          <cell r="H154">
            <v>10000</v>
          </cell>
          <cell r="I154">
            <v>10</v>
          </cell>
          <cell r="J154">
            <v>1000</v>
          </cell>
          <cell r="K154">
            <v>10000</v>
          </cell>
          <cell r="L154">
            <v>10</v>
          </cell>
          <cell r="M154">
            <v>1000</v>
          </cell>
          <cell r="N154">
            <v>10000</v>
          </cell>
          <cell r="O154">
            <v>15</v>
          </cell>
          <cell r="P154">
            <v>1000</v>
          </cell>
          <cell r="Q154">
            <v>15000</v>
          </cell>
          <cell r="R154">
            <v>15</v>
          </cell>
          <cell r="S154">
            <v>1000</v>
          </cell>
          <cell r="U154">
            <v>15000</v>
          </cell>
          <cell r="X154">
            <v>15</v>
          </cell>
          <cell r="Y154">
            <v>1000</v>
          </cell>
        </row>
        <row r="155">
          <cell r="B155">
            <v>2026</v>
          </cell>
          <cell r="C155">
            <v>137</v>
          </cell>
          <cell r="D155">
            <v>35</v>
          </cell>
          <cell r="E155" t="str">
            <v>FAX MACHINE</v>
          </cell>
          <cell r="F155">
            <v>3</v>
          </cell>
          <cell r="G155">
            <v>3500</v>
          </cell>
          <cell r="H155">
            <v>10500</v>
          </cell>
          <cell r="I155">
            <v>3</v>
          </cell>
          <cell r="J155">
            <v>3500</v>
          </cell>
          <cell r="K155">
            <v>10500</v>
          </cell>
          <cell r="L155">
            <v>3</v>
          </cell>
          <cell r="M155">
            <v>3500</v>
          </cell>
          <cell r="N155">
            <v>10500</v>
          </cell>
          <cell r="O155">
            <v>3</v>
          </cell>
          <cell r="P155">
            <v>3500</v>
          </cell>
          <cell r="Q155">
            <v>10500</v>
          </cell>
          <cell r="R155">
            <v>3</v>
          </cell>
          <cell r="S155">
            <v>3500</v>
          </cell>
          <cell r="U155">
            <v>10500</v>
          </cell>
          <cell r="X155">
            <v>3</v>
          </cell>
          <cell r="Y155">
            <v>3500</v>
          </cell>
        </row>
        <row r="156">
          <cell r="B156">
            <v>2027</v>
          </cell>
          <cell r="C156">
            <v>138</v>
          </cell>
          <cell r="D156">
            <v>35</v>
          </cell>
          <cell r="E156" t="str">
            <v>FAX ROLLS</v>
          </cell>
          <cell r="F156">
            <v>27</v>
          </cell>
          <cell r="G156">
            <v>1000</v>
          </cell>
          <cell r="H156">
            <v>27000</v>
          </cell>
          <cell r="I156">
            <v>29</v>
          </cell>
          <cell r="J156">
            <v>1000</v>
          </cell>
          <cell r="K156">
            <v>29000</v>
          </cell>
          <cell r="L156">
            <v>27</v>
          </cell>
          <cell r="M156">
            <v>1000</v>
          </cell>
          <cell r="N156">
            <v>27000</v>
          </cell>
          <cell r="O156">
            <v>30</v>
          </cell>
          <cell r="P156">
            <v>1000</v>
          </cell>
          <cell r="Q156">
            <v>30000</v>
          </cell>
          <cell r="R156">
            <v>30</v>
          </cell>
          <cell r="S156">
            <v>1000</v>
          </cell>
          <cell r="U156">
            <v>30000</v>
          </cell>
          <cell r="X156">
            <v>30</v>
          </cell>
          <cell r="Y156">
            <v>1000</v>
          </cell>
        </row>
        <row r="157">
          <cell r="B157">
            <v>2028</v>
          </cell>
          <cell r="C157">
            <v>139</v>
          </cell>
          <cell r="D157">
            <v>35</v>
          </cell>
          <cell r="E157" t="str">
            <v>COPIER MACHINE</v>
          </cell>
          <cell r="F157">
            <v>3</v>
          </cell>
          <cell r="G157">
            <v>25000</v>
          </cell>
          <cell r="H157">
            <v>75000</v>
          </cell>
          <cell r="I157">
            <v>3</v>
          </cell>
          <cell r="J157">
            <v>25000</v>
          </cell>
          <cell r="K157">
            <v>75000</v>
          </cell>
          <cell r="L157">
            <v>3</v>
          </cell>
          <cell r="M157">
            <v>25000</v>
          </cell>
          <cell r="N157">
            <v>75000</v>
          </cell>
          <cell r="O157">
            <v>3</v>
          </cell>
          <cell r="P157">
            <v>25000</v>
          </cell>
          <cell r="Q157">
            <v>75000</v>
          </cell>
          <cell r="R157">
            <v>3</v>
          </cell>
          <cell r="S157">
            <v>25000</v>
          </cell>
          <cell r="U157">
            <v>75000</v>
          </cell>
          <cell r="X157">
            <v>3</v>
          </cell>
          <cell r="Y157">
            <v>25000</v>
          </cell>
        </row>
        <row r="158">
          <cell r="B158">
            <v>2029</v>
          </cell>
          <cell r="C158">
            <v>140</v>
          </cell>
          <cell r="D158">
            <v>35</v>
          </cell>
          <cell r="E158" t="str">
            <v>MOBILE CALLS</v>
          </cell>
          <cell r="F158">
            <v>27</v>
          </cell>
          <cell r="G158">
            <v>1500</v>
          </cell>
          <cell r="H158">
            <v>40500</v>
          </cell>
          <cell r="I158">
            <v>29</v>
          </cell>
          <cell r="J158">
            <v>1500</v>
          </cell>
          <cell r="K158">
            <v>43500</v>
          </cell>
          <cell r="L158">
            <v>27</v>
          </cell>
          <cell r="M158">
            <v>1500</v>
          </cell>
          <cell r="N158">
            <v>40500</v>
          </cell>
          <cell r="O158">
            <v>30</v>
          </cell>
          <cell r="P158">
            <v>1500</v>
          </cell>
          <cell r="Q158">
            <v>45000</v>
          </cell>
          <cell r="R158">
            <v>30</v>
          </cell>
          <cell r="S158">
            <v>1500</v>
          </cell>
          <cell r="U158">
            <v>45000</v>
          </cell>
          <cell r="X158">
            <v>30</v>
          </cell>
          <cell r="Y158">
            <v>1500</v>
          </cell>
        </row>
        <row r="159">
          <cell r="B159">
            <v>2030</v>
          </cell>
          <cell r="C159">
            <v>141</v>
          </cell>
          <cell r="D159">
            <v>35</v>
          </cell>
          <cell r="E159" t="str">
            <v>FAX CALLS</v>
          </cell>
          <cell r="F159">
            <v>27</v>
          </cell>
          <cell r="G159">
            <v>500</v>
          </cell>
          <cell r="H159">
            <v>13500</v>
          </cell>
          <cell r="I159">
            <v>29</v>
          </cell>
          <cell r="J159">
            <v>500</v>
          </cell>
          <cell r="K159">
            <v>14500</v>
          </cell>
          <cell r="L159">
            <v>27</v>
          </cell>
          <cell r="M159">
            <v>500</v>
          </cell>
          <cell r="N159">
            <v>13500</v>
          </cell>
          <cell r="O159">
            <v>30</v>
          </cell>
          <cell r="P159">
            <v>500</v>
          </cell>
          <cell r="Q159">
            <v>15000</v>
          </cell>
          <cell r="R159">
            <v>30</v>
          </cell>
          <cell r="S159">
            <v>500</v>
          </cell>
          <cell r="U159">
            <v>15000</v>
          </cell>
          <cell r="X159">
            <v>30</v>
          </cell>
          <cell r="Y159">
            <v>500</v>
          </cell>
        </row>
        <row r="160">
          <cell r="B160">
            <v>3000</v>
          </cell>
          <cell r="C160">
            <v>168</v>
          </cell>
          <cell r="D160">
            <v>14</v>
          </cell>
          <cell r="E160" t="str">
            <v>TEMPORARY ROAD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U160">
            <v>0</v>
          </cell>
          <cell r="X160">
            <v>1</v>
          </cell>
          <cell r="Y160">
            <v>25000</v>
          </cell>
        </row>
        <row r="161">
          <cell r="B161">
            <v>3000</v>
          </cell>
          <cell r="C161">
            <v>143</v>
          </cell>
          <cell r="D161">
            <v>17</v>
          </cell>
          <cell r="E161" t="str">
            <v>TEMPORARY ROADS</v>
          </cell>
          <cell r="F161" t="str">
            <v>ITEM</v>
          </cell>
          <cell r="G161">
            <v>0</v>
          </cell>
          <cell r="H161">
            <v>100000</v>
          </cell>
          <cell r="I161" t="str">
            <v>ITEM</v>
          </cell>
          <cell r="J161">
            <v>0</v>
          </cell>
          <cell r="K161">
            <v>100000</v>
          </cell>
          <cell r="L161" t="str">
            <v>ITEM</v>
          </cell>
          <cell r="M161">
            <v>0</v>
          </cell>
          <cell r="N161">
            <v>100000</v>
          </cell>
          <cell r="O161" t="str">
            <v>ITEM</v>
          </cell>
          <cell r="P161">
            <v>0</v>
          </cell>
          <cell r="Q161">
            <v>100800</v>
          </cell>
          <cell r="R161" t="str">
            <v>ITEM</v>
          </cell>
          <cell r="S161">
            <v>0</v>
          </cell>
          <cell r="U161">
            <v>100000</v>
          </cell>
          <cell r="X161">
            <v>0</v>
          </cell>
          <cell r="Y161">
            <v>100000</v>
          </cell>
        </row>
        <row r="162">
          <cell r="B162">
            <v>3010</v>
          </cell>
          <cell r="C162">
            <v>144</v>
          </cell>
          <cell r="D162">
            <v>5</v>
          </cell>
          <cell r="E162" t="str">
            <v>CROSSOVERS</v>
          </cell>
          <cell r="F162">
            <v>15</v>
          </cell>
          <cell r="G162">
            <v>3500</v>
          </cell>
          <cell r="H162">
            <v>52500</v>
          </cell>
          <cell r="I162">
            <v>10</v>
          </cell>
          <cell r="J162">
            <v>3500</v>
          </cell>
          <cell r="K162">
            <v>35000</v>
          </cell>
          <cell r="L162">
            <v>25</v>
          </cell>
          <cell r="M162">
            <v>6500</v>
          </cell>
          <cell r="N162">
            <v>162500</v>
          </cell>
          <cell r="O162">
            <v>38</v>
          </cell>
          <cell r="P162">
            <v>3000</v>
          </cell>
          <cell r="Q162">
            <v>114000</v>
          </cell>
          <cell r="R162">
            <v>25</v>
          </cell>
          <cell r="S162">
            <v>6500</v>
          </cell>
          <cell r="U162">
            <v>162500</v>
          </cell>
          <cell r="X162">
            <v>0</v>
          </cell>
          <cell r="Y162">
            <v>6500</v>
          </cell>
        </row>
        <row r="163">
          <cell r="B163">
            <v>3020</v>
          </cell>
          <cell r="C163">
            <v>145</v>
          </cell>
          <cell r="D163">
            <v>5</v>
          </cell>
          <cell r="E163" t="str">
            <v>TEMPORARY ROAD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U163">
            <v>0</v>
          </cell>
          <cell r="X163">
            <v>0</v>
          </cell>
          <cell r="Y163">
            <v>0</v>
          </cell>
        </row>
        <row r="164">
          <cell r="B164">
            <v>3030</v>
          </cell>
          <cell r="C164">
            <v>146</v>
          </cell>
          <cell r="D164">
            <v>5</v>
          </cell>
          <cell r="E164" t="str">
            <v>REINSTATEMENT COST</v>
          </cell>
          <cell r="F164" t="str">
            <v>ITEM</v>
          </cell>
          <cell r="G164">
            <v>0</v>
          </cell>
          <cell r="H164">
            <v>25000</v>
          </cell>
          <cell r="I164" t="str">
            <v>ITEM</v>
          </cell>
          <cell r="J164">
            <v>0</v>
          </cell>
          <cell r="K164">
            <v>25000</v>
          </cell>
          <cell r="L164" t="str">
            <v>ITEM</v>
          </cell>
          <cell r="M164">
            <v>0</v>
          </cell>
          <cell r="N164">
            <v>25000</v>
          </cell>
          <cell r="O164" t="str">
            <v>ITEM</v>
          </cell>
          <cell r="P164">
            <v>0</v>
          </cell>
          <cell r="Q164">
            <v>25000</v>
          </cell>
          <cell r="R164" t="str">
            <v>ITEM</v>
          </cell>
          <cell r="S164">
            <v>0</v>
          </cell>
          <cell r="U164">
            <v>25000</v>
          </cell>
          <cell r="X164">
            <v>1</v>
          </cell>
          <cell r="Y164">
            <v>25000</v>
          </cell>
        </row>
        <row r="165">
          <cell r="B165">
            <v>4000</v>
          </cell>
          <cell r="C165">
            <v>173</v>
          </cell>
          <cell r="E165" t="str">
            <v>PROTECTION/CARE</v>
          </cell>
          <cell r="G165">
            <v>2000</v>
          </cell>
          <cell r="H165">
            <v>0</v>
          </cell>
          <cell r="I165">
            <v>29</v>
          </cell>
          <cell r="J165">
            <v>2000</v>
          </cell>
          <cell r="K165">
            <v>0</v>
          </cell>
          <cell r="L165">
            <v>27</v>
          </cell>
          <cell r="M165">
            <v>2000</v>
          </cell>
          <cell r="N165">
            <v>0</v>
          </cell>
          <cell r="O165">
            <v>30</v>
          </cell>
          <cell r="P165">
            <v>2000</v>
          </cell>
          <cell r="Q165">
            <v>0</v>
          </cell>
          <cell r="U165">
            <v>0</v>
          </cell>
          <cell r="X165">
            <v>1</v>
          </cell>
          <cell r="Y165">
            <v>25000</v>
          </cell>
        </row>
        <row r="166">
          <cell r="B166">
            <v>4000</v>
          </cell>
          <cell r="C166">
            <v>153</v>
          </cell>
          <cell r="D166">
            <v>35</v>
          </cell>
          <cell r="E166" t="str">
            <v>PROTECTION  / CARE OF SITE</v>
          </cell>
          <cell r="F166" t="str">
            <v>ITEM</v>
          </cell>
          <cell r="G166">
            <v>0</v>
          </cell>
          <cell r="H166">
            <v>50000</v>
          </cell>
          <cell r="I166" t="str">
            <v>ITEM</v>
          </cell>
          <cell r="J166">
            <v>0</v>
          </cell>
          <cell r="K166">
            <v>50000</v>
          </cell>
          <cell r="L166" t="str">
            <v>ITEM</v>
          </cell>
          <cell r="M166">
            <v>0</v>
          </cell>
          <cell r="N166">
            <v>50000</v>
          </cell>
          <cell r="O166" t="str">
            <v>ITEM</v>
          </cell>
          <cell r="P166">
            <v>0</v>
          </cell>
          <cell r="Q166">
            <v>50000</v>
          </cell>
          <cell r="X166">
            <v>0</v>
          </cell>
        </row>
        <row r="167">
          <cell r="B167">
            <v>4010</v>
          </cell>
          <cell r="C167">
            <v>154</v>
          </cell>
          <cell r="D167">
            <v>35</v>
          </cell>
          <cell r="E167" t="str">
            <v>EXISTING ADJACENT BUILDINGS</v>
          </cell>
          <cell r="F167" t="str">
            <v>ITEM</v>
          </cell>
          <cell r="G167">
            <v>0</v>
          </cell>
          <cell r="H167">
            <v>0</v>
          </cell>
          <cell r="I167" t="str">
            <v>ITEM</v>
          </cell>
          <cell r="J167">
            <v>0</v>
          </cell>
          <cell r="K167">
            <v>0</v>
          </cell>
          <cell r="L167" t="str">
            <v>ITEM</v>
          </cell>
          <cell r="M167">
            <v>0</v>
          </cell>
          <cell r="N167">
            <v>0</v>
          </cell>
          <cell r="O167" t="str">
            <v>ITEM</v>
          </cell>
          <cell r="P167">
            <v>0</v>
          </cell>
          <cell r="Q167">
            <v>0</v>
          </cell>
          <cell r="R167" t="str">
            <v>ITEM</v>
          </cell>
          <cell r="S167">
            <v>0</v>
          </cell>
          <cell r="U167">
            <v>0</v>
          </cell>
          <cell r="X167" t="str">
            <v>ITEM</v>
          </cell>
          <cell r="Y167">
            <v>0</v>
          </cell>
        </row>
        <row r="168">
          <cell r="B168">
            <v>4020</v>
          </cell>
          <cell r="C168">
            <v>155</v>
          </cell>
          <cell r="D168">
            <v>35</v>
          </cell>
          <cell r="E168" t="str">
            <v>MATERIALS</v>
          </cell>
          <cell r="F168" t="str">
            <v>ITEM</v>
          </cell>
          <cell r="G168">
            <v>25000</v>
          </cell>
          <cell r="H168">
            <v>25000</v>
          </cell>
          <cell r="I168" t="str">
            <v>ITEM</v>
          </cell>
          <cell r="J168">
            <v>25000</v>
          </cell>
          <cell r="K168">
            <v>25000</v>
          </cell>
          <cell r="L168" t="str">
            <v>ITEM</v>
          </cell>
          <cell r="M168">
            <v>25000</v>
          </cell>
          <cell r="N168">
            <v>25000</v>
          </cell>
          <cell r="O168" t="str">
            <v>ITEM</v>
          </cell>
          <cell r="P168">
            <v>25000</v>
          </cell>
          <cell r="Q168">
            <v>25000</v>
          </cell>
          <cell r="R168" t="str">
            <v>ITEM</v>
          </cell>
          <cell r="S168">
            <v>25000</v>
          </cell>
          <cell r="U168">
            <v>25000</v>
          </cell>
          <cell r="X168">
            <v>1</v>
          </cell>
          <cell r="Y168">
            <v>25000</v>
          </cell>
        </row>
        <row r="169">
          <cell r="B169">
            <v>4030</v>
          </cell>
          <cell r="C169">
            <v>156</v>
          </cell>
          <cell r="D169">
            <v>35</v>
          </cell>
          <cell r="E169" t="str">
            <v>TEMPORARY SCREEN</v>
          </cell>
          <cell r="G169">
            <v>0</v>
          </cell>
          <cell r="H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P169">
            <v>0</v>
          </cell>
          <cell r="Q169">
            <v>0</v>
          </cell>
          <cell r="S169">
            <v>0</v>
          </cell>
          <cell r="U169">
            <v>0</v>
          </cell>
          <cell r="X169">
            <v>0</v>
          </cell>
          <cell r="Y169">
            <v>0</v>
          </cell>
        </row>
        <row r="170">
          <cell r="B170">
            <v>4040</v>
          </cell>
          <cell r="C170">
            <v>157</v>
          </cell>
          <cell r="D170">
            <v>35</v>
          </cell>
          <cell r="E170" t="str">
            <v>FIRE EXTINGUISHER</v>
          </cell>
          <cell r="F170" t="str">
            <v>ITEM</v>
          </cell>
          <cell r="G170">
            <v>0</v>
          </cell>
          <cell r="H170" t="str">
            <v>Incl.</v>
          </cell>
          <cell r="I170" t="str">
            <v>ITEM</v>
          </cell>
          <cell r="J170">
            <v>0</v>
          </cell>
          <cell r="K170" t="str">
            <v>Incl.</v>
          </cell>
          <cell r="L170" t="str">
            <v>ITEM</v>
          </cell>
          <cell r="M170">
            <v>0</v>
          </cell>
          <cell r="N170" t="str">
            <v>Incl.</v>
          </cell>
          <cell r="O170" t="str">
            <v>ITEM</v>
          </cell>
          <cell r="P170">
            <v>0</v>
          </cell>
          <cell r="Q170" t="str">
            <v>Incl.</v>
          </cell>
          <cell r="R170" t="str">
            <v>ITEM</v>
          </cell>
          <cell r="S170">
            <v>0</v>
          </cell>
          <cell r="U170" t="str">
            <v>Incl.</v>
          </cell>
          <cell r="X170" t="str">
            <v>ITEM</v>
          </cell>
          <cell r="Y170">
            <v>0</v>
          </cell>
        </row>
        <row r="171">
          <cell r="B171">
            <v>4050</v>
          </cell>
          <cell r="C171">
            <v>158</v>
          </cell>
          <cell r="D171">
            <v>35</v>
          </cell>
          <cell r="E171" t="str">
            <v>SAFETY PRECAUTIONS</v>
          </cell>
          <cell r="F171" t="str">
            <v>ITEM</v>
          </cell>
          <cell r="G171">
            <v>0</v>
          </cell>
          <cell r="H171">
            <v>0</v>
          </cell>
          <cell r="I171" t="str">
            <v>ITEM</v>
          </cell>
          <cell r="J171">
            <v>0</v>
          </cell>
          <cell r="K171">
            <v>0</v>
          </cell>
          <cell r="L171" t="str">
            <v>ITEM</v>
          </cell>
          <cell r="M171">
            <v>0</v>
          </cell>
          <cell r="N171">
            <v>0</v>
          </cell>
          <cell r="O171" t="str">
            <v>ITEM</v>
          </cell>
          <cell r="P171">
            <v>0</v>
          </cell>
          <cell r="Q171">
            <v>0</v>
          </cell>
          <cell r="R171" t="str">
            <v>ITEM</v>
          </cell>
          <cell r="S171">
            <v>0</v>
          </cell>
          <cell r="U171">
            <v>0</v>
          </cell>
          <cell r="X171" t="str">
            <v>ITEM</v>
          </cell>
          <cell r="Y171">
            <v>0</v>
          </cell>
        </row>
        <row r="172">
          <cell r="B172">
            <v>4060</v>
          </cell>
          <cell r="C172">
            <v>159</v>
          </cell>
          <cell r="D172">
            <v>31</v>
          </cell>
          <cell r="E172" t="str">
            <v>SAFETY OFFICER</v>
          </cell>
          <cell r="F172">
            <v>24</v>
          </cell>
          <cell r="G172">
            <v>10000</v>
          </cell>
          <cell r="H172">
            <v>240000</v>
          </cell>
          <cell r="I172">
            <v>26</v>
          </cell>
          <cell r="J172">
            <v>10000</v>
          </cell>
          <cell r="K172">
            <v>260000</v>
          </cell>
          <cell r="L172">
            <v>24</v>
          </cell>
          <cell r="M172">
            <v>10000</v>
          </cell>
          <cell r="N172">
            <v>240000</v>
          </cell>
          <cell r="O172">
            <v>28</v>
          </cell>
          <cell r="P172">
            <v>10000</v>
          </cell>
          <cell r="Q172">
            <v>280000</v>
          </cell>
          <cell r="R172">
            <v>28</v>
          </cell>
          <cell r="S172">
            <v>10000</v>
          </cell>
          <cell r="T172">
            <v>76502.732240437152</v>
          </cell>
          <cell r="U172">
            <v>280000</v>
          </cell>
          <cell r="X172">
            <v>28</v>
          </cell>
          <cell r="Y172">
            <v>10000</v>
          </cell>
        </row>
        <row r="173">
          <cell r="B173">
            <v>4070</v>
          </cell>
          <cell r="C173">
            <v>160</v>
          </cell>
          <cell r="D173">
            <v>31</v>
          </cell>
          <cell r="E173" t="str">
            <v>ASST.SAFTY OFFICER</v>
          </cell>
          <cell r="F173" t="str">
            <v>1*24</v>
          </cell>
          <cell r="G173">
            <v>4500</v>
          </cell>
          <cell r="H173">
            <v>108000</v>
          </cell>
          <cell r="I173" t="str">
            <v>1*26</v>
          </cell>
          <cell r="J173">
            <v>4500</v>
          </cell>
          <cell r="K173">
            <v>117000</v>
          </cell>
          <cell r="L173" t="str">
            <v>01*24</v>
          </cell>
          <cell r="M173">
            <v>4500</v>
          </cell>
          <cell r="N173">
            <v>108000</v>
          </cell>
          <cell r="O173" t="str">
            <v>02*28</v>
          </cell>
          <cell r="P173">
            <v>4500</v>
          </cell>
          <cell r="Q173">
            <v>252000</v>
          </cell>
          <cell r="R173" t="str">
            <v>2*24</v>
          </cell>
          <cell r="S173">
            <v>4500</v>
          </cell>
          <cell r="T173">
            <v>68852.459016393434</v>
          </cell>
          <cell r="U173">
            <v>252000</v>
          </cell>
          <cell r="V173" t="str">
            <v xml:space="preserve"> </v>
          </cell>
          <cell r="W173" t="str">
            <v xml:space="preserve"> </v>
          </cell>
          <cell r="X173">
            <v>48</v>
          </cell>
          <cell r="Y173">
            <v>4500</v>
          </cell>
        </row>
        <row r="174">
          <cell r="B174">
            <v>4080</v>
          </cell>
          <cell r="C174">
            <v>161</v>
          </cell>
          <cell r="D174">
            <v>35</v>
          </cell>
          <cell r="E174" t="str">
            <v>Floor Covering</v>
          </cell>
          <cell r="F174">
            <v>50000</v>
          </cell>
          <cell r="G174">
            <v>3</v>
          </cell>
          <cell r="H174">
            <v>150000</v>
          </cell>
          <cell r="I174">
            <v>58000</v>
          </cell>
          <cell r="J174">
            <v>3</v>
          </cell>
          <cell r="K174">
            <v>174000</v>
          </cell>
          <cell r="L174">
            <v>50000</v>
          </cell>
          <cell r="M174">
            <v>3</v>
          </cell>
          <cell r="N174">
            <v>150000</v>
          </cell>
          <cell r="O174">
            <v>58000</v>
          </cell>
          <cell r="P174">
            <v>3</v>
          </cell>
          <cell r="Q174">
            <v>174000</v>
          </cell>
          <cell r="R174">
            <v>50000</v>
          </cell>
          <cell r="S174">
            <v>3</v>
          </cell>
          <cell r="T174">
            <v>40983.606557377047</v>
          </cell>
          <cell r="U174">
            <v>150000</v>
          </cell>
          <cell r="X174">
            <v>50000</v>
          </cell>
          <cell r="Y174">
            <v>3</v>
          </cell>
        </row>
        <row r="175">
          <cell r="B175">
            <v>5010</v>
          </cell>
          <cell r="C175">
            <v>163</v>
          </cell>
          <cell r="D175">
            <v>5</v>
          </cell>
          <cell r="E175" t="str">
            <v>SIGN BOARD</v>
          </cell>
          <cell r="F175">
            <v>3</v>
          </cell>
          <cell r="G175">
            <v>15000</v>
          </cell>
          <cell r="H175">
            <v>45000</v>
          </cell>
          <cell r="I175">
            <v>3</v>
          </cell>
          <cell r="J175">
            <v>15000</v>
          </cell>
          <cell r="K175">
            <v>45000</v>
          </cell>
          <cell r="L175">
            <v>3</v>
          </cell>
          <cell r="M175">
            <v>15000</v>
          </cell>
          <cell r="N175">
            <v>45000</v>
          </cell>
          <cell r="O175">
            <v>3</v>
          </cell>
          <cell r="P175">
            <v>15000</v>
          </cell>
          <cell r="Q175">
            <v>45000</v>
          </cell>
          <cell r="R175">
            <v>3</v>
          </cell>
          <cell r="S175">
            <v>15000</v>
          </cell>
          <cell r="U175">
            <v>45000</v>
          </cell>
          <cell r="X175">
            <v>3</v>
          </cell>
          <cell r="Y175">
            <v>15000</v>
          </cell>
        </row>
        <row r="176">
          <cell r="B176">
            <v>5020</v>
          </cell>
          <cell r="C176">
            <v>164</v>
          </cell>
          <cell r="D176">
            <v>45</v>
          </cell>
          <cell r="E176" t="str">
            <v>SITE PHOTOGRAPHS</v>
          </cell>
          <cell r="F176">
            <v>27</v>
          </cell>
          <cell r="G176">
            <v>1000</v>
          </cell>
          <cell r="H176">
            <v>27000</v>
          </cell>
          <cell r="I176">
            <v>29</v>
          </cell>
          <cell r="J176">
            <v>1000</v>
          </cell>
          <cell r="K176">
            <v>29000</v>
          </cell>
          <cell r="L176">
            <v>27</v>
          </cell>
          <cell r="M176">
            <v>1000</v>
          </cell>
          <cell r="N176">
            <v>27000</v>
          </cell>
          <cell r="O176">
            <v>29</v>
          </cell>
          <cell r="P176">
            <v>1000</v>
          </cell>
          <cell r="Q176">
            <v>29000</v>
          </cell>
          <cell r="R176">
            <v>29</v>
          </cell>
          <cell r="S176">
            <v>1000</v>
          </cell>
          <cell r="U176">
            <v>29000</v>
          </cell>
          <cell r="X176">
            <v>29</v>
          </cell>
          <cell r="Y176">
            <v>1000</v>
          </cell>
        </row>
        <row r="177">
          <cell r="B177">
            <v>5030</v>
          </cell>
          <cell r="C177">
            <v>165</v>
          </cell>
          <cell r="D177">
            <v>20</v>
          </cell>
          <cell r="E177" t="str">
            <v>TESTS / SAMPLES</v>
          </cell>
          <cell r="F177" t="str">
            <v>ITEM</v>
          </cell>
          <cell r="G177">
            <v>100000</v>
          </cell>
          <cell r="H177">
            <v>100000</v>
          </cell>
          <cell r="I177" t="str">
            <v>ITEM</v>
          </cell>
          <cell r="J177">
            <v>100000</v>
          </cell>
          <cell r="K177">
            <v>100000</v>
          </cell>
          <cell r="L177" t="str">
            <v>ITEM</v>
          </cell>
          <cell r="M177">
            <v>100000</v>
          </cell>
          <cell r="N177">
            <v>100000</v>
          </cell>
          <cell r="O177" t="str">
            <v>ITEM</v>
          </cell>
          <cell r="P177">
            <v>100000</v>
          </cell>
          <cell r="Q177">
            <v>100000</v>
          </cell>
          <cell r="R177" t="str">
            <v>ITEM</v>
          </cell>
          <cell r="S177">
            <v>100000</v>
          </cell>
          <cell r="U177">
            <v>100000</v>
          </cell>
          <cell r="X177">
            <v>1</v>
          </cell>
          <cell r="Y177">
            <v>100000</v>
          </cell>
        </row>
        <row r="178">
          <cell r="B178">
            <v>5040</v>
          </cell>
          <cell r="C178">
            <v>166</v>
          </cell>
          <cell r="D178">
            <v>39</v>
          </cell>
          <cell r="E178" t="str">
            <v>INSURANCE OF WORKS</v>
          </cell>
          <cell r="F178">
            <v>1</v>
          </cell>
          <cell r="G178">
            <v>0</v>
          </cell>
          <cell r="H178">
            <v>357000</v>
          </cell>
          <cell r="I178">
            <v>1</v>
          </cell>
          <cell r="J178">
            <v>0</v>
          </cell>
          <cell r="K178">
            <v>375000</v>
          </cell>
          <cell r="L178">
            <v>1</v>
          </cell>
          <cell r="M178">
            <v>0</v>
          </cell>
          <cell r="N178">
            <v>357000</v>
          </cell>
          <cell r="O178">
            <v>1</v>
          </cell>
          <cell r="P178">
            <v>0</v>
          </cell>
          <cell r="Q178">
            <v>703367.94800000009</v>
          </cell>
          <cell r="R178">
            <v>1</v>
          </cell>
          <cell r="S178">
            <v>0</v>
          </cell>
          <cell r="U178">
            <v>703000</v>
          </cell>
          <cell r="X178">
            <v>1</v>
          </cell>
          <cell r="Y178">
            <v>703000</v>
          </cell>
        </row>
        <row r="179">
          <cell r="B179">
            <v>5050</v>
          </cell>
          <cell r="C179">
            <v>167</v>
          </cell>
          <cell r="D179">
            <v>39</v>
          </cell>
          <cell r="E179" t="str">
            <v>PERFORMANCE BOND</v>
          </cell>
          <cell r="F179">
            <v>50000</v>
          </cell>
          <cell r="G179">
            <v>4.0000000000000001E-3</v>
          </cell>
          <cell r="H179">
            <v>412500</v>
          </cell>
          <cell r="I179">
            <v>50000</v>
          </cell>
          <cell r="J179">
            <v>2.5000000000000001E-3</v>
          </cell>
          <cell r="K179">
            <v>383333.33333333337</v>
          </cell>
          <cell r="L179">
            <v>50000</v>
          </cell>
          <cell r="M179">
            <v>7.4999999999999997E-3</v>
          </cell>
          <cell r="N179">
            <v>412500</v>
          </cell>
          <cell r="O179">
            <v>50000</v>
          </cell>
          <cell r="P179">
            <v>2.5000000000000001E-3</v>
          </cell>
          <cell r="Q179">
            <v>357274.10850000003</v>
          </cell>
          <cell r="S179">
            <v>2.5000000000000001E-3</v>
          </cell>
          <cell r="U179">
            <v>357274</v>
          </cell>
          <cell r="X179">
            <v>1</v>
          </cell>
          <cell r="Y179">
            <v>357274</v>
          </cell>
        </row>
        <row r="180">
          <cell r="B180">
            <v>5060</v>
          </cell>
          <cell r="C180">
            <v>167</v>
          </cell>
          <cell r="D180">
            <v>39</v>
          </cell>
          <cell r="E180" t="str">
            <v>ADVANCE PAYMENT BOND</v>
          </cell>
          <cell r="J180">
            <v>2.5000000000000001E-3</v>
          </cell>
          <cell r="K180">
            <v>287500</v>
          </cell>
          <cell r="M180">
            <v>2.5000000000000001E-3</v>
          </cell>
          <cell r="N180">
            <v>0</v>
          </cell>
          <cell r="P180">
            <v>2.5000000000000001E-3</v>
          </cell>
          <cell r="Q180">
            <v>211750</v>
          </cell>
          <cell r="X180">
            <v>0</v>
          </cell>
        </row>
        <row r="181">
          <cell r="B181">
            <v>5070</v>
          </cell>
          <cell r="C181">
            <v>168</v>
          </cell>
          <cell r="D181">
            <v>14</v>
          </cell>
          <cell r="E181" t="str">
            <v>WORKSHOP DRAWINGS (design))</v>
          </cell>
          <cell r="F181">
            <v>0</v>
          </cell>
          <cell r="G181">
            <v>0</v>
          </cell>
          <cell r="H181">
            <v>50000</v>
          </cell>
          <cell r="I181">
            <v>0</v>
          </cell>
          <cell r="J181">
            <v>0</v>
          </cell>
          <cell r="K181">
            <v>50000</v>
          </cell>
          <cell r="L181">
            <v>0</v>
          </cell>
          <cell r="M181">
            <v>0</v>
          </cell>
          <cell r="N181">
            <v>50000</v>
          </cell>
          <cell r="O181">
            <v>0</v>
          </cell>
          <cell r="P181">
            <v>0</v>
          </cell>
          <cell r="Q181">
            <v>50000</v>
          </cell>
          <cell r="R181">
            <v>0</v>
          </cell>
          <cell r="S181">
            <v>0</v>
          </cell>
          <cell r="U181">
            <v>50000</v>
          </cell>
          <cell r="X181">
            <v>1</v>
          </cell>
          <cell r="Y181">
            <v>50000</v>
          </cell>
        </row>
        <row r="182">
          <cell r="B182">
            <v>5080</v>
          </cell>
          <cell r="C182">
            <v>169</v>
          </cell>
          <cell r="D182">
            <v>17</v>
          </cell>
          <cell r="E182" t="str">
            <v>AS BUILT DRAWINGS / (design)</v>
          </cell>
          <cell r="F182" t="str">
            <v>ITEM</v>
          </cell>
          <cell r="G182">
            <v>0</v>
          </cell>
          <cell r="H182">
            <v>100000</v>
          </cell>
          <cell r="I182" t="str">
            <v>ITEM</v>
          </cell>
          <cell r="J182">
            <v>0</v>
          </cell>
          <cell r="K182">
            <v>100000</v>
          </cell>
          <cell r="L182" t="str">
            <v>ITEM</v>
          </cell>
          <cell r="M182">
            <v>0</v>
          </cell>
          <cell r="N182">
            <v>100000</v>
          </cell>
          <cell r="O182" t="str">
            <v>ITEM</v>
          </cell>
          <cell r="P182">
            <v>0</v>
          </cell>
          <cell r="Q182">
            <v>100800</v>
          </cell>
          <cell r="R182" t="str">
            <v>ITEM</v>
          </cell>
          <cell r="S182">
            <v>0</v>
          </cell>
          <cell r="U182">
            <v>100000</v>
          </cell>
          <cell r="X182">
            <v>1</v>
          </cell>
          <cell r="Y182">
            <v>100000</v>
          </cell>
        </row>
        <row r="183">
          <cell r="B183">
            <v>5090</v>
          </cell>
          <cell r="C183">
            <v>170</v>
          </cell>
          <cell r="D183">
            <v>47</v>
          </cell>
          <cell r="E183" t="str">
            <v>COMPUTERS</v>
          </cell>
          <cell r="F183">
            <v>15</v>
          </cell>
          <cell r="G183">
            <v>3500</v>
          </cell>
          <cell r="H183">
            <v>52500</v>
          </cell>
          <cell r="I183">
            <v>10</v>
          </cell>
          <cell r="J183">
            <v>3500</v>
          </cell>
          <cell r="K183">
            <v>35000</v>
          </cell>
          <cell r="L183">
            <v>25</v>
          </cell>
          <cell r="M183">
            <v>6500</v>
          </cell>
          <cell r="N183">
            <v>162500</v>
          </cell>
          <cell r="O183">
            <v>38</v>
          </cell>
          <cell r="P183">
            <v>3000</v>
          </cell>
          <cell r="Q183">
            <v>114000</v>
          </cell>
          <cell r="R183">
            <v>25</v>
          </cell>
          <cell r="S183">
            <v>6500</v>
          </cell>
          <cell r="U183">
            <v>162500</v>
          </cell>
          <cell r="X183">
            <v>25</v>
          </cell>
          <cell r="Y183">
            <v>6500</v>
          </cell>
        </row>
        <row r="184">
          <cell r="B184">
            <v>5091</v>
          </cell>
          <cell r="C184">
            <v>191</v>
          </cell>
          <cell r="D184">
            <v>43</v>
          </cell>
          <cell r="E184" t="str">
            <v xml:space="preserve"> Printer  &amp;  Plot</v>
          </cell>
          <cell r="G184">
            <v>0</v>
          </cell>
          <cell r="H184">
            <v>0</v>
          </cell>
          <cell r="I184">
            <v>50000</v>
          </cell>
          <cell r="J184">
            <v>0</v>
          </cell>
          <cell r="K184">
            <v>0</v>
          </cell>
          <cell r="L184">
            <v>50000</v>
          </cell>
          <cell r="M184">
            <v>0</v>
          </cell>
          <cell r="N184">
            <v>0</v>
          </cell>
          <cell r="O184">
            <v>1</v>
          </cell>
          <cell r="P184">
            <v>100000</v>
          </cell>
          <cell r="Q184">
            <v>100000</v>
          </cell>
          <cell r="R184" t="str">
            <v>ITEM</v>
          </cell>
          <cell r="S184">
            <v>0</v>
          </cell>
          <cell r="U184">
            <v>75000</v>
          </cell>
          <cell r="X184">
            <v>1</v>
          </cell>
          <cell r="Y184">
            <v>75000</v>
          </cell>
        </row>
        <row r="185">
          <cell r="B185">
            <v>5092</v>
          </cell>
          <cell r="C185">
            <v>192</v>
          </cell>
          <cell r="D185">
            <v>43</v>
          </cell>
          <cell r="E185" t="str">
            <v xml:space="preserve"> Network  &amp;  Internet</v>
          </cell>
          <cell r="F185">
            <v>96000</v>
          </cell>
          <cell r="H185">
            <v>0</v>
          </cell>
          <cell r="I185">
            <v>96000</v>
          </cell>
          <cell r="K185">
            <v>0</v>
          </cell>
          <cell r="L185">
            <v>96000</v>
          </cell>
          <cell r="N185">
            <v>0</v>
          </cell>
          <cell r="O185">
            <v>1</v>
          </cell>
          <cell r="P185">
            <v>100000</v>
          </cell>
          <cell r="Q185">
            <v>100000</v>
          </cell>
          <cell r="R185" t="str">
            <v>ITEM</v>
          </cell>
          <cell r="U185">
            <v>100000</v>
          </cell>
          <cell r="X185">
            <v>1</v>
          </cell>
          <cell r="Y185">
            <v>100000</v>
          </cell>
        </row>
        <row r="186">
          <cell r="B186">
            <v>5093</v>
          </cell>
          <cell r="C186">
            <v>171</v>
          </cell>
          <cell r="D186">
            <v>47</v>
          </cell>
          <cell r="E186" t="str">
            <v>CODES</v>
          </cell>
          <cell r="F186" t="str">
            <v>ITEM</v>
          </cell>
          <cell r="G186">
            <v>0</v>
          </cell>
          <cell r="H186">
            <v>50000</v>
          </cell>
          <cell r="I186" t="str">
            <v>ITEM</v>
          </cell>
          <cell r="J186">
            <v>0</v>
          </cell>
          <cell r="K186">
            <v>50000</v>
          </cell>
          <cell r="L186" t="str">
            <v>ITEM</v>
          </cell>
          <cell r="M186">
            <v>0</v>
          </cell>
          <cell r="N186">
            <v>50000</v>
          </cell>
          <cell r="O186" t="str">
            <v>ITEM</v>
          </cell>
          <cell r="P186">
            <v>0</v>
          </cell>
          <cell r="Q186">
            <v>50000</v>
          </cell>
          <cell r="X186">
            <v>0</v>
          </cell>
        </row>
        <row r="187">
          <cell r="B187">
            <v>5100</v>
          </cell>
          <cell r="C187">
            <v>172</v>
          </cell>
          <cell r="D187">
            <v>19</v>
          </cell>
          <cell r="E187" t="str">
            <v>MAINTENANCE &amp; FINAL CLEAN</v>
          </cell>
          <cell r="F187" t="str">
            <v>ITEM</v>
          </cell>
          <cell r="G187">
            <v>0</v>
          </cell>
          <cell r="H187">
            <v>100000</v>
          </cell>
          <cell r="I187" t="str">
            <v>ITEM</v>
          </cell>
          <cell r="J187">
            <v>0</v>
          </cell>
          <cell r="K187">
            <v>100000</v>
          </cell>
          <cell r="L187" t="str">
            <v>ITEM</v>
          </cell>
          <cell r="M187">
            <v>0</v>
          </cell>
          <cell r="N187">
            <v>100000</v>
          </cell>
          <cell r="O187" t="str">
            <v>ITEM</v>
          </cell>
          <cell r="P187">
            <v>0</v>
          </cell>
          <cell r="Q187">
            <v>100000</v>
          </cell>
          <cell r="R187" t="str">
            <v>ITEM</v>
          </cell>
          <cell r="S187">
            <v>0</v>
          </cell>
          <cell r="U187">
            <v>100000</v>
          </cell>
          <cell r="X187">
            <v>1</v>
          </cell>
          <cell r="Y187">
            <v>100000</v>
          </cell>
        </row>
        <row r="188">
          <cell r="B188">
            <v>5110</v>
          </cell>
          <cell r="C188">
            <v>173</v>
          </cell>
          <cell r="E188" t="str">
            <v>QA INSPECTOR</v>
          </cell>
          <cell r="G188">
            <v>2000</v>
          </cell>
          <cell r="H188">
            <v>0</v>
          </cell>
          <cell r="I188">
            <v>29</v>
          </cell>
          <cell r="J188">
            <v>2000</v>
          </cell>
          <cell r="K188">
            <v>58000</v>
          </cell>
          <cell r="L188">
            <v>27</v>
          </cell>
          <cell r="M188">
            <v>2000</v>
          </cell>
          <cell r="N188">
            <v>54000</v>
          </cell>
          <cell r="O188">
            <v>30</v>
          </cell>
          <cell r="P188">
            <v>2000</v>
          </cell>
          <cell r="Q188">
            <v>60000</v>
          </cell>
          <cell r="X188">
            <v>0</v>
          </cell>
        </row>
        <row r="189">
          <cell r="B189">
            <v>5120</v>
          </cell>
          <cell r="C189">
            <v>174</v>
          </cell>
          <cell r="D189">
            <v>35</v>
          </cell>
          <cell r="E189" t="str">
            <v>ARCHIVING</v>
          </cell>
          <cell r="F189" t="str">
            <v>ITEM</v>
          </cell>
          <cell r="G189">
            <v>0</v>
          </cell>
          <cell r="H189">
            <v>50000</v>
          </cell>
          <cell r="I189" t="str">
            <v>ITEM</v>
          </cell>
          <cell r="J189">
            <v>0</v>
          </cell>
          <cell r="K189">
            <v>50000</v>
          </cell>
          <cell r="L189" t="str">
            <v>ITEM</v>
          </cell>
          <cell r="M189">
            <v>0</v>
          </cell>
          <cell r="N189">
            <v>50000</v>
          </cell>
          <cell r="O189" t="str">
            <v>ITEM</v>
          </cell>
          <cell r="P189">
            <v>0</v>
          </cell>
          <cell r="Q189">
            <v>50000</v>
          </cell>
          <cell r="X189">
            <v>0</v>
          </cell>
        </row>
        <row r="190">
          <cell r="B190">
            <v>5130</v>
          </cell>
          <cell r="C190">
            <v>175</v>
          </cell>
          <cell r="D190">
            <v>35</v>
          </cell>
          <cell r="E190" t="str">
            <v>AUDITING FEE</v>
          </cell>
          <cell r="F190" t="str">
            <v>ITEM</v>
          </cell>
          <cell r="G190">
            <v>0</v>
          </cell>
          <cell r="H190">
            <v>80000</v>
          </cell>
          <cell r="I190" t="str">
            <v>ITEM</v>
          </cell>
          <cell r="J190">
            <v>0</v>
          </cell>
          <cell r="K190">
            <v>80000</v>
          </cell>
          <cell r="L190" t="str">
            <v>ITEM</v>
          </cell>
          <cell r="M190">
            <v>0</v>
          </cell>
          <cell r="N190">
            <v>80000</v>
          </cell>
          <cell r="O190" t="str">
            <v>ITEM</v>
          </cell>
          <cell r="P190">
            <v>0</v>
          </cell>
          <cell r="Q190">
            <v>80000</v>
          </cell>
          <cell r="S190">
            <v>0</v>
          </cell>
          <cell r="U190">
            <v>50000</v>
          </cell>
          <cell r="X190">
            <v>1</v>
          </cell>
          <cell r="Y190">
            <v>50000</v>
          </cell>
        </row>
        <row r="191">
          <cell r="B191">
            <v>5130</v>
          </cell>
          <cell r="C191">
            <v>175</v>
          </cell>
          <cell r="D191">
            <v>35</v>
          </cell>
          <cell r="E191" t="str">
            <v>ENTERTAINMENT</v>
          </cell>
          <cell r="F191" t="str">
            <v>ITEM</v>
          </cell>
          <cell r="G191">
            <v>0</v>
          </cell>
          <cell r="I191" t="str">
            <v>ITEM</v>
          </cell>
          <cell r="J191">
            <v>0</v>
          </cell>
          <cell r="L191" t="str">
            <v>ITEM</v>
          </cell>
          <cell r="M191">
            <v>0</v>
          </cell>
          <cell r="O191" t="str">
            <v>ITEM</v>
          </cell>
          <cell r="P191">
            <v>0</v>
          </cell>
          <cell r="Q191">
            <v>54750</v>
          </cell>
          <cell r="S191">
            <v>0</v>
          </cell>
          <cell r="U191">
            <v>645000</v>
          </cell>
          <cell r="X191">
            <v>1</v>
          </cell>
          <cell r="Y191">
            <v>645000</v>
          </cell>
        </row>
        <row r="192">
          <cell r="B192">
            <v>6000</v>
          </cell>
          <cell r="E192" t="str">
            <v xml:space="preserve">LABOUR (INCL.IN PRELIMS.) </v>
          </cell>
          <cell r="H192">
            <v>0</v>
          </cell>
          <cell r="K192">
            <v>0</v>
          </cell>
          <cell r="N192">
            <v>0</v>
          </cell>
          <cell r="Q192">
            <v>0</v>
          </cell>
          <cell r="U192">
            <v>0</v>
          </cell>
          <cell r="X192">
            <v>1</v>
          </cell>
          <cell r="Y192">
            <v>557000</v>
          </cell>
        </row>
        <row r="193">
          <cell r="B193">
            <v>6000</v>
          </cell>
          <cell r="C193">
            <v>177</v>
          </cell>
          <cell r="E193" t="str">
            <v>LABOUR [INCL. IN PRELIMS]</v>
          </cell>
          <cell r="X193">
            <v>0</v>
          </cell>
        </row>
        <row r="194">
          <cell r="B194">
            <v>6001</v>
          </cell>
          <cell r="C194">
            <v>178</v>
          </cell>
          <cell r="E194" t="str">
            <v>ACCOMMODATION</v>
          </cell>
          <cell r="F194">
            <v>0</v>
          </cell>
          <cell r="I194">
            <v>0</v>
          </cell>
          <cell r="L194">
            <v>0</v>
          </cell>
          <cell r="O194">
            <v>0</v>
          </cell>
          <cell r="X194">
            <v>0</v>
          </cell>
        </row>
        <row r="195">
          <cell r="B195">
            <v>6002</v>
          </cell>
          <cell r="C195">
            <v>179</v>
          </cell>
          <cell r="E195" t="str">
            <v>OFFICE ATTENDANCE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X195">
            <v>0</v>
          </cell>
        </row>
        <row r="196">
          <cell r="B196">
            <v>6003</v>
          </cell>
          <cell r="C196">
            <v>180</v>
          </cell>
          <cell r="E196" t="str">
            <v>STORE KEEPER</v>
          </cell>
          <cell r="F196">
            <v>0</v>
          </cell>
          <cell r="H196">
            <v>0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Q196">
            <v>0</v>
          </cell>
          <cell r="V196" t="str">
            <v xml:space="preserve"> </v>
          </cell>
          <cell r="W196" t="str">
            <v xml:space="preserve"> </v>
          </cell>
          <cell r="X196">
            <v>0</v>
          </cell>
        </row>
        <row r="197">
          <cell r="B197">
            <v>6004</v>
          </cell>
          <cell r="C197">
            <v>181</v>
          </cell>
          <cell r="E197" t="str">
            <v>SECRETARY</v>
          </cell>
          <cell r="H197">
            <v>0</v>
          </cell>
          <cell r="K197">
            <v>0</v>
          </cell>
          <cell r="N197">
            <v>0</v>
          </cell>
          <cell r="Q197">
            <v>0</v>
          </cell>
          <cell r="X197">
            <v>0</v>
          </cell>
        </row>
        <row r="198">
          <cell r="B198">
            <v>6005</v>
          </cell>
          <cell r="C198">
            <v>182</v>
          </cell>
          <cell r="E198" t="str">
            <v>HOARDINGS</v>
          </cell>
          <cell r="F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Q198">
            <v>0</v>
          </cell>
          <cell r="X198">
            <v>0</v>
          </cell>
        </row>
        <row r="199">
          <cell r="B199">
            <v>6006</v>
          </cell>
          <cell r="C199">
            <v>183</v>
          </cell>
          <cell r="D199">
            <v>43</v>
          </cell>
          <cell r="E199" t="str">
            <v>CLEARING RUBBISH</v>
          </cell>
          <cell r="F199">
            <v>60000</v>
          </cell>
          <cell r="H199">
            <v>60000</v>
          </cell>
          <cell r="I199">
            <v>70000</v>
          </cell>
          <cell r="K199">
            <v>70000</v>
          </cell>
          <cell r="L199">
            <v>70000</v>
          </cell>
          <cell r="N199">
            <v>70000</v>
          </cell>
          <cell r="O199">
            <v>70000</v>
          </cell>
          <cell r="Q199">
            <v>70000</v>
          </cell>
          <cell r="U199">
            <v>70000</v>
          </cell>
          <cell r="X199">
            <v>1</v>
          </cell>
          <cell r="Y199">
            <v>70000</v>
          </cell>
        </row>
        <row r="200">
          <cell r="B200">
            <v>6007</v>
          </cell>
          <cell r="C200">
            <v>184</v>
          </cell>
          <cell r="D200">
            <v>43</v>
          </cell>
          <cell r="E200" t="str">
            <v>SCAFFOLDING</v>
          </cell>
          <cell r="F200">
            <v>75000</v>
          </cell>
          <cell r="H200">
            <v>75000</v>
          </cell>
          <cell r="I200">
            <v>80000</v>
          </cell>
          <cell r="K200">
            <v>80000</v>
          </cell>
          <cell r="L200">
            <v>80000</v>
          </cell>
          <cell r="N200">
            <v>80000</v>
          </cell>
          <cell r="O200">
            <v>80000</v>
          </cell>
          <cell r="Q200">
            <v>80000</v>
          </cell>
          <cell r="U200">
            <v>80000</v>
          </cell>
          <cell r="X200">
            <v>1</v>
          </cell>
          <cell r="Y200">
            <v>80000</v>
          </cell>
        </row>
        <row r="201">
          <cell r="B201">
            <v>6008</v>
          </cell>
          <cell r="C201">
            <v>185</v>
          </cell>
          <cell r="D201">
            <v>43</v>
          </cell>
          <cell r="E201" t="str">
            <v>ATTENDANCE NOMINATED</v>
          </cell>
          <cell r="X201">
            <v>0</v>
          </cell>
        </row>
        <row r="202">
          <cell r="B202">
            <v>6009</v>
          </cell>
          <cell r="C202">
            <v>186</v>
          </cell>
          <cell r="D202">
            <v>43</v>
          </cell>
          <cell r="E202" t="str">
            <v>ATTENDANCE TRADES</v>
          </cell>
          <cell r="F202">
            <v>50000</v>
          </cell>
          <cell r="H202">
            <v>50000</v>
          </cell>
          <cell r="I202">
            <v>50000</v>
          </cell>
          <cell r="K202">
            <v>50000</v>
          </cell>
          <cell r="L202">
            <v>50000</v>
          </cell>
          <cell r="N202">
            <v>50000</v>
          </cell>
          <cell r="O202">
            <v>50000</v>
          </cell>
          <cell r="Q202">
            <v>50000</v>
          </cell>
          <cell r="U202">
            <v>50000</v>
          </cell>
          <cell r="X202">
            <v>1</v>
          </cell>
          <cell r="Y202">
            <v>50000</v>
          </cell>
        </row>
        <row r="203">
          <cell r="B203">
            <v>6010</v>
          </cell>
          <cell r="C203">
            <v>187</v>
          </cell>
          <cell r="D203">
            <v>43</v>
          </cell>
          <cell r="E203" t="str">
            <v>TRADE FOREMEN</v>
          </cell>
          <cell r="X203">
            <v>0</v>
          </cell>
        </row>
        <row r="204">
          <cell r="B204">
            <v>6011</v>
          </cell>
          <cell r="C204">
            <v>188</v>
          </cell>
          <cell r="D204">
            <v>37</v>
          </cell>
          <cell r="E204" t="str">
            <v>FIRST AIDER</v>
          </cell>
          <cell r="F204">
            <v>96000</v>
          </cell>
          <cell r="H204">
            <v>96000</v>
          </cell>
          <cell r="I204">
            <v>96000</v>
          </cell>
          <cell r="K204">
            <v>96000</v>
          </cell>
          <cell r="L204">
            <v>96000</v>
          </cell>
          <cell r="N204">
            <v>96000</v>
          </cell>
          <cell r="O204">
            <v>96000</v>
          </cell>
          <cell r="Q204">
            <v>96000</v>
          </cell>
          <cell r="U204">
            <v>96000</v>
          </cell>
          <cell r="X204">
            <v>1</v>
          </cell>
          <cell r="Y204">
            <v>96000</v>
          </cell>
        </row>
        <row r="205">
          <cell r="B205">
            <v>6012</v>
          </cell>
          <cell r="C205">
            <v>189</v>
          </cell>
          <cell r="D205">
            <v>43</v>
          </cell>
          <cell r="E205" t="str">
            <v>PLUMBER</v>
          </cell>
          <cell r="F205">
            <v>30000</v>
          </cell>
          <cell r="H205">
            <v>30000</v>
          </cell>
          <cell r="I205">
            <v>30000</v>
          </cell>
          <cell r="K205">
            <v>30000</v>
          </cell>
          <cell r="L205">
            <v>30000</v>
          </cell>
          <cell r="N205">
            <v>30000</v>
          </cell>
          <cell r="O205">
            <v>30000</v>
          </cell>
          <cell r="Q205">
            <v>30000</v>
          </cell>
          <cell r="U205">
            <v>30000</v>
          </cell>
          <cell r="X205">
            <v>1</v>
          </cell>
          <cell r="Y205">
            <v>30000</v>
          </cell>
        </row>
        <row r="206">
          <cell r="B206">
            <v>6013</v>
          </cell>
          <cell r="C206">
            <v>190</v>
          </cell>
          <cell r="D206">
            <v>43</v>
          </cell>
          <cell r="E206" t="str">
            <v>ELECTRICIAN</v>
          </cell>
          <cell r="F206">
            <v>50000</v>
          </cell>
          <cell r="H206">
            <v>50000</v>
          </cell>
          <cell r="I206">
            <v>50000</v>
          </cell>
          <cell r="K206">
            <v>50000</v>
          </cell>
          <cell r="L206">
            <v>50000</v>
          </cell>
          <cell r="N206">
            <v>50000</v>
          </cell>
          <cell r="O206">
            <v>50000</v>
          </cell>
          <cell r="Q206">
            <v>50000</v>
          </cell>
          <cell r="U206">
            <v>50000</v>
          </cell>
          <cell r="X206">
            <v>1</v>
          </cell>
          <cell r="Y206">
            <v>50000</v>
          </cell>
        </row>
        <row r="207">
          <cell r="B207">
            <v>6014</v>
          </cell>
          <cell r="C207">
            <v>191</v>
          </cell>
          <cell r="D207">
            <v>43</v>
          </cell>
          <cell r="E207" t="str">
            <v>OTHERS</v>
          </cell>
          <cell r="G207">
            <v>0</v>
          </cell>
          <cell r="I207">
            <v>50000</v>
          </cell>
          <cell r="J207">
            <v>0</v>
          </cell>
          <cell r="K207">
            <v>50000</v>
          </cell>
          <cell r="L207">
            <v>50000</v>
          </cell>
          <cell r="M207">
            <v>0</v>
          </cell>
          <cell r="N207">
            <v>50000</v>
          </cell>
          <cell r="O207">
            <v>50000</v>
          </cell>
          <cell r="P207">
            <v>0</v>
          </cell>
          <cell r="Q207">
            <v>50000</v>
          </cell>
          <cell r="U207">
            <v>50000</v>
          </cell>
          <cell r="X207">
            <v>1</v>
          </cell>
          <cell r="Y207">
            <v>50000</v>
          </cell>
        </row>
        <row r="208">
          <cell r="B208">
            <v>6015</v>
          </cell>
          <cell r="C208">
            <v>192</v>
          </cell>
          <cell r="D208">
            <v>43</v>
          </cell>
          <cell r="E208" t="str">
            <v>DRIVERS</v>
          </cell>
          <cell r="F208">
            <v>96000</v>
          </cell>
          <cell r="H208">
            <v>96000</v>
          </cell>
          <cell r="I208">
            <v>96000</v>
          </cell>
          <cell r="K208">
            <v>96000</v>
          </cell>
          <cell r="L208">
            <v>96000</v>
          </cell>
          <cell r="N208">
            <v>96000</v>
          </cell>
          <cell r="O208">
            <v>96000</v>
          </cell>
          <cell r="Q208">
            <v>96000</v>
          </cell>
          <cell r="U208">
            <v>96000</v>
          </cell>
          <cell r="X208">
            <v>1</v>
          </cell>
          <cell r="Y208">
            <v>96000</v>
          </cell>
        </row>
        <row r="209">
          <cell r="B209">
            <v>6016</v>
          </cell>
          <cell r="C209">
            <v>193</v>
          </cell>
          <cell r="D209">
            <v>43</v>
          </cell>
          <cell r="E209" t="str">
            <v>MECHANIC</v>
          </cell>
          <cell r="F209">
            <v>50000</v>
          </cell>
          <cell r="H209">
            <v>50000</v>
          </cell>
          <cell r="I209">
            <v>50000</v>
          </cell>
          <cell r="K209">
            <v>50000</v>
          </cell>
          <cell r="L209">
            <v>50000</v>
          </cell>
          <cell r="N209">
            <v>50000</v>
          </cell>
          <cell r="O209">
            <v>50000</v>
          </cell>
          <cell r="Q209">
            <v>50000</v>
          </cell>
          <cell r="U209">
            <v>50000</v>
          </cell>
          <cell r="X209">
            <v>1</v>
          </cell>
          <cell r="Y209">
            <v>50000</v>
          </cell>
        </row>
        <row r="210">
          <cell r="B210">
            <v>6017</v>
          </cell>
          <cell r="C210">
            <v>194</v>
          </cell>
          <cell r="D210">
            <v>43</v>
          </cell>
          <cell r="E210" t="str">
            <v>ASSIST MECH</v>
          </cell>
          <cell r="F210">
            <v>0</v>
          </cell>
          <cell r="H210">
            <v>0</v>
          </cell>
          <cell r="I210">
            <v>0</v>
          </cell>
          <cell r="K210">
            <v>0</v>
          </cell>
          <cell r="L210">
            <v>0</v>
          </cell>
          <cell r="N210">
            <v>-15000</v>
          </cell>
          <cell r="O210">
            <v>0</v>
          </cell>
          <cell r="Q210">
            <v>-15000</v>
          </cell>
          <cell r="U210">
            <v>-15000</v>
          </cell>
          <cell r="X210">
            <v>1</v>
          </cell>
          <cell r="Y210">
            <v>-15000</v>
          </cell>
        </row>
        <row r="211">
          <cell r="B211">
            <v>7000</v>
          </cell>
          <cell r="E211" t="str">
            <v xml:space="preserve">LABOUR (INCL. IN RATES) </v>
          </cell>
          <cell r="H211">
            <v>0</v>
          </cell>
          <cell r="K211">
            <v>0</v>
          </cell>
          <cell r="N211">
            <v>0</v>
          </cell>
          <cell r="Q211">
            <v>0</v>
          </cell>
        </row>
        <row r="212">
          <cell r="B212" t="str">
            <v xml:space="preserve"> </v>
          </cell>
          <cell r="E212" t="str">
            <v>PRELIMINARIES TOTAL</v>
          </cell>
          <cell r="H212">
            <v>507000</v>
          </cell>
          <cell r="I212">
            <v>572000</v>
          </cell>
          <cell r="K212">
            <v>572000</v>
          </cell>
          <cell r="L212">
            <v>572000</v>
          </cell>
          <cell r="N212">
            <v>557000</v>
          </cell>
          <cell r="O212">
            <v>572000</v>
          </cell>
          <cell r="Q212">
            <v>557000</v>
          </cell>
          <cell r="U212">
            <v>557000</v>
          </cell>
        </row>
        <row r="213">
          <cell r="B213" t="str">
            <v xml:space="preserve"> </v>
          </cell>
          <cell r="E213" t="str">
            <v xml:space="preserve">    Summary</v>
          </cell>
          <cell r="X213">
            <v>0</v>
          </cell>
        </row>
        <row r="214">
          <cell r="B214" t="str">
            <v xml:space="preserve"> </v>
          </cell>
          <cell r="C214">
            <v>82</v>
          </cell>
          <cell r="E214" t="str">
            <v>MECHANICAL PLANT  CARRIED TO SUMMARY</v>
          </cell>
          <cell r="H214">
            <v>0</v>
          </cell>
          <cell r="K214">
            <v>0</v>
          </cell>
          <cell r="N214">
            <v>0</v>
          </cell>
          <cell r="Q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B215" t="str">
            <v xml:space="preserve"> </v>
          </cell>
          <cell r="C215">
            <v>105</v>
          </cell>
          <cell r="E215" t="str">
            <v>TEMPORARY SERVICES   CARRIED TO SUMMARY</v>
          </cell>
          <cell r="H215">
            <v>954000</v>
          </cell>
          <cell r="K215">
            <v>1074000</v>
          </cell>
          <cell r="N215">
            <v>1044000</v>
          </cell>
          <cell r="Q215">
            <v>1044000</v>
          </cell>
          <cell r="T215">
            <v>285245.90163934423</v>
          </cell>
          <cell r="U215">
            <v>1044000</v>
          </cell>
          <cell r="V215">
            <v>0</v>
          </cell>
          <cell r="W215">
            <v>0</v>
          </cell>
          <cell r="X215">
            <v>0</v>
          </cell>
        </row>
        <row r="216">
          <cell r="B216" t="str">
            <v xml:space="preserve"> </v>
          </cell>
          <cell r="C216">
            <v>130</v>
          </cell>
          <cell r="E216" t="str">
            <v>HOARDINGS  CARRIED TO SUMMARY</v>
          </cell>
          <cell r="H216">
            <v>1461000</v>
          </cell>
          <cell r="K216">
            <v>1646000</v>
          </cell>
          <cell r="N216">
            <v>1586000</v>
          </cell>
          <cell r="Q216">
            <v>1586000</v>
          </cell>
          <cell r="U216">
            <v>1586000</v>
          </cell>
          <cell r="V216">
            <v>0</v>
          </cell>
          <cell r="W216">
            <v>0</v>
          </cell>
          <cell r="X216">
            <v>0</v>
          </cell>
        </row>
        <row r="217">
          <cell r="B217" t="str">
            <v xml:space="preserve"> </v>
          </cell>
          <cell r="C217">
            <v>151</v>
          </cell>
          <cell r="E217" t="str">
            <v xml:space="preserve"> </v>
          </cell>
          <cell r="X217">
            <v>0</v>
          </cell>
        </row>
        <row r="218">
          <cell r="B218" t="str">
            <v xml:space="preserve"> </v>
          </cell>
          <cell r="C218">
            <v>162</v>
          </cell>
          <cell r="E218" t="str">
            <v>PROTECTION / CARE  CARRIED TO SUMMARY</v>
          </cell>
          <cell r="H218">
            <v>2972000</v>
          </cell>
          <cell r="K218">
            <v>3342000</v>
          </cell>
          <cell r="N218">
            <v>3222000</v>
          </cell>
          <cell r="Q218">
            <v>3222000</v>
          </cell>
          <cell r="U218">
            <v>3222000</v>
          </cell>
          <cell r="V218">
            <v>0</v>
          </cell>
          <cell r="W218">
            <v>0</v>
          </cell>
          <cell r="X218">
            <v>0</v>
          </cell>
        </row>
        <row r="219">
          <cell r="B219" t="str">
            <v>LABOUR [PRELIM] TO SUMMARY</v>
          </cell>
          <cell r="C219">
            <v>198</v>
          </cell>
          <cell r="F219">
            <v>372000</v>
          </cell>
          <cell r="G219">
            <v>0</v>
          </cell>
          <cell r="H219">
            <v>6266000</v>
          </cell>
          <cell r="I219">
            <v>994000</v>
          </cell>
          <cell r="J219">
            <v>0</v>
          </cell>
          <cell r="K219">
            <v>7056000</v>
          </cell>
          <cell r="L219">
            <v>994000</v>
          </cell>
          <cell r="M219">
            <v>0</v>
          </cell>
          <cell r="N219">
            <v>6816000</v>
          </cell>
          <cell r="O219">
            <v>994000</v>
          </cell>
          <cell r="P219">
            <v>0</v>
          </cell>
          <cell r="Q219">
            <v>6816000</v>
          </cell>
          <cell r="U219">
            <v>6816000</v>
          </cell>
          <cell r="V219">
            <v>0</v>
          </cell>
          <cell r="W219">
            <v>0</v>
          </cell>
          <cell r="X219">
            <v>0</v>
          </cell>
        </row>
        <row r="221">
          <cell r="E221" t="str">
            <v>GRAND TOTAL</v>
          </cell>
          <cell r="H221">
            <v>9238000</v>
          </cell>
          <cell r="I221">
            <v>994000</v>
          </cell>
          <cell r="K221">
            <v>10398000</v>
          </cell>
          <cell r="L221">
            <v>994000</v>
          </cell>
          <cell r="N221">
            <v>10038000</v>
          </cell>
          <cell r="O221">
            <v>994000</v>
          </cell>
          <cell r="Q221">
            <v>10038000</v>
          </cell>
          <cell r="U221">
            <v>10038000</v>
          </cell>
        </row>
        <row r="226">
          <cell r="H226">
            <v>0</v>
          </cell>
          <cell r="K226">
            <v>0</v>
          </cell>
          <cell r="N226">
            <v>0</v>
          </cell>
          <cell r="Q226">
            <v>0</v>
          </cell>
        </row>
        <row r="229">
          <cell r="C229">
            <v>23</v>
          </cell>
          <cell r="E229" t="str">
            <v>TEMPORARY BUILDING  CARRIED TO SUMMARY</v>
          </cell>
          <cell r="H229">
            <v>21544000</v>
          </cell>
          <cell r="K229">
            <v>24284000</v>
          </cell>
          <cell r="N229">
            <v>23444000</v>
          </cell>
          <cell r="Q229">
            <v>23444000</v>
          </cell>
          <cell r="U229">
            <v>23444000</v>
          </cell>
          <cell r="V229">
            <v>0</v>
          </cell>
          <cell r="W229">
            <v>0</v>
          </cell>
          <cell r="X229">
            <v>0</v>
          </cell>
        </row>
        <row r="230">
          <cell r="X230">
            <v>0</v>
          </cell>
        </row>
        <row r="231">
          <cell r="C231">
            <v>89</v>
          </cell>
          <cell r="D231">
            <v>0</v>
          </cell>
          <cell r="E231" t="str">
            <v>SALARIED SUPERVISION  CARRIED TO SUMMARY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U231">
            <v>0</v>
          </cell>
          <cell r="X231">
            <v>0</v>
          </cell>
          <cell r="Y231">
            <v>0</v>
          </cell>
        </row>
        <row r="232">
          <cell r="C232">
            <v>57</v>
          </cell>
          <cell r="D232">
            <v>0</v>
          </cell>
          <cell r="E232" t="str">
            <v>NON - MECHANICAL PLANT CARRIED TO SUMMARY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C233">
            <v>116</v>
          </cell>
          <cell r="D233">
            <v>0</v>
          </cell>
          <cell r="E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C234">
            <v>121</v>
          </cell>
          <cell r="D234">
            <v>0</v>
          </cell>
          <cell r="E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C238" t="e">
            <v>#REF!</v>
          </cell>
          <cell r="D238" t="e">
            <v>#REF!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 t="e">
            <v>#REF!</v>
          </cell>
          <cell r="W238" t="e">
            <v>#REF!</v>
          </cell>
          <cell r="X238">
            <v>0</v>
          </cell>
          <cell r="Y238">
            <v>0</v>
          </cell>
        </row>
        <row r="239">
          <cell r="E239" t="str">
            <v>sub-total</v>
          </cell>
          <cell r="H239">
            <v>4370000</v>
          </cell>
          <cell r="L239">
            <v>0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  <cell r="U239">
            <v>0</v>
          </cell>
          <cell r="X239">
            <v>0</v>
          </cell>
        </row>
        <row r="240">
          <cell r="X240">
            <v>0</v>
          </cell>
        </row>
        <row r="241">
          <cell r="E241" t="str">
            <v>2. Local  Staff</v>
          </cell>
          <cell r="X241">
            <v>0</v>
          </cell>
        </row>
        <row r="242">
          <cell r="E242" t="str">
            <v>sub-total</v>
          </cell>
          <cell r="H242">
            <v>6579200</v>
          </cell>
          <cell r="L242">
            <v>2572</v>
          </cell>
          <cell r="N242">
            <v>0</v>
          </cell>
          <cell r="O242">
            <v>2945</v>
          </cell>
          <cell r="Q242">
            <v>0</v>
          </cell>
          <cell r="R242">
            <v>2945</v>
          </cell>
          <cell r="U242">
            <v>0</v>
          </cell>
          <cell r="X242">
            <v>2945</v>
          </cell>
        </row>
        <row r="243">
          <cell r="X243">
            <v>0</v>
          </cell>
        </row>
        <row r="244">
          <cell r="E244" t="str">
            <v xml:space="preserve">    T O T A L</v>
          </cell>
          <cell r="H244">
            <v>10949200</v>
          </cell>
          <cell r="K244">
            <v>0</v>
          </cell>
          <cell r="N244">
            <v>0</v>
          </cell>
          <cell r="Q244">
            <v>0</v>
          </cell>
          <cell r="U244">
            <v>0</v>
          </cell>
          <cell r="X244">
            <v>0</v>
          </cell>
        </row>
        <row r="245">
          <cell r="X245">
            <v>0</v>
          </cell>
        </row>
        <row r="246">
          <cell r="H246">
            <v>-6579200</v>
          </cell>
          <cell r="X246">
            <v>0</v>
          </cell>
        </row>
        <row r="247">
          <cell r="X247">
            <v>0</v>
          </cell>
        </row>
        <row r="248">
          <cell r="X248">
            <v>0</v>
          </cell>
        </row>
        <row r="249">
          <cell r="X249">
            <v>0</v>
          </cell>
        </row>
        <row r="250">
          <cell r="X250">
            <v>0</v>
          </cell>
        </row>
        <row r="251">
          <cell r="X251">
            <v>0</v>
          </cell>
        </row>
        <row r="252">
          <cell r="X252">
            <v>0</v>
          </cell>
        </row>
        <row r="253">
          <cell r="X253">
            <v>0</v>
          </cell>
        </row>
        <row r="254">
          <cell r="E254" t="str">
            <v xml:space="preserve"> Contract  Administrator</v>
          </cell>
        </row>
        <row r="255">
          <cell r="C255">
            <v>57</v>
          </cell>
          <cell r="E255" t="str">
            <v>SALARIED SUPERVISION  CARRIED TO SUMMARY</v>
          </cell>
        </row>
        <row r="256">
          <cell r="C256">
            <v>89</v>
          </cell>
          <cell r="E256" t="str">
            <v>NON - MECHANICAL PLANT CARRIED TO SUMMARY</v>
          </cell>
        </row>
        <row r="257">
          <cell r="C257">
            <v>116</v>
          </cell>
          <cell r="E257" t="str">
            <v>SCAFFOLDING    CARRIED TO SUMMARY</v>
          </cell>
        </row>
        <row r="258">
          <cell r="C258">
            <v>121</v>
          </cell>
          <cell r="E258" t="str">
            <v>SECURITY  CARRIED TO SUMMARY</v>
          </cell>
        </row>
        <row r="259">
          <cell r="C259">
            <v>142</v>
          </cell>
          <cell r="E259" t="str">
            <v>TELEPHONE / FAX    CARRIED TO SUMMARY</v>
          </cell>
        </row>
        <row r="261">
          <cell r="X261">
            <v>0</v>
          </cell>
        </row>
        <row r="262">
          <cell r="X262">
            <v>0</v>
          </cell>
        </row>
        <row r="263">
          <cell r="X263">
            <v>0</v>
          </cell>
        </row>
        <row r="264">
          <cell r="C264">
            <v>147</v>
          </cell>
          <cell r="X264">
            <v>0</v>
          </cell>
        </row>
        <row r="265">
          <cell r="C265">
            <v>150</v>
          </cell>
          <cell r="X265">
            <v>0</v>
          </cell>
        </row>
        <row r="266">
          <cell r="C266">
            <v>152</v>
          </cell>
          <cell r="E266" t="str">
            <v>TEMPORARY ROADS  CARRIED TO SUMMARY</v>
          </cell>
          <cell r="H266">
            <v>0</v>
          </cell>
          <cell r="K266">
            <v>0</v>
          </cell>
          <cell r="N266">
            <v>0</v>
          </cell>
          <cell r="Q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</row>
        <row r="267">
          <cell r="C267">
            <v>176</v>
          </cell>
          <cell r="E267" t="str">
            <v>SUNDRIES    CARRIED TO SUMMARY</v>
          </cell>
          <cell r="H267">
            <v>0</v>
          </cell>
          <cell r="K267">
            <v>0</v>
          </cell>
          <cell r="N267">
            <v>0</v>
          </cell>
          <cell r="Q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</row>
        <row r="268">
          <cell r="X268">
            <v>0</v>
          </cell>
        </row>
        <row r="269">
          <cell r="X269">
            <v>0</v>
          </cell>
        </row>
        <row r="270">
          <cell r="X270">
            <v>0</v>
          </cell>
        </row>
        <row r="271">
          <cell r="X271">
            <v>0</v>
          </cell>
        </row>
        <row r="272">
          <cell r="X272">
            <v>0</v>
          </cell>
        </row>
        <row r="273">
          <cell r="X273">
            <v>0</v>
          </cell>
        </row>
        <row r="274">
          <cell r="X274">
            <v>0</v>
          </cell>
        </row>
        <row r="275">
          <cell r="X275">
            <v>0</v>
          </cell>
        </row>
        <row r="276">
          <cell r="X276">
            <v>0</v>
          </cell>
        </row>
        <row r="277">
          <cell r="X277">
            <v>0</v>
          </cell>
        </row>
        <row r="278">
          <cell r="X278">
            <v>0</v>
          </cell>
        </row>
        <row r="279">
          <cell r="X279">
            <v>0</v>
          </cell>
        </row>
        <row r="280">
          <cell r="X280">
            <v>0</v>
          </cell>
        </row>
        <row r="281">
          <cell r="X281">
            <v>0</v>
          </cell>
        </row>
        <row r="282">
          <cell r="X282">
            <v>0</v>
          </cell>
        </row>
        <row r="283">
          <cell r="X283">
            <v>0</v>
          </cell>
        </row>
        <row r="284">
          <cell r="X284">
            <v>0</v>
          </cell>
        </row>
        <row r="285">
          <cell r="X285">
            <v>0</v>
          </cell>
        </row>
        <row r="286">
          <cell r="X286">
            <v>0</v>
          </cell>
        </row>
        <row r="287">
          <cell r="X287">
            <v>0</v>
          </cell>
        </row>
        <row r="288">
          <cell r="X288">
            <v>0</v>
          </cell>
        </row>
        <row r="289">
          <cell r="X289">
            <v>0</v>
          </cell>
        </row>
        <row r="290">
          <cell r="X290">
            <v>0</v>
          </cell>
        </row>
        <row r="291">
          <cell r="X291">
            <v>0</v>
          </cell>
        </row>
        <row r="292">
          <cell r="X292">
            <v>0</v>
          </cell>
        </row>
        <row r="293">
          <cell r="X293">
            <v>0</v>
          </cell>
        </row>
        <row r="294">
          <cell r="X294">
            <v>0</v>
          </cell>
        </row>
        <row r="295">
          <cell r="X295">
            <v>0</v>
          </cell>
        </row>
        <row r="296">
          <cell r="X296">
            <v>0</v>
          </cell>
        </row>
        <row r="297">
          <cell r="X297">
            <v>0</v>
          </cell>
        </row>
        <row r="298">
          <cell r="X298">
            <v>0</v>
          </cell>
        </row>
        <row r="299">
          <cell r="X299">
            <v>0</v>
          </cell>
        </row>
        <row r="300">
          <cell r="X300">
            <v>0</v>
          </cell>
        </row>
        <row r="301">
          <cell r="X301">
            <v>0</v>
          </cell>
        </row>
        <row r="302">
          <cell r="X302">
            <v>0</v>
          </cell>
        </row>
        <row r="303">
          <cell r="X303">
            <v>0</v>
          </cell>
        </row>
        <row r="304">
          <cell r="X304">
            <v>0</v>
          </cell>
        </row>
        <row r="305">
          <cell r="X305">
            <v>0</v>
          </cell>
        </row>
        <row r="306">
          <cell r="X306">
            <v>0</v>
          </cell>
        </row>
        <row r="307">
          <cell r="X307">
            <v>0</v>
          </cell>
        </row>
        <row r="308">
          <cell r="X308">
            <v>0</v>
          </cell>
        </row>
        <row r="309">
          <cell r="X309">
            <v>0</v>
          </cell>
        </row>
        <row r="310">
          <cell r="X310">
            <v>0</v>
          </cell>
        </row>
        <row r="311">
          <cell r="X311">
            <v>0</v>
          </cell>
        </row>
        <row r="312">
          <cell r="X312">
            <v>0</v>
          </cell>
        </row>
        <row r="313">
          <cell r="X313">
            <v>0</v>
          </cell>
        </row>
        <row r="314">
          <cell r="X314">
            <v>0</v>
          </cell>
        </row>
        <row r="315">
          <cell r="X315">
            <v>0</v>
          </cell>
        </row>
        <row r="316">
          <cell r="X316">
            <v>0</v>
          </cell>
        </row>
        <row r="317">
          <cell r="X317">
            <v>0</v>
          </cell>
        </row>
        <row r="318">
          <cell r="X318">
            <v>0</v>
          </cell>
        </row>
        <row r="319">
          <cell r="X319">
            <v>0</v>
          </cell>
        </row>
        <row r="320">
          <cell r="X320">
            <v>0</v>
          </cell>
        </row>
        <row r="321">
          <cell r="X321">
            <v>0</v>
          </cell>
        </row>
        <row r="322">
          <cell r="X322">
            <v>0</v>
          </cell>
        </row>
        <row r="323">
          <cell r="X323">
            <v>0</v>
          </cell>
        </row>
        <row r="324">
          <cell r="X324">
            <v>0</v>
          </cell>
        </row>
        <row r="325">
          <cell r="X325">
            <v>0</v>
          </cell>
        </row>
        <row r="326">
          <cell r="X326">
            <v>0</v>
          </cell>
        </row>
        <row r="327">
          <cell r="X327">
            <v>0</v>
          </cell>
        </row>
        <row r="328">
          <cell r="X328">
            <v>0</v>
          </cell>
        </row>
        <row r="329">
          <cell r="X329">
            <v>0</v>
          </cell>
        </row>
        <row r="330">
          <cell r="X330">
            <v>0</v>
          </cell>
        </row>
        <row r="331">
          <cell r="X331">
            <v>0</v>
          </cell>
        </row>
        <row r="332">
          <cell r="X332">
            <v>0</v>
          </cell>
        </row>
        <row r="333">
          <cell r="X333">
            <v>0</v>
          </cell>
        </row>
        <row r="334">
          <cell r="X334">
            <v>0</v>
          </cell>
        </row>
        <row r="335">
          <cell r="X335">
            <v>0</v>
          </cell>
        </row>
        <row r="336">
          <cell r="X336">
            <v>0</v>
          </cell>
        </row>
        <row r="337">
          <cell r="X337">
            <v>0</v>
          </cell>
        </row>
        <row r="338">
          <cell r="X338">
            <v>0</v>
          </cell>
        </row>
        <row r="339">
          <cell r="X339">
            <v>0</v>
          </cell>
        </row>
        <row r="340">
          <cell r="X340">
            <v>0</v>
          </cell>
        </row>
        <row r="341">
          <cell r="X341">
            <v>0</v>
          </cell>
        </row>
        <row r="342">
          <cell r="X342">
            <v>0</v>
          </cell>
        </row>
        <row r="343">
          <cell r="X343">
            <v>0</v>
          </cell>
        </row>
        <row r="344">
          <cell r="X344">
            <v>0</v>
          </cell>
        </row>
        <row r="345">
          <cell r="X345">
            <v>0</v>
          </cell>
        </row>
        <row r="346">
          <cell r="X346">
            <v>0</v>
          </cell>
        </row>
        <row r="347">
          <cell r="X347">
            <v>0</v>
          </cell>
        </row>
        <row r="348">
          <cell r="X348">
            <v>0</v>
          </cell>
        </row>
        <row r="349">
          <cell r="X349">
            <v>0</v>
          </cell>
        </row>
        <row r="350">
          <cell r="X350">
            <v>0</v>
          </cell>
        </row>
        <row r="351">
          <cell r="X351">
            <v>0</v>
          </cell>
        </row>
        <row r="352">
          <cell r="X352">
            <v>0</v>
          </cell>
        </row>
        <row r="353">
          <cell r="X353">
            <v>0</v>
          </cell>
        </row>
        <row r="354">
          <cell r="X354">
            <v>0</v>
          </cell>
        </row>
        <row r="355">
          <cell r="X355">
            <v>0</v>
          </cell>
        </row>
        <row r="356">
          <cell r="X356">
            <v>0</v>
          </cell>
        </row>
        <row r="357">
          <cell r="X357">
            <v>0</v>
          </cell>
        </row>
        <row r="358">
          <cell r="X358">
            <v>0</v>
          </cell>
        </row>
        <row r="359">
          <cell r="X359">
            <v>0</v>
          </cell>
        </row>
        <row r="360">
          <cell r="X360">
            <v>0</v>
          </cell>
        </row>
        <row r="361">
          <cell r="X361">
            <v>0</v>
          </cell>
        </row>
        <row r="362">
          <cell r="X362">
            <v>0</v>
          </cell>
        </row>
        <row r="363">
          <cell r="X363">
            <v>0</v>
          </cell>
        </row>
        <row r="364">
          <cell r="X364">
            <v>0</v>
          </cell>
        </row>
        <row r="365">
          <cell r="X365">
            <v>0</v>
          </cell>
        </row>
        <row r="366">
          <cell r="X366">
            <v>0</v>
          </cell>
        </row>
        <row r="367">
          <cell r="X367">
            <v>0</v>
          </cell>
        </row>
        <row r="368">
          <cell r="X368">
            <v>0</v>
          </cell>
        </row>
        <row r="369">
          <cell r="X369">
            <v>0</v>
          </cell>
        </row>
        <row r="370">
          <cell r="X370">
            <v>0</v>
          </cell>
        </row>
        <row r="371">
          <cell r="X371">
            <v>0</v>
          </cell>
        </row>
        <row r="372">
          <cell r="X372">
            <v>0</v>
          </cell>
        </row>
        <row r="373">
          <cell r="X373">
            <v>0</v>
          </cell>
        </row>
        <row r="374">
          <cell r="X374">
            <v>0</v>
          </cell>
        </row>
        <row r="375">
          <cell r="X375">
            <v>0</v>
          </cell>
        </row>
        <row r="376">
          <cell r="X376">
            <v>0</v>
          </cell>
        </row>
        <row r="377">
          <cell r="X377">
            <v>0</v>
          </cell>
        </row>
        <row r="378">
          <cell r="X378">
            <v>0</v>
          </cell>
        </row>
        <row r="379">
          <cell r="X379">
            <v>0</v>
          </cell>
        </row>
        <row r="380">
          <cell r="X380">
            <v>0</v>
          </cell>
        </row>
        <row r="381">
          <cell r="X381">
            <v>0</v>
          </cell>
        </row>
        <row r="382">
          <cell r="X382">
            <v>0</v>
          </cell>
        </row>
        <row r="383">
          <cell r="X383">
            <v>0</v>
          </cell>
        </row>
        <row r="384">
          <cell r="X384">
            <v>0</v>
          </cell>
        </row>
        <row r="385">
          <cell r="X385">
            <v>0</v>
          </cell>
        </row>
        <row r="386">
          <cell r="X386">
            <v>0</v>
          </cell>
        </row>
        <row r="387">
          <cell r="X387">
            <v>0</v>
          </cell>
        </row>
        <row r="388">
          <cell r="X388">
            <v>0</v>
          </cell>
        </row>
        <row r="389">
          <cell r="X389">
            <v>0</v>
          </cell>
        </row>
        <row r="390">
          <cell r="X390">
            <v>0</v>
          </cell>
        </row>
        <row r="391">
          <cell r="X391">
            <v>0</v>
          </cell>
        </row>
        <row r="392">
          <cell r="X392">
            <v>0</v>
          </cell>
        </row>
        <row r="393">
          <cell r="X393">
            <v>0</v>
          </cell>
        </row>
        <row r="394">
          <cell r="X394">
            <v>0</v>
          </cell>
        </row>
        <row r="395">
          <cell r="X395">
            <v>0</v>
          </cell>
        </row>
        <row r="396">
          <cell r="X396">
            <v>0</v>
          </cell>
        </row>
        <row r="397">
          <cell r="X397">
            <v>0</v>
          </cell>
        </row>
        <row r="398">
          <cell r="X398">
            <v>0</v>
          </cell>
        </row>
        <row r="399">
          <cell r="X399">
            <v>0</v>
          </cell>
        </row>
        <row r="400">
          <cell r="X400">
            <v>0</v>
          </cell>
        </row>
        <row r="401">
          <cell r="X401">
            <v>0</v>
          </cell>
        </row>
        <row r="402">
          <cell r="X402">
            <v>0</v>
          </cell>
        </row>
        <row r="403">
          <cell r="X403">
            <v>0</v>
          </cell>
        </row>
        <row r="404">
          <cell r="X404">
            <v>0</v>
          </cell>
        </row>
        <row r="405">
          <cell r="X405">
            <v>0</v>
          </cell>
        </row>
        <row r="406">
          <cell r="X406">
            <v>0</v>
          </cell>
        </row>
        <row r="407">
          <cell r="X407">
            <v>0</v>
          </cell>
        </row>
        <row r="408">
          <cell r="X408">
            <v>0</v>
          </cell>
        </row>
        <row r="409">
          <cell r="X409">
            <v>0</v>
          </cell>
        </row>
        <row r="410">
          <cell r="X410">
            <v>0</v>
          </cell>
        </row>
        <row r="411">
          <cell r="X411">
            <v>0</v>
          </cell>
        </row>
        <row r="412">
          <cell r="X412">
            <v>0</v>
          </cell>
        </row>
        <row r="413">
          <cell r="X413">
            <v>0</v>
          </cell>
        </row>
        <row r="414">
          <cell r="X414">
            <v>0</v>
          </cell>
        </row>
        <row r="415">
          <cell r="X415">
            <v>0</v>
          </cell>
        </row>
        <row r="416">
          <cell r="X416">
            <v>0</v>
          </cell>
        </row>
        <row r="417">
          <cell r="X417">
            <v>0</v>
          </cell>
        </row>
        <row r="418">
          <cell r="X418">
            <v>0</v>
          </cell>
        </row>
        <row r="419">
          <cell r="X419">
            <v>0</v>
          </cell>
        </row>
        <row r="420">
          <cell r="X420">
            <v>0</v>
          </cell>
        </row>
        <row r="421">
          <cell r="X421">
            <v>0</v>
          </cell>
        </row>
        <row r="422">
          <cell r="X422">
            <v>0</v>
          </cell>
        </row>
        <row r="423">
          <cell r="X423">
            <v>0</v>
          </cell>
        </row>
        <row r="424">
          <cell r="X424">
            <v>0</v>
          </cell>
        </row>
        <row r="425">
          <cell r="X425">
            <v>0</v>
          </cell>
        </row>
        <row r="426">
          <cell r="X426">
            <v>0</v>
          </cell>
        </row>
        <row r="427">
          <cell r="X427">
            <v>0</v>
          </cell>
        </row>
        <row r="428">
          <cell r="X428">
            <v>0</v>
          </cell>
        </row>
        <row r="429">
          <cell r="X429">
            <v>0</v>
          </cell>
        </row>
        <row r="430">
          <cell r="X430">
            <v>0</v>
          </cell>
        </row>
        <row r="431">
          <cell r="X431">
            <v>0</v>
          </cell>
        </row>
        <row r="432">
          <cell r="X432">
            <v>0</v>
          </cell>
        </row>
        <row r="433">
          <cell r="X433">
            <v>0</v>
          </cell>
        </row>
        <row r="434">
          <cell r="X434">
            <v>0</v>
          </cell>
        </row>
        <row r="435">
          <cell r="X435">
            <v>0</v>
          </cell>
        </row>
        <row r="436">
          <cell r="X436">
            <v>0</v>
          </cell>
        </row>
        <row r="437">
          <cell r="X437">
            <v>0</v>
          </cell>
        </row>
        <row r="438">
          <cell r="X438">
            <v>0</v>
          </cell>
        </row>
        <row r="439">
          <cell r="X439">
            <v>0</v>
          </cell>
        </row>
        <row r="440">
          <cell r="X440">
            <v>0</v>
          </cell>
        </row>
        <row r="441">
          <cell r="X441">
            <v>0</v>
          </cell>
        </row>
        <row r="442">
          <cell r="X442">
            <v>0</v>
          </cell>
        </row>
        <row r="443">
          <cell r="X443">
            <v>0</v>
          </cell>
        </row>
        <row r="444">
          <cell r="X444">
            <v>0</v>
          </cell>
        </row>
        <row r="445">
          <cell r="X445">
            <v>0</v>
          </cell>
        </row>
        <row r="446">
          <cell r="X446">
            <v>0</v>
          </cell>
        </row>
        <row r="447">
          <cell r="X447">
            <v>0</v>
          </cell>
        </row>
        <row r="448">
          <cell r="X448">
            <v>0</v>
          </cell>
        </row>
        <row r="449">
          <cell r="X449">
            <v>0</v>
          </cell>
        </row>
        <row r="450">
          <cell r="X450">
            <v>0</v>
          </cell>
        </row>
        <row r="451">
          <cell r="X451">
            <v>0</v>
          </cell>
        </row>
        <row r="452">
          <cell r="X452">
            <v>0</v>
          </cell>
        </row>
        <row r="453">
          <cell r="X453">
            <v>0</v>
          </cell>
        </row>
        <row r="454">
          <cell r="X454">
            <v>0</v>
          </cell>
        </row>
        <row r="455">
          <cell r="X455">
            <v>0</v>
          </cell>
        </row>
        <row r="456">
          <cell r="X456">
            <v>0</v>
          </cell>
        </row>
        <row r="457">
          <cell r="X457">
            <v>0</v>
          </cell>
        </row>
        <row r="458">
          <cell r="X458">
            <v>0</v>
          </cell>
        </row>
        <row r="459">
          <cell r="X459">
            <v>0</v>
          </cell>
        </row>
        <row r="460">
          <cell r="X460">
            <v>0</v>
          </cell>
        </row>
        <row r="461">
          <cell r="X461">
            <v>0</v>
          </cell>
        </row>
        <row r="462">
          <cell r="X462">
            <v>0</v>
          </cell>
        </row>
        <row r="463">
          <cell r="X463">
            <v>0</v>
          </cell>
        </row>
        <row r="464">
          <cell r="X464">
            <v>0</v>
          </cell>
        </row>
        <row r="465">
          <cell r="X465">
            <v>0</v>
          </cell>
        </row>
        <row r="466">
          <cell r="X466">
            <v>0</v>
          </cell>
        </row>
        <row r="467">
          <cell r="X467">
            <v>0</v>
          </cell>
        </row>
        <row r="468">
          <cell r="X468">
            <v>0</v>
          </cell>
        </row>
        <row r="469">
          <cell r="X469">
            <v>0</v>
          </cell>
        </row>
        <row r="470">
          <cell r="X470">
            <v>0</v>
          </cell>
        </row>
        <row r="471">
          <cell r="X471">
            <v>0</v>
          </cell>
        </row>
        <row r="472">
          <cell r="X472">
            <v>0</v>
          </cell>
        </row>
        <row r="473">
          <cell r="X473">
            <v>0</v>
          </cell>
        </row>
        <row r="474">
          <cell r="X474">
            <v>0</v>
          </cell>
        </row>
        <row r="475">
          <cell r="X475">
            <v>0</v>
          </cell>
        </row>
        <row r="476">
          <cell r="X476">
            <v>0</v>
          </cell>
        </row>
        <row r="477">
          <cell r="X477">
            <v>0</v>
          </cell>
        </row>
        <row r="478">
          <cell r="X478">
            <v>0</v>
          </cell>
        </row>
        <row r="479">
          <cell r="X479">
            <v>0</v>
          </cell>
        </row>
        <row r="480">
          <cell r="X480">
            <v>0</v>
          </cell>
        </row>
        <row r="481">
          <cell r="X481">
            <v>0</v>
          </cell>
        </row>
        <row r="482">
          <cell r="X482">
            <v>0</v>
          </cell>
        </row>
        <row r="483">
          <cell r="X483">
            <v>0</v>
          </cell>
        </row>
        <row r="484">
          <cell r="X484">
            <v>0</v>
          </cell>
        </row>
        <row r="485">
          <cell r="X485">
            <v>0</v>
          </cell>
        </row>
        <row r="486">
          <cell r="X486">
            <v>0</v>
          </cell>
        </row>
        <row r="487">
          <cell r="X487">
            <v>0</v>
          </cell>
        </row>
        <row r="488">
          <cell r="X488">
            <v>0</v>
          </cell>
        </row>
        <row r="489">
          <cell r="X489">
            <v>0</v>
          </cell>
        </row>
        <row r="490">
          <cell r="X490">
            <v>0</v>
          </cell>
        </row>
        <row r="491">
          <cell r="X491">
            <v>0</v>
          </cell>
        </row>
        <row r="492">
          <cell r="X492">
            <v>0</v>
          </cell>
        </row>
        <row r="493">
          <cell r="X493">
            <v>0</v>
          </cell>
        </row>
        <row r="494">
          <cell r="X494">
            <v>0</v>
          </cell>
        </row>
        <row r="495">
          <cell r="X495">
            <v>0</v>
          </cell>
        </row>
        <row r="496">
          <cell r="X496">
            <v>0</v>
          </cell>
        </row>
        <row r="497">
          <cell r="X497">
            <v>0</v>
          </cell>
        </row>
        <row r="498">
          <cell r="X498">
            <v>0</v>
          </cell>
        </row>
        <row r="499">
          <cell r="X499">
            <v>0</v>
          </cell>
        </row>
        <row r="500">
          <cell r="X500">
            <v>0</v>
          </cell>
        </row>
        <row r="501">
          <cell r="X501">
            <v>0</v>
          </cell>
        </row>
        <row r="502">
          <cell r="X502">
            <v>0</v>
          </cell>
        </row>
        <row r="503">
          <cell r="X503">
            <v>0</v>
          </cell>
        </row>
        <row r="504">
          <cell r="X504">
            <v>0</v>
          </cell>
        </row>
        <row r="505">
          <cell r="X505">
            <v>0</v>
          </cell>
        </row>
        <row r="506">
          <cell r="X506">
            <v>0</v>
          </cell>
        </row>
        <row r="507">
          <cell r="X507">
            <v>0</v>
          </cell>
        </row>
        <row r="508">
          <cell r="X508">
            <v>0</v>
          </cell>
        </row>
        <row r="509">
          <cell r="X509">
            <v>0</v>
          </cell>
        </row>
        <row r="510">
          <cell r="X510">
            <v>0</v>
          </cell>
        </row>
        <row r="511">
          <cell r="X511">
            <v>0</v>
          </cell>
        </row>
        <row r="512">
          <cell r="X512">
            <v>0</v>
          </cell>
        </row>
        <row r="513">
          <cell r="X513">
            <v>0</v>
          </cell>
        </row>
        <row r="514">
          <cell r="X514">
            <v>0</v>
          </cell>
        </row>
        <row r="515">
          <cell r="X515">
            <v>0</v>
          </cell>
        </row>
        <row r="516">
          <cell r="X516">
            <v>0</v>
          </cell>
        </row>
        <row r="517">
          <cell r="X517">
            <v>0</v>
          </cell>
        </row>
        <row r="518">
          <cell r="X518">
            <v>0</v>
          </cell>
        </row>
        <row r="519">
          <cell r="X519">
            <v>0</v>
          </cell>
        </row>
        <row r="520">
          <cell r="X520">
            <v>0</v>
          </cell>
        </row>
        <row r="521">
          <cell r="X521">
            <v>0</v>
          </cell>
        </row>
        <row r="522">
          <cell r="X522">
            <v>0</v>
          </cell>
        </row>
        <row r="523">
          <cell r="X523">
            <v>0</v>
          </cell>
        </row>
        <row r="524">
          <cell r="X524">
            <v>0</v>
          </cell>
        </row>
        <row r="525">
          <cell r="X525">
            <v>0</v>
          </cell>
        </row>
        <row r="526">
          <cell r="X526">
            <v>0</v>
          </cell>
        </row>
        <row r="527">
          <cell r="X527">
            <v>0</v>
          </cell>
        </row>
        <row r="528">
          <cell r="X528">
            <v>0</v>
          </cell>
        </row>
        <row r="529">
          <cell r="X529">
            <v>0</v>
          </cell>
        </row>
        <row r="530">
          <cell r="X530">
            <v>0</v>
          </cell>
        </row>
        <row r="531">
          <cell r="X531">
            <v>0</v>
          </cell>
        </row>
        <row r="532">
          <cell r="X532">
            <v>0</v>
          </cell>
        </row>
        <row r="533">
          <cell r="X533">
            <v>0</v>
          </cell>
        </row>
        <row r="534">
          <cell r="X534">
            <v>0</v>
          </cell>
        </row>
        <row r="535">
          <cell r="X535">
            <v>0</v>
          </cell>
        </row>
        <row r="536">
          <cell r="X536">
            <v>0</v>
          </cell>
        </row>
        <row r="537">
          <cell r="X537">
            <v>0</v>
          </cell>
        </row>
        <row r="538">
          <cell r="X538">
            <v>0</v>
          </cell>
        </row>
        <row r="539">
          <cell r="X539">
            <v>0</v>
          </cell>
        </row>
        <row r="540">
          <cell r="X540">
            <v>0</v>
          </cell>
        </row>
        <row r="541">
          <cell r="X541">
            <v>0</v>
          </cell>
        </row>
        <row r="542">
          <cell r="X542">
            <v>0</v>
          </cell>
        </row>
        <row r="543">
          <cell r="X543">
            <v>0</v>
          </cell>
        </row>
        <row r="544">
          <cell r="X544">
            <v>0</v>
          </cell>
        </row>
        <row r="545">
          <cell r="X545">
            <v>0</v>
          </cell>
        </row>
        <row r="546">
          <cell r="X546">
            <v>0</v>
          </cell>
        </row>
        <row r="547">
          <cell r="X547">
            <v>0</v>
          </cell>
        </row>
        <row r="548">
          <cell r="X548">
            <v>0</v>
          </cell>
        </row>
        <row r="549">
          <cell r="X549">
            <v>0</v>
          </cell>
        </row>
        <row r="550">
          <cell r="X550">
            <v>0</v>
          </cell>
        </row>
        <row r="551">
          <cell r="X551">
            <v>0</v>
          </cell>
        </row>
        <row r="552">
          <cell r="X552">
            <v>0</v>
          </cell>
        </row>
        <row r="553">
          <cell r="X553">
            <v>0</v>
          </cell>
        </row>
        <row r="554">
          <cell r="X554">
            <v>0</v>
          </cell>
        </row>
        <row r="555">
          <cell r="X555">
            <v>0</v>
          </cell>
        </row>
        <row r="556">
          <cell r="X556">
            <v>0</v>
          </cell>
        </row>
        <row r="557">
          <cell r="X557">
            <v>0</v>
          </cell>
        </row>
        <row r="558">
          <cell r="X558">
            <v>0</v>
          </cell>
        </row>
        <row r="559">
          <cell r="X559">
            <v>0</v>
          </cell>
        </row>
        <row r="560">
          <cell r="X560">
            <v>0</v>
          </cell>
        </row>
        <row r="561">
          <cell r="X561">
            <v>0</v>
          </cell>
        </row>
        <row r="562">
          <cell r="X562">
            <v>0</v>
          </cell>
        </row>
        <row r="563">
          <cell r="X563">
            <v>0</v>
          </cell>
        </row>
        <row r="564">
          <cell r="X564">
            <v>0</v>
          </cell>
        </row>
        <row r="565">
          <cell r="X565">
            <v>0</v>
          </cell>
        </row>
        <row r="566">
          <cell r="X566">
            <v>0</v>
          </cell>
        </row>
        <row r="567">
          <cell r="X567">
            <v>0</v>
          </cell>
        </row>
        <row r="568">
          <cell r="X568">
            <v>0</v>
          </cell>
        </row>
        <row r="569">
          <cell r="X569">
            <v>0</v>
          </cell>
        </row>
        <row r="570">
          <cell r="X570">
            <v>0</v>
          </cell>
        </row>
        <row r="571">
          <cell r="X571">
            <v>0</v>
          </cell>
        </row>
        <row r="572">
          <cell r="X572">
            <v>0</v>
          </cell>
        </row>
        <row r="573">
          <cell r="X573">
            <v>0</v>
          </cell>
        </row>
        <row r="574">
          <cell r="X574">
            <v>0</v>
          </cell>
        </row>
        <row r="575">
          <cell r="X575">
            <v>0</v>
          </cell>
        </row>
        <row r="576">
          <cell r="X576">
            <v>0</v>
          </cell>
        </row>
        <row r="577">
          <cell r="X577">
            <v>0</v>
          </cell>
        </row>
        <row r="578">
          <cell r="X578">
            <v>0</v>
          </cell>
        </row>
        <row r="579">
          <cell r="X579">
            <v>0</v>
          </cell>
        </row>
        <row r="580">
          <cell r="X580">
            <v>0</v>
          </cell>
        </row>
        <row r="581">
          <cell r="X581">
            <v>0</v>
          </cell>
        </row>
        <row r="582">
          <cell r="X582">
            <v>0</v>
          </cell>
        </row>
        <row r="583">
          <cell r="X583">
            <v>0</v>
          </cell>
        </row>
        <row r="584">
          <cell r="X584">
            <v>0</v>
          </cell>
        </row>
        <row r="585">
          <cell r="X585">
            <v>0</v>
          </cell>
        </row>
        <row r="586">
          <cell r="X586">
            <v>0</v>
          </cell>
        </row>
        <row r="587">
          <cell r="X587">
            <v>0</v>
          </cell>
        </row>
        <row r="588">
          <cell r="X588">
            <v>0</v>
          </cell>
        </row>
        <row r="589">
          <cell r="X589">
            <v>0</v>
          </cell>
        </row>
        <row r="590">
          <cell r="X590">
            <v>0</v>
          </cell>
        </row>
        <row r="591">
          <cell r="X591">
            <v>0</v>
          </cell>
        </row>
        <row r="592">
          <cell r="X592">
            <v>0</v>
          </cell>
        </row>
        <row r="593">
          <cell r="X593">
            <v>0</v>
          </cell>
        </row>
        <row r="594">
          <cell r="X594">
            <v>0</v>
          </cell>
        </row>
        <row r="595">
          <cell r="X595">
            <v>0</v>
          </cell>
        </row>
        <row r="596">
          <cell r="X596">
            <v>0</v>
          </cell>
        </row>
        <row r="597">
          <cell r="X597">
            <v>0</v>
          </cell>
        </row>
        <row r="598">
          <cell r="X598">
            <v>0</v>
          </cell>
        </row>
        <row r="599">
          <cell r="X599">
            <v>0</v>
          </cell>
        </row>
        <row r="600">
          <cell r="X600">
            <v>0</v>
          </cell>
        </row>
        <row r="601">
          <cell r="X601">
            <v>0</v>
          </cell>
        </row>
        <row r="602">
          <cell r="X602">
            <v>0</v>
          </cell>
        </row>
        <row r="603">
          <cell r="X603">
            <v>0</v>
          </cell>
        </row>
        <row r="604">
          <cell r="X604">
            <v>0</v>
          </cell>
        </row>
        <row r="605">
          <cell r="X605">
            <v>0</v>
          </cell>
        </row>
        <row r="606">
          <cell r="X606">
            <v>0</v>
          </cell>
        </row>
        <row r="607">
          <cell r="X607">
            <v>0</v>
          </cell>
        </row>
        <row r="608">
          <cell r="X608">
            <v>0</v>
          </cell>
        </row>
        <row r="609">
          <cell r="X609">
            <v>0</v>
          </cell>
        </row>
        <row r="610">
          <cell r="X610">
            <v>0</v>
          </cell>
        </row>
        <row r="611">
          <cell r="X611">
            <v>0</v>
          </cell>
        </row>
        <row r="612">
          <cell r="X612">
            <v>0</v>
          </cell>
        </row>
        <row r="613">
          <cell r="X613">
            <v>0</v>
          </cell>
        </row>
        <row r="614">
          <cell r="X614">
            <v>0</v>
          </cell>
        </row>
        <row r="615">
          <cell r="X615">
            <v>0</v>
          </cell>
        </row>
        <row r="616">
          <cell r="X616">
            <v>0</v>
          </cell>
        </row>
        <row r="617">
          <cell r="X617">
            <v>0</v>
          </cell>
        </row>
        <row r="618">
          <cell r="X618">
            <v>0</v>
          </cell>
        </row>
        <row r="619">
          <cell r="X619">
            <v>0</v>
          </cell>
        </row>
        <row r="620">
          <cell r="X620">
            <v>0</v>
          </cell>
        </row>
        <row r="621">
          <cell r="X621">
            <v>0</v>
          </cell>
        </row>
        <row r="622">
          <cell r="X622">
            <v>0</v>
          </cell>
        </row>
        <row r="623">
          <cell r="X623">
            <v>0</v>
          </cell>
        </row>
        <row r="624">
          <cell r="X624">
            <v>0</v>
          </cell>
        </row>
        <row r="625">
          <cell r="X625">
            <v>0</v>
          </cell>
        </row>
        <row r="626">
          <cell r="X626">
            <v>0</v>
          </cell>
        </row>
        <row r="627">
          <cell r="X627">
            <v>0</v>
          </cell>
        </row>
        <row r="628">
          <cell r="X628">
            <v>0</v>
          </cell>
        </row>
        <row r="629">
          <cell r="X629">
            <v>0</v>
          </cell>
        </row>
        <row r="630">
          <cell r="X630">
            <v>0</v>
          </cell>
        </row>
        <row r="631">
          <cell r="X631">
            <v>0</v>
          </cell>
        </row>
        <row r="632">
          <cell r="X632">
            <v>0</v>
          </cell>
        </row>
        <row r="633">
          <cell r="X633">
            <v>0</v>
          </cell>
        </row>
        <row r="634">
          <cell r="X634">
            <v>0</v>
          </cell>
        </row>
        <row r="635">
          <cell r="X635">
            <v>0</v>
          </cell>
        </row>
        <row r="636">
          <cell r="X636">
            <v>0</v>
          </cell>
        </row>
        <row r="637">
          <cell r="X637">
            <v>0</v>
          </cell>
        </row>
        <row r="638">
          <cell r="X638">
            <v>0</v>
          </cell>
        </row>
        <row r="639">
          <cell r="X639">
            <v>0</v>
          </cell>
        </row>
        <row r="640">
          <cell r="X640">
            <v>0</v>
          </cell>
        </row>
        <row r="641">
          <cell r="X641">
            <v>0</v>
          </cell>
        </row>
        <row r="642">
          <cell r="X642">
            <v>0</v>
          </cell>
        </row>
        <row r="643">
          <cell r="X643">
            <v>0</v>
          </cell>
        </row>
        <row r="644">
          <cell r="X644">
            <v>0</v>
          </cell>
        </row>
        <row r="645">
          <cell r="X645">
            <v>0</v>
          </cell>
        </row>
        <row r="646">
          <cell r="X646">
            <v>0</v>
          </cell>
        </row>
        <row r="647">
          <cell r="X647">
            <v>0</v>
          </cell>
        </row>
        <row r="648">
          <cell r="X648">
            <v>0</v>
          </cell>
        </row>
        <row r="649">
          <cell r="X649">
            <v>0</v>
          </cell>
        </row>
        <row r="650">
          <cell r="X650">
            <v>0</v>
          </cell>
        </row>
        <row r="651">
          <cell r="X651">
            <v>0</v>
          </cell>
        </row>
        <row r="652">
          <cell r="X652">
            <v>0</v>
          </cell>
        </row>
        <row r="653">
          <cell r="X653">
            <v>0</v>
          </cell>
        </row>
        <row r="654">
          <cell r="X654">
            <v>0</v>
          </cell>
        </row>
        <row r="655">
          <cell r="X655">
            <v>0</v>
          </cell>
        </row>
        <row r="656">
          <cell r="X656">
            <v>0</v>
          </cell>
        </row>
        <row r="657">
          <cell r="X657">
            <v>0</v>
          </cell>
        </row>
        <row r="658">
          <cell r="X658">
            <v>0</v>
          </cell>
        </row>
        <row r="659">
          <cell r="X659">
            <v>0</v>
          </cell>
        </row>
        <row r="660">
          <cell r="X660">
            <v>0</v>
          </cell>
        </row>
        <row r="661">
          <cell r="X661">
            <v>0</v>
          </cell>
        </row>
        <row r="662">
          <cell r="X662">
            <v>0</v>
          </cell>
        </row>
        <row r="663">
          <cell r="X663">
            <v>0</v>
          </cell>
        </row>
        <row r="664">
          <cell r="X664">
            <v>0</v>
          </cell>
        </row>
        <row r="665">
          <cell r="X665">
            <v>0</v>
          </cell>
        </row>
        <row r="666">
          <cell r="X666">
            <v>0</v>
          </cell>
        </row>
        <row r="667">
          <cell r="X667">
            <v>0</v>
          </cell>
        </row>
        <row r="668">
          <cell r="X668">
            <v>0</v>
          </cell>
        </row>
        <row r="669">
          <cell r="X669">
            <v>0</v>
          </cell>
        </row>
        <row r="670">
          <cell r="X670">
            <v>0</v>
          </cell>
        </row>
        <row r="671">
          <cell r="X671">
            <v>0</v>
          </cell>
        </row>
        <row r="672">
          <cell r="X672">
            <v>0</v>
          </cell>
        </row>
        <row r="673">
          <cell r="X673">
            <v>0</v>
          </cell>
        </row>
        <row r="674">
          <cell r="X674">
            <v>0</v>
          </cell>
        </row>
        <row r="675">
          <cell r="X675">
            <v>0</v>
          </cell>
        </row>
        <row r="676">
          <cell r="X676">
            <v>0</v>
          </cell>
        </row>
        <row r="677">
          <cell r="X677">
            <v>0</v>
          </cell>
        </row>
        <row r="678">
          <cell r="X678">
            <v>0</v>
          </cell>
        </row>
        <row r="679">
          <cell r="X679">
            <v>0</v>
          </cell>
        </row>
        <row r="680">
          <cell r="X680">
            <v>0</v>
          </cell>
        </row>
        <row r="681">
          <cell r="X681">
            <v>0</v>
          </cell>
        </row>
        <row r="682">
          <cell r="X682">
            <v>0</v>
          </cell>
        </row>
        <row r="683">
          <cell r="X683">
            <v>0</v>
          </cell>
        </row>
        <row r="684">
          <cell r="X684">
            <v>0</v>
          </cell>
        </row>
        <row r="685">
          <cell r="X685">
            <v>0</v>
          </cell>
        </row>
        <row r="686">
          <cell r="X686">
            <v>0</v>
          </cell>
        </row>
        <row r="687">
          <cell r="X687">
            <v>0</v>
          </cell>
        </row>
        <row r="688">
          <cell r="X688">
            <v>0</v>
          </cell>
        </row>
        <row r="689">
          <cell r="X689">
            <v>0</v>
          </cell>
        </row>
        <row r="690">
          <cell r="X690">
            <v>0</v>
          </cell>
        </row>
        <row r="691">
          <cell r="X691">
            <v>0</v>
          </cell>
        </row>
        <row r="692">
          <cell r="X692">
            <v>0</v>
          </cell>
        </row>
        <row r="693">
          <cell r="X693">
            <v>0</v>
          </cell>
        </row>
        <row r="694">
          <cell r="X694">
            <v>0</v>
          </cell>
        </row>
        <row r="695">
          <cell r="X695">
            <v>0</v>
          </cell>
        </row>
        <row r="696">
          <cell r="X696">
            <v>0</v>
          </cell>
        </row>
        <row r="697">
          <cell r="X697">
            <v>0</v>
          </cell>
        </row>
        <row r="698">
          <cell r="X698">
            <v>0</v>
          </cell>
        </row>
        <row r="699">
          <cell r="X699">
            <v>0</v>
          </cell>
        </row>
        <row r="700">
          <cell r="X700">
            <v>0</v>
          </cell>
        </row>
        <row r="701">
          <cell r="X701">
            <v>0</v>
          </cell>
        </row>
        <row r="702">
          <cell r="X702">
            <v>0</v>
          </cell>
        </row>
        <row r="703">
          <cell r="X703">
            <v>0</v>
          </cell>
        </row>
        <row r="704">
          <cell r="X704">
            <v>0</v>
          </cell>
        </row>
        <row r="705">
          <cell r="X705">
            <v>0</v>
          </cell>
        </row>
        <row r="706">
          <cell r="X706">
            <v>0</v>
          </cell>
        </row>
        <row r="707">
          <cell r="X707">
            <v>0</v>
          </cell>
        </row>
        <row r="708">
          <cell r="X708">
            <v>0</v>
          </cell>
        </row>
        <row r="709">
          <cell r="X709">
            <v>0</v>
          </cell>
        </row>
        <row r="710">
          <cell r="X710">
            <v>0</v>
          </cell>
        </row>
        <row r="711">
          <cell r="X711">
            <v>0</v>
          </cell>
        </row>
        <row r="712">
          <cell r="X712">
            <v>0</v>
          </cell>
        </row>
        <row r="713">
          <cell r="X713">
            <v>0</v>
          </cell>
        </row>
        <row r="714">
          <cell r="X714">
            <v>0</v>
          </cell>
        </row>
        <row r="715">
          <cell r="X715">
            <v>0</v>
          </cell>
        </row>
        <row r="716">
          <cell r="X716">
            <v>0</v>
          </cell>
        </row>
        <row r="717">
          <cell r="X717">
            <v>0</v>
          </cell>
        </row>
        <row r="718">
          <cell r="X718">
            <v>0</v>
          </cell>
        </row>
        <row r="719">
          <cell r="X719">
            <v>0</v>
          </cell>
        </row>
        <row r="720">
          <cell r="X720">
            <v>0</v>
          </cell>
        </row>
        <row r="721">
          <cell r="X721">
            <v>0</v>
          </cell>
        </row>
        <row r="722">
          <cell r="X722">
            <v>0</v>
          </cell>
        </row>
        <row r="723">
          <cell r="X723">
            <v>0</v>
          </cell>
        </row>
        <row r="724">
          <cell r="X724">
            <v>0</v>
          </cell>
        </row>
        <row r="725">
          <cell r="X725">
            <v>0</v>
          </cell>
        </row>
        <row r="726">
          <cell r="X726">
            <v>0</v>
          </cell>
        </row>
        <row r="727">
          <cell r="X727">
            <v>0</v>
          </cell>
        </row>
        <row r="728">
          <cell r="X728">
            <v>0</v>
          </cell>
        </row>
        <row r="729">
          <cell r="X729">
            <v>0</v>
          </cell>
        </row>
        <row r="730">
          <cell r="X730">
            <v>0</v>
          </cell>
        </row>
        <row r="731">
          <cell r="X731">
            <v>0</v>
          </cell>
        </row>
        <row r="732">
          <cell r="X732">
            <v>0</v>
          </cell>
        </row>
        <row r="733">
          <cell r="X733">
            <v>0</v>
          </cell>
        </row>
        <row r="734">
          <cell r="X734">
            <v>0</v>
          </cell>
        </row>
        <row r="735">
          <cell r="X735">
            <v>0</v>
          </cell>
        </row>
        <row r="736">
          <cell r="X736">
            <v>0</v>
          </cell>
        </row>
        <row r="737">
          <cell r="X737">
            <v>0</v>
          </cell>
        </row>
        <row r="738">
          <cell r="X738">
            <v>0</v>
          </cell>
        </row>
        <row r="739">
          <cell r="X739">
            <v>0</v>
          </cell>
        </row>
        <row r="740">
          <cell r="X740">
            <v>0</v>
          </cell>
        </row>
        <row r="741">
          <cell r="X741">
            <v>0</v>
          </cell>
        </row>
        <row r="742">
          <cell r="X742">
            <v>0</v>
          </cell>
        </row>
        <row r="743">
          <cell r="X743">
            <v>0</v>
          </cell>
        </row>
        <row r="744">
          <cell r="X744">
            <v>0</v>
          </cell>
        </row>
        <row r="745">
          <cell r="X745">
            <v>0</v>
          </cell>
        </row>
        <row r="746">
          <cell r="X746">
            <v>0</v>
          </cell>
        </row>
        <row r="747">
          <cell r="X747">
            <v>0</v>
          </cell>
        </row>
        <row r="748">
          <cell r="X748">
            <v>0</v>
          </cell>
        </row>
        <row r="749">
          <cell r="X749">
            <v>0</v>
          </cell>
        </row>
        <row r="750">
          <cell r="X750">
            <v>0</v>
          </cell>
        </row>
        <row r="751">
          <cell r="X751">
            <v>0</v>
          </cell>
        </row>
        <row r="752">
          <cell r="X752">
            <v>0</v>
          </cell>
        </row>
        <row r="753">
          <cell r="X753">
            <v>0</v>
          </cell>
        </row>
        <row r="754">
          <cell r="X754">
            <v>0</v>
          </cell>
        </row>
        <row r="755">
          <cell r="X755">
            <v>0</v>
          </cell>
        </row>
        <row r="756">
          <cell r="X756">
            <v>0</v>
          </cell>
        </row>
        <row r="757">
          <cell r="X757">
            <v>0</v>
          </cell>
        </row>
        <row r="758">
          <cell r="X758">
            <v>0</v>
          </cell>
        </row>
        <row r="759">
          <cell r="X759">
            <v>0</v>
          </cell>
        </row>
        <row r="760">
          <cell r="X760">
            <v>0</v>
          </cell>
        </row>
        <row r="761">
          <cell r="X761">
            <v>0</v>
          </cell>
        </row>
        <row r="762">
          <cell r="X762">
            <v>0</v>
          </cell>
        </row>
        <row r="763">
          <cell r="X763">
            <v>0</v>
          </cell>
        </row>
        <row r="764">
          <cell r="X764">
            <v>0</v>
          </cell>
        </row>
        <row r="765">
          <cell r="X765">
            <v>0</v>
          </cell>
        </row>
        <row r="766">
          <cell r="X766">
            <v>0</v>
          </cell>
        </row>
        <row r="767">
          <cell r="X767">
            <v>0</v>
          </cell>
        </row>
        <row r="768">
          <cell r="X768">
            <v>0</v>
          </cell>
        </row>
        <row r="769">
          <cell r="X769">
            <v>0</v>
          </cell>
        </row>
        <row r="770">
          <cell r="X770">
            <v>0</v>
          </cell>
        </row>
        <row r="771">
          <cell r="X771">
            <v>0</v>
          </cell>
        </row>
        <row r="772">
          <cell r="X772">
            <v>0</v>
          </cell>
        </row>
        <row r="773">
          <cell r="X773">
            <v>0</v>
          </cell>
        </row>
        <row r="774">
          <cell r="X774">
            <v>0</v>
          </cell>
        </row>
        <row r="775">
          <cell r="X775">
            <v>0</v>
          </cell>
        </row>
        <row r="776">
          <cell r="X776">
            <v>0</v>
          </cell>
        </row>
        <row r="777">
          <cell r="X777">
            <v>0</v>
          </cell>
        </row>
        <row r="778">
          <cell r="X778">
            <v>0</v>
          </cell>
        </row>
        <row r="779">
          <cell r="X779">
            <v>0</v>
          </cell>
        </row>
        <row r="780">
          <cell r="X780">
            <v>0</v>
          </cell>
        </row>
        <row r="781">
          <cell r="X781">
            <v>0</v>
          </cell>
        </row>
        <row r="782">
          <cell r="X782">
            <v>0</v>
          </cell>
        </row>
        <row r="783">
          <cell r="X783">
            <v>0</v>
          </cell>
        </row>
        <row r="784">
          <cell r="X784">
            <v>0</v>
          </cell>
        </row>
        <row r="785">
          <cell r="X785">
            <v>0</v>
          </cell>
        </row>
        <row r="786">
          <cell r="X786">
            <v>0</v>
          </cell>
        </row>
        <row r="787">
          <cell r="X787">
            <v>0</v>
          </cell>
        </row>
        <row r="788">
          <cell r="X788">
            <v>0</v>
          </cell>
        </row>
        <row r="789">
          <cell r="X789">
            <v>0</v>
          </cell>
        </row>
        <row r="790">
          <cell r="X790">
            <v>0</v>
          </cell>
        </row>
        <row r="791">
          <cell r="X791">
            <v>0</v>
          </cell>
        </row>
        <row r="792">
          <cell r="X792">
            <v>0</v>
          </cell>
        </row>
        <row r="793">
          <cell r="X793">
            <v>0</v>
          </cell>
        </row>
        <row r="794">
          <cell r="X794">
            <v>0</v>
          </cell>
        </row>
        <row r="795">
          <cell r="X795">
            <v>0</v>
          </cell>
        </row>
        <row r="796">
          <cell r="X796">
            <v>0</v>
          </cell>
        </row>
        <row r="797">
          <cell r="X797">
            <v>0</v>
          </cell>
        </row>
        <row r="798">
          <cell r="X798">
            <v>0</v>
          </cell>
        </row>
        <row r="799">
          <cell r="X799">
            <v>0</v>
          </cell>
        </row>
        <row r="800">
          <cell r="X800">
            <v>0</v>
          </cell>
        </row>
        <row r="801">
          <cell r="X801">
            <v>0</v>
          </cell>
        </row>
        <row r="802">
          <cell r="X802">
            <v>0</v>
          </cell>
        </row>
        <row r="803">
          <cell r="X803">
            <v>0</v>
          </cell>
        </row>
        <row r="804">
          <cell r="X804">
            <v>0</v>
          </cell>
        </row>
        <row r="805">
          <cell r="X805">
            <v>0</v>
          </cell>
        </row>
        <row r="806">
          <cell r="X806">
            <v>0</v>
          </cell>
        </row>
        <row r="807">
          <cell r="X807">
            <v>0</v>
          </cell>
        </row>
        <row r="808">
          <cell r="X808">
            <v>0</v>
          </cell>
        </row>
        <row r="809">
          <cell r="X809">
            <v>0</v>
          </cell>
        </row>
        <row r="810">
          <cell r="X810">
            <v>0</v>
          </cell>
        </row>
        <row r="811">
          <cell r="X811">
            <v>0</v>
          </cell>
        </row>
        <row r="812">
          <cell r="X812">
            <v>0</v>
          </cell>
        </row>
        <row r="813">
          <cell r="X813">
            <v>0</v>
          </cell>
        </row>
        <row r="814">
          <cell r="X814">
            <v>0</v>
          </cell>
        </row>
        <row r="815">
          <cell r="X815">
            <v>0</v>
          </cell>
        </row>
        <row r="816">
          <cell r="X816">
            <v>0</v>
          </cell>
        </row>
        <row r="817">
          <cell r="X817">
            <v>0</v>
          </cell>
        </row>
        <row r="818">
          <cell r="X818">
            <v>0</v>
          </cell>
        </row>
        <row r="819">
          <cell r="X819">
            <v>0</v>
          </cell>
        </row>
        <row r="820">
          <cell r="X820">
            <v>0</v>
          </cell>
        </row>
        <row r="821">
          <cell r="X821">
            <v>0</v>
          </cell>
        </row>
        <row r="822">
          <cell r="X822">
            <v>0</v>
          </cell>
        </row>
        <row r="823">
          <cell r="X823">
            <v>0</v>
          </cell>
        </row>
      </sheetData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갑지"/>
      <sheetName val="집계표"/>
      <sheetName val="내역"/>
      <sheetName val="사급자재"/>
      <sheetName val="PACKING OPEN"/>
      <sheetName val="견적정보"/>
      <sheetName val="ILWIPOH"/>
      <sheetName val="터널조도"/>
      <sheetName val="Cost bd-&quot;A&quot;"/>
      <sheetName val="연령현황"/>
      <sheetName val="비용"/>
      <sheetName val="マージン"/>
      <sheetName val="Don gia Dak Lak"/>
      <sheetName val="TONGKE3p "/>
      <sheetName val="TDTKP"/>
      <sheetName val="TNHCHINH"/>
      <sheetName val="JUYO"/>
      <sheetName val="목록"/>
      <sheetName val="DONGIA"/>
      <sheetName val="C1"/>
      <sheetName val="Cost and Price Data"/>
      <sheetName val="체계도"/>
      <sheetName val="언양"/>
      <sheetName val="울산"/>
      <sheetName val="97,8"/>
      <sheetName val="광주"/>
      <sheetName val="고합"/>
      <sheetName val="05년간 생산실적-입력"/>
      <sheetName val="예산내역서"/>
      <sheetName val="07DATA"/>
      <sheetName val="불량율현황"/>
      <sheetName val="04고객별 담당자"/>
      <sheetName val="EQUIPMENT -2"/>
      <sheetName val="의왕"/>
      <sheetName val="piping"/>
      <sheetName val="TRICOMIS"/>
      <sheetName val="Sheet1"/>
      <sheetName val="Total"/>
      <sheetName val="실행철강하도"/>
      <sheetName val="STEAM"/>
      <sheetName val="AIR"/>
      <sheetName val="Y-WORK"/>
      <sheetName val="부하계산서"/>
      <sheetName val="IMSI"/>
      <sheetName val="철거산출근거"/>
      <sheetName val="다이꾸"/>
      <sheetName val="배관공사(TIE-IN)"/>
      <sheetName val="Basis"/>
      <sheetName val="OS"/>
      <sheetName val="Macro(차단기)"/>
      <sheetName val="포설list원본"/>
    </sheetNames>
    <sheetDataSet>
      <sheetData sheetId="0" refreshError="1">
        <row r="1">
          <cell r="A1" t="str">
            <v>기사1급</v>
          </cell>
          <cell r="B1">
            <v>60899</v>
          </cell>
        </row>
        <row r="2">
          <cell r="A2" t="str">
            <v>계장공</v>
          </cell>
          <cell r="B2">
            <v>53782</v>
          </cell>
        </row>
        <row r="3">
          <cell r="A3" t="str">
            <v>고압케이블공</v>
          </cell>
          <cell r="B3">
            <v>64085</v>
          </cell>
        </row>
        <row r="4">
          <cell r="A4" t="str">
            <v>내선전공</v>
          </cell>
          <cell r="B4">
            <v>48028</v>
          </cell>
        </row>
        <row r="5">
          <cell r="A5" t="str">
            <v>무선안테나공</v>
          </cell>
          <cell r="B5">
            <v>108316</v>
          </cell>
        </row>
        <row r="6">
          <cell r="A6" t="str">
            <v>배관공</v>
          </cell>
          <cell r="B6">
            <v>48933</v>
          </cell>
        </row>
        <row r="7">
          <cell r="A7" t="str">
            <v>배전전공</v>
          </cell>
          <cell r="B7">
            <v>146386</v>
          </cell>
        </row>
        <row r="8">
          <cell r="A8" t="str">
            <v>보통인부</v>
          </cell>
          <cell r="B8">
            <v>31866</v>
          </cell>
        </row>
        <row r="9">
          <cell r="A9" t="str">
            <v>비계공</v>
          </cell>
          <cell r="B9">
            <v>67869</v>
          </cell>
        </row>
        <row r="10">
          <cell r="A10" t="str">
            <v>저압케이블공</v>
          </cell>
          <cell r="B10">
            <v>61343</v>
          </cell>
        </row>
        <row r="11">
          <cell r="A11" t="str">
            <v>통신내선공</v>
          </cell>
          <cell r="B11">
            <v>62228</v>
          </cell>
        </row>
        <row r="12">
          <cell r="A12" t="str">
            <v>통신설비공</v>
          </cell>
          <cell r="B12">
            <v>63014</v>
          </cell>
        </row>
        <row r="13">
          <cell r="A13" t="str">
            <v>통신외선공</v>
          </cell>
          <cell r="B13">
            <v>69427</v>
          </cell>
        </row>
        <row r="14">
          <cell r="A14" t="str">
            <v>통신케이블공</v>
          </cell>
          <cell r="B14">
            <v>73494</v>
          </cell>
        </row>
        <row r="15">
          <cell r="A15" t="str">
            <v>특고케이블공</v>
          </cell>
          <cell r="B15">
            <v>87304</v>
          </cell>
        </row>
        <row r="16">
          <cell r="A16" t="str">
            <v>특별인부</v>
          </cell>
          <cell r="B16">
            <v>49575</v>
          </cell>
        </row>
        <row r="17">
          <cell r="A17" t="str">
            <v>프랜트전공</v>
          </cell>
          <cell r="B17">
            <v>55122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rinh"/>
      <sheetName val="노임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 GIA"/>
      <sheetName val="CHITIET VL-NC"/>
      <sheetName val="gtrin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THOUT C&amp;I PROFIT (4)"/>
      <sheetName val="WITH C&amp;I PROFIT (2)"/>
      <sheetName val="WITHOUT C&amp;I PROFIT (3)"/>
      <sheetName val="CEMENT"/>
      <sheetName val="#REF"/>
      <sheetName val="総括表"/>
      <sheetName val="A CONDITIONS"/>
      <sheetName val="D-3"/>
      <sheetName val="PLAGCoct03"/>
      <sheetName val="Z- GENERAL PRICE SUMMARY"/>
      <sheetName val="Graph (LGEN)"/>
      <sheetName val="IN"/>
      <sheetName val="out_prog"/>
      <sheetName val="선적schedule (2)"/>
      <sheetName val="piping"/>
      <sheetName val="ITB COST"/>
      <sheetName val="WORK-VOL"/>
      <sheetName val="CAT_5"/>
      <sheetName val="Main"/>
      <sheetName val="DATA"/>
      <sheetName val="대비"/>
      <sheetName val="내역서"/>
      <sheetName val="총괄표 (2)"/>
      <sheetName val="Alternator"/>
      <sheetName val="External"/>
      <sheetName val="Spread_sht"/>
      <sheetName val=" Structural"/>
      <sheetName val="Presupuesto"/>
      <sheetName val="WITH C&amp;I PROFIT"/>
      <sheetName val="WITHOUT C&amp;I PROFIT"/>
      <sheetName val="견적서"/>
      <sheetName val="갑지"/>
      <sheetName val="_REF"/>
      <sheetName val="TOEC"/>
      <sheetName val="일위대가(가설)"/>
      <sheetName val="LEGEND"/>
      <sheetName val="Total"/>
      <sheetName val="SUMMARY  FINAL "/>
      <sheetName val="FitOutConfCentre"/>
      <sheetName val="Hoja1"/>
      <sheetName val="PROJECT BRIEF(EX.NEW)"/>
      <sheetName val="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vl"/>
      <sheetName val="dgct"/>
      <sheetName val="dtct"/>
      <sheetName val="Sheet10"/>
      <sheetName val="Sheet11"/>
      <sheetName val="Sheet12"/>
      <sheetName val="Sheet13"/>
      <sheetName val="Sheet14"/>
      <sheetName val="Sheet15"/>
      <sheetName val="Sheet16"/>
      <sheetName val="Ky thu , Ky tho"/>
      <sheetName val="Sheet1"/>
      <sheetName val="ThCtiet Hanh Lang  KG, KT, KP"/>
      <sheetName val="TH Hanh Lang  KG, KT, KP "/>
      <sheetName val="ThCtiet lap dung cot KG,KT, KP"/>
      <sheetName val="TH Ky Anh"/>
      <sheetName val="Sheet2"/>
      <sheetName val="Th Ct iet KL,KH,KT,Kvan"/>
      <sheetName val=" THop  KL,KH,KT,Kvan "/>
      <sheetName val=" THop  KL,KH,KT,Kvan  (2)"/>
      <sheetName val="Lap dung cot, san bai"/>
      <sheetName val="00000000"/>
      <sheetName val="00000001"/>
      <sheetName val="00000002"/>
      <sheetName val="DT-THL7"/>
    </sheetNames>
    <sheetDataSet>
      <sheetData sheetId="0" refreshError="1">
        <row r="16">
          <cell r="N16">
            <v>759</v>
          </cell>
        </row>
        <row r="38">
          <cell r="N38">
            <v>4.5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품"/>
      <sheetName val="PROCESS"/>
      <sheetName val="Testing"/>
      <sheetName val="piping"/>
      <sheetName val="Steam-Sys"/>
      <sheetName val="인원현황"/>
      <sheetName val="BQ_Methanol"/>
      <sheetName val="PipWT"/>
      <sheetName val="steam table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CALCULATION"/>
      <sheetName val="SP&amp;ST 제출가"/>
      <sheetName val="당초"/>
      <sheetName val="PRECAST lightconc-II"/>
      <sheetName val="__MAIN"/>
      <sheetName val="Total"/>
      <sheetName val="cover"/>
      <sheetName val="Database"/>
      <sheetName val="SUMMARY"/>
      <sheetName val="지표산출"/>
      <sheetName val="Evap-기타"/>
      <sheetName val="Insulation_Utl_Off"/>
      <sheetName val="Note_Piping"/>
      <sheetName val="BM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WT-LIST"/>
      <sheetName val="PI"/>
      <sheetName val="실행철강하도"/>
      <sheetName val="BEAM"/>
      <sheetName val="pakg-1"/>
      <sheetName val="Proposal"/>
      <sheetName val="NEWDRAW"/>
      <sheetName val="운송비 및 보험료(991221)"/>
      <sheetName val="압력부제조원가 비교-1"/>
      <sheetName val="Spare Parts(990104)"/>
      <sheetName val="ECL"/>
      <sheetName val="SCHEDULE"/>
      <sheetName val="변수적용"/>
      <sheetName val="Sheet1"/>
      <sheetName val="HRSG PRINT"/>
      <sheetName val="#REF"/>
      <sheetName val="Conversions"/>
      <sheetName val="PBS"/>
      <sheetName val="카메라"/>
      <sheetName val="RFP007"/>
      <sheetName val="RFP006"/>
      <sheetName val="RFP005"/>
      <sheetName val="RFP009"/>
      <sheetName val="변수 정의"/>
      <sheetName val="18 BL 배관 내역"/>
      <sheetName val="#3E1_GCR"/>
      <sheetName val="B31.1"/>
      <sheetName val="PSIZE"/>
      <sheetName val="ITEM-LIST"/>
      <sheetName val="변수정리"/>
      <sheetName val="공정율(기초자료)"/>
      <sheetName val="환율표"/>
    </sheetNames>
    <definedNames>
      <definedName name="P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ktdaten"/>
      <sheetName val="BOQ Erection+Shipping"/>
    </sheetNames>
    <sheetDataSet>
      <sheetData sheetId="0">
        <row r="7">
          <cell r="B7">
            <v>2</v>
          </cell>
        </row>
      </sheetData>
      <sheetData sheetId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u Kebeer"/>
      <sheetName val="BBP"/>
      <sheetName val="PS"/>
      <sheetName val="RELAYS"/>
      <sheetName val="DATA"/>
      <sheetName val="Presupuesto"/>
      <sheetName val="eval"/>
      <sheetName val="BOQ"/>
      <sheetName val="Material and Equipments"/>
      <sheetName val="BreakDown"/>
      <sheetName val="FL-BOQ"/>
      <sheetName val="P&amp;L"/>
      <sheetName val="FxExchangeRatesBudget"/>
      <sheetName val="Spread_sht"/>
    </sheetNames>
    <sheetDataSet>
      <sheetData sheetId="0"/>
      <sheetData sheetId="1"/>
      <sheetData sheetId="2"/>
      <sheetData sheetId="3" refreshError="1">
        <row r="63">
          <cell r="M63">
            <v>14000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Cover sheet"/>
      <sheetName val="Project Data "/>
      <sheetName val="SIG - Onboard"/>
      <sheetName val="SIG - Trackside"/>
      <sheetName val="TOTAL Finsup"/>
      <sheetName val="Currency 2.1"/>
      <sheetName val="Summary"/>
      <sheetName val="new&gt;"/>
      <sheetName val="WS - Onboard COMMS"/>
      <sheetName val="WS - WAYSIDE"/>
      <sheetName val="LISTS"/>
      <sheetName val="FX"/>
      <sheetName val="FX rates"/>
      <sheetName val="Tech Ops"/>
      <sheetName val="Sig Finsup"/>
      <sheetName val="WS Finsup"/>
      <sheetName val="Delta Analysis"/>
      <sheetName val="TacticFile"/>
      <sheetName val="BB"/>
      <sheetName val="Other BB Input"/>
      <sheetName val="Erläuterung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G2" t="str">
            <v>02-01-00-00</v>
          </cell>
        </row>
        <row r="3">
          <cell r="G3" t="str">
            <v>02-01-01-00</v>
          </cell>
        </row>
        <row r="4">
          <cell r="G4" t="str">
            <v>02-01-02-00</v>
          </cell>
        </row>
        <row r="5">
          <cell r="G5" t="str">
            <v>02-01-03-00</v>
          </cell>
        </row>
        <row r="6">
          <cell r="G6" t="str">
            <v>02-01-04-00</v>
          </cell>
        </row>
        <row r="7">
          <cell r="G7" t="str">
            <v>02-02-00-00</v>
          </cell>
        </row>
        <row r="8">
          <cell r="G8" t="str">
            <v>02-02-01-00</v>
          </cell>
        </row>
        <row r="9">
          <cell r="G9" t="str">
            <v>02-02-01-01</v>
          </cell>
        </row>
        <row r="10">
          <cell r="G10" t="str">
            <v>02-02-01-02</v>
          </cell>
        </row>
        <row r="11">
          <cell r="G11" t="str">
            <v>02-02-01-03</v>
          </cell>
        </row>
        <row r="12">
          <cell r="G12" t="str">
            <v>02-02-01-04</v>
          </cell>
        </row>
        <row r="13">
          <cell r="G13" t="str">
            <v>02-02-02-00</v>
          </cell>
        </row>
        <row r="14">
          <cell r="G14" t="str">
            <v>02-02-02-01</v>
          </cell>
        </row>
        <row r="15">
          <cell r="G15" t="str">
            <v>02-02-02-02</v>
          </cell>
        </row>
        <row r="16">
          <cell r="G16" t="str">
            <v>02-02-02-03</v>
          </cell>
        </row>
        <row r="17">
          <cell r="G17" t="str">
            <v>02-02-02-04</v>
          </cell>
        </row>
        <row r="18">
          <cell r="G18" t="str">
            <v>02-02-03-00</v>
          </cell>
        </row>
        <row r="19">
          <cell r="G19" t="str">
            <v>02-02-03-01</v>
          </cell>
        </row>
        <row r="20">
          <cell r="G20" t="str">
            <v>02-02-03-02</v>
          </cell>
        </row>
        <row r="21">
          <cell r="G21" t="str">
            <v>02-02-03-03</v>
          </cell>
        </row>
        <row r="22">
          <cell r="G22" t="str">
            <v>02-02-03-04</v>
          </cell>
        </row>
        <row r="23">
          <cell r="G23" t="str">
            <v>02-02-04-00</v>
          </cell>
        </row>
        <row r="24">
          <cell r="G24" t="str">
            <v>02-02-04-01</v>
          </cell>
        </row>
        <row r="25">
          <cell r="G25" t="str">
            <v>02-02-04-02</v>
          </cell>
        </row>
        <row r="26">
          <cell r="G26" t="str">
            <v>02-02-04-03</v>
          </cell>
        </row>
        <row r="27">
          <cell r="G27" t="str">
            <v>02-02-04-04</v>
          </cell>
        </row>
        <row r="28">
          <cell r="G28" t="str">
            <v>02-02-05-00</v>
          </cell>
        </row>
        <row r="29">
          <cell r="G29" t="str">
            <v>02-02-05-01</v>
          </cell>
        </row>
        <row r="30">
          <cell r="G30" t="str">
            <v>02-02-05-02</v>
          </cell>
        </row>
        <row r="31">
          <cell r="G31" t="str">
            <v>02-02-05-03</v>
          </cell>
        </row>
        <row r="32">
          <cell r="G32" t="str">
            <v>02-02-05-04</v>
          </cell>
        </row>
        <row r="33">
          <cell r="G33" t="str">
            <v>02-02-06-00</v>
          </cell>
        </row>
        <row r="34">
          <cell r="G34" t="str">
            <v>02-02-06-01</v>
          </cell>
        </row>
        <row r="35">
          <cell r="G35" t="str">
            <v>02-02-06-02</v>
          </cell>
        </row>
        <row r="36">
          <cell r="G36" t="str">
            <v>02-02-06-03</v>
          </cell>
        </row>
        <row r="37">
          <cell r="G37" t="str">
            <v>02-02-06-04</v>
          </cell>
        </row>
        <row r="38">
          <cell r="G38" t="str">
            <v>02-02-07-00</v>
          </cell>
        </row>
        <row r="39">
          <cell r="G39" t="str">
            <v>02-02-07-01</v>
          </cell>
        </row>
        <row r="40">
          <cell r="G40" t="str">
            <v>02-02-07-02</v>
          </cell>
        </row>
        <row r="41">
          <cell r="G41" t="str">
            <v>02-02-07-03</v>
          </cell>
        </row>
        <row r="42">
          <cell r="G42" t="str">
            <v>02-02-07-04</v>
          </cell>
        </row>
        <row r="43">
          <cell r="G43" t="str">
            <v>02-04-00-00</v>
          </cell>
        </row>
        <row r="44">
          <cell r="G44" t="str">
            <v>02-04-01-00</v>
          </cell>
        </row>
        <row r="45">
          <cell r="G45" t="str">
            <v>02-04-02-00</v>
          </cell>
        </row>
        <row r="46">
          <cell r="G46" t="str">
            <v>02-04-03-00</v>
          </cell>
        </row>
        <row r="47">
          <cell r="G47" t="str">
            <v>02-04-04-00</v>
          </cell>
        </row>
        <row r="48">
          <cell r="G48" t="str">
            <v>02-05-00-00</v>
          </cell>
        </row>
        <row r="49">
          <cell r="G49" t="str">
            <v>02-05-01-00</v>
          </cell>
        </row>
        <row r="50">
          <cell r="G50" t="str">
            <v>02-05-02-00</v>
          </cell>
        </row>
        <row r="51">
          <cell r="G51" t="str">
            <v>02-05-03-00</v>
          </cell>
        </row>
        <row r="52">
          <cell r="G52" t="str">
            <v>02-05-04-00</v>
          </cell>
        </row>
        <row r="53">
          <cell r="G53" t="str">
            <v>02-06-00-00</v>
          </cell>
        </row>
        <row r="54">
          <cell r="G54" t="str">
            <v>02-06-01-00</v>
          </cell>
        </row>
        <row r="55">
          <cell r="G55" t="str">
            <v>02-06-01-01</v>
          </cell>
        </row>
        <row r="56">
          <cell r="G56" t="str">
            <v>02-06-01-02</v>
          </cell>
        </row>
        <row r="57">
          <cell r="G57" t="str">
            <v>02-06-01-03</v>
          </cell>
        </row>
        <row r="58">
          <cell r="G58" t="str">
            <v>02-06-01-04</v>
          </cell>
        </row>
        <row r="59">
          <cell r="G59" t="str">
            <v>02-06-02-00</v>
          </cell>
        </row>
        <row r="60">
          <cell r="G60" t="str">
            <v>02-06-02-01</v>
          </cell>
        </row>
        <row r="61">
          <cell r="G61" t="str">
            <v>02-06-02-02</v>
          </cell>
        </row>
        <row r="62">
          <cell r="G62" t="str">
            <v>02-06-02-03</v>
          </cell>
        </row>
        <row r="63">
          <cell r="G63" t="str">
            <v>02-06-02-04</v>
          </cell>
        </row>
        <row r="64">
          <cell r="G64" t="str">
            <v>02-06-03-00</v>
          </cell>
        </row>
        <row r="65">
          <cell r="G65" t="str">
            <v>02-06-03-01</v>
          </cell>
        </row>
        <row r="66">
          <cell r="G66" t="str">
            <v>02-06-03-02</v>
          </cell>
        </row>
        <row r="67">
          <cell r="G67" t="str">
            <v>02-06-03-03</v>
          </cell>
        </row>
        <row r="68">
          <cell r="G68" t="str">
            <v>02-06-03-04</v>
          </cell>
        </row>
        <row r="69">
          <cell r="G69" t="str">
            <v>02-07-00-00</v>
          </cell>
        </row>
        <row r="70">
          <cell r="G70" t="str">
            <v>02-07-01-00</v>
          </cell>
        </row>
        <row r="71">
          <cell r="G71" t="str">
            <v>02-07-01-01</v>
          </cell>
        </row>
        <row r="72">
          <cell r="G72" t="str">
            <v>02-07-01-02</v>
          </cell>
        </row>
        <row r="73">
          <cell r="G73" t="str">
            <v>02-07-01-03</v>
          </cell>
        </row>
        <row r="74">
          <cell r="G74" t="str">
            <v>02-07-01-04</v>
          </cell>
        </row>
        <row r="75">
          <cell r="G75" t="str">
            <v>02-07-02-00</v>
          </cell>
        </row>
        <row r="76">
          <cell r="G76" t="str">
            <v>02-07-02-01</v>
          </cell>
        </row>
        <row r="77">
          <cell r="G77" t="str">
            <v>02-07-02-02</v>
          </cell>
        </row>
        <row r="78">
          <cell r="G78" t="str">
            <v>02-07-02-03</v>
          </cell>
        </row>
        <row r="79">
          <cell r="G79" t="str">
            <v>02-07-02-04</v>
          </cell>
        </row>
        <row r="80">
          <cell r="G80" t="str">
            <v>02-07-03-00</v>
          </cell>
        </row>
        <row r="81">
          <cell r="G81" t="str">
            <v>02-07-03-01</v>
          </cell>
        </row>
        <row r="82">
          <cell r="G82" t="str">
            <v>02-07-03-02</v>
          </cell>
        </row>
        <row r="83">
          <cell r="G83" t="str">
            <v>02-07-03-03</v>
          </cell>
        </row>
        <row r="84">
          <cell r="G84" t="str">
            <v>02-07-03-04</v>
          </cell>
        </row>
        <row r="85">
          <cell r="G85" t="str">
            <v>02-07-04-00</v>
          </cell>
        </row>
        <row r="86">
          <cell r="G86" t="str">
            <v>02-07-04-01</v>
          </cell>
        </row>
        <row r="87">
          <cell r="G87" t="str">
            <v>02-07-04-02</v>
          </cell>
        </row>
        <row r="88">
          <cell r="G88" t="str">
            <v>02-07-04-03</v>
          </cell>
        </row>
        <row r="89">
          <cell r="G89" t="str">
            <v>02-07-04-04</v>
          </cell>
        </row>
        <row r="90">
          <cell r="G90" t="str">
            <v>02-07-05-00</v>
          </cell>
        </row>
        <row r="91">
          <cell r="G91" t="str">
            <v>02-07-05-01</v>
          </cell>
        </row>
        <row r="92">
          <cell r="G92" t="str">
            <v>02-07-05-02</v>
          </cell>
        </row>
        <row r="93">
          <cell r="G93" t="str">
            <v>02-07-05-03</v>
          </cell>
        </row>
        <row r="94">
          <cell r="G94" t="str">
            <v>02-07-05-04</v>
          </cell>
        </row>
        <row r="95">
          <cell r="G95" t="str">
            <v>02-07-06-00</v>
          </cell>
        </row>
        <row r="96">
          <cell r="G96" t="str">
            <v>02-07-06-01</v>
          </cell>
        </row>
        <row r="97">
          <cell r="G97" t="str">
            <v>02-07-06-02</v>
          </cell>
        </row>
        <row r="98">
          <cell r="G98" t="str">
            <v>02-07-06-03</v>
          </cell>
        </row>
        <row r="99">
          <cell r="G99" t="str">
            <v>02-07-06-04</v>
          </cell>
        </row>
        <row r="100">
          <cell r="G100" t="str">
            <v>02-07-07-00</v>
          </cell>
        </row>
        <row r="101">
          <cell r="G101" t="str">
            <v>02-07-07-01</v>
          </cell>
        </row>
        <row r="102">
          <cell r="G102" t="str">
            <v>02-07-07-02</v>
          </cell>
        </row>
        <row r="103">
          <cell r="G103" t="str">
            <v>02-07-07-03</v>
          </cell>
        </row>
        <row r="104">
          <cell r="G104" t="str">
            <v>02-07-07-04</v>
          </cell>
        </row>
        <row r="105">
          <cell r="G105" t="str">
            <v>02-08-00-00</v>
          </cell>
        </row>
        <row r="106">
          <cell r="G106" t="str">
            <v>02-08-01-00</v>
          </cell>
        </row>
        <row r="107">
          <cell r="G107" t="str">
            <v>02-08-01-01</v>
          </cell>
        </row>
        <row r="108">
          <cell r="G108" t="str">
            <v>02-08-01-02</v>
          </cell>
        </row>
        <row r="109">
          <cell r="G109" t="str">
            <v>02-08-01-03</v>
          </cell>
        </row>
        <row r="110">
          <cell r="G110" t="str">
            <v>02-08-01-04</v>
          </cell>
        </row>
        <row r="111">
          <cell r="G111" t="str">
            <v>02-08-02-00</v>
          </cell>
        </row>
        <row r="112">
          <cell r="G112" t="str">
            <v>02-08-02-01</v>
          </cell>
        </row>
        <row r="113">
          <cell r="G113" t="str">
            <v>02-08-02-02</v>
          </cell>
        </row>
        <row r="114">
          <cell r="G114" t="str">
            <v>02-08-02-03</v>
          </cell>
        </row>
        <row r="115">
          <cell r="G115" t="str">
            <v>02-08-02-04</v>
          </cell>
        </row>
        <row r="116">
          <cell r="G116" t="str">
            <v>02-08-03-00</v>
          </cell>
        </row>
        <row r="117">
          <cell r="G117" t="str">
            <v>02-08-03-01</v>
          </cell>
        </row>
        <row r="118">
          <cell r="G118" t="str">
            <v>02-08-03-02</v>
          </cell>
        </row>
        <row r="119">
          <cell r="G119" t="str">
            <v>02-08-03-03</v>
          </cell>
        </row>
        <row r="120">
          <cell r="G120" t="str">
            <v>02-08-03-04</v>
          </cell>
        </row>
        <row r="121">
          <cell r="G121" t="str">
            <v>02-08-04-00</v>
          </cell>
        </row>
        <row r="122">
          <cell r="G122" t="str">
            <v>02-08-04-01</v>
          </cell>
        </row>
        <row r="123">
          <cell r="G123" t="str">
            <v>02-08-04-02</v>
          </cell>
        </row>
        <row r="124">
          <cell r="G124" t="str">
            <v>02-08-04-03</v>
          </cell>
        </row>
        <row r="125">
          <cell r="G125" t="str">
            <v>02-08-04-04</v>
          </cell>
        </row>
        <row r="126">
          <cell r="G126" t="str">
            <v>02-08-05-00</v>
          </cell>
        </row>
        <row r="127">
          <cell r="G127" t="str">
            <v>02-08-05-01</v>
          </cell>
        </row>
        <row r="128">
          <cell r="G128" t="str">
            <v>02-08-05-02</v>
          </cell>
        </row>
        <row r="129">
          <cell r="G129" t="str">
            <v>02-08-05-03</v>
          </cell>
        </row>
        <row r="130">
          <cell r="G130" t="str">
            <v>02-08-05-04</v>
          </cell>
        </row>
        <row r="131">
          <cell r="G131" t="str">
            <v>02-10-00-00</v>
          </cell>
        </row>
        <row r="132">
          <cell r="G132" t="str">
            <v>02-10-01-00</v>
          </cell>
        </row>
        <row r="133">
          <cell r="G133" t="str">
            <v>02-10-02-00</v>
          </cell>
        </row>
        <row r="134">
          <cell r="G134" t="str">
            <v>02-10-03-00</v>
          </cell>
        </row>
        <row r="135">
          <cell r="G135" t="str">
            <v>02-11-00-00</v>
          </cell>
        </row>
        <row r="136">
          <cell r="G136" t="str">
            <v>02-11-01-00</v>
          </cell>
        </row>
        <row r="137">
          <cell r="G137" t="str">
            <v>02-11-02-00</v>
          </cell>
        </row>
        <row r="138">
          <cell r="G138" t="str">
            <v>02-11-03-00</v>
          </cell>
        </row>
        <row r="139">
          <cell r="G139" t="str">
            <v>02-12-00-00</v>
          </cell>
        </row>
        <row r="140">
          <cell r="G140" t="str">
            <v>02-13-00-00</v>
          </cell>
        </row>
        <row r="141">
          <cell r="G141" t="str">
            <v>02-13-01-00</v>
          </cell>
        </row>
        <row r="142">
          <cell r="G142" t="str">
            <v>02-13-02-00</v>
          </cell>
        </row>
        <row r="143">
          <cell r="G143" t="str">
            <v>02-13-03-00</v>
          </cell>
        </row>
        <row r="144">
          <cell r="G144" t="str">
            <v>02-13-04-00</v>
          </cell>
        </row>
        <row r="145">
          <cell r="G145" t="str">
            <v>02-13-05-00</v>
          </cell>
        </row>
        <row r="146">
          <cell r="G146" t="str">
            <v>02-13-06-00</v>
          </cell>
        </row>
        <row r="147">
          <cell r="G147" t="str">
            <v>02-13-07-00</v>
          </cell>
        </row>
        <row r="148">
          <cell r="G148" t="str">
            <v>02-13-08-00</v>
          </cell>
        </row>
        <row r="149">
          <cell r="G149" t="str">
            <v>02-13-09-00</v>
          </cell>
        </row>
        <row r="150">
          <cell r="G150" t="str">
            <v>02-13-10-00</v>
          </cell>
        </row>
        <row r="151">
          <cell r="G151" t="str">
            <v>02-14-00-00</v>
          </cell>
        </row>
        <row r="152">
          <cell r="G152" t="str">
            <v>02-16-00-00</v>
          </cell>
        </row>
        <row r="153">
          <cell r="G153" t="str">
            <v>02-17-00-00</v>
          </cell>
        </row>
        <row r="154">
          <cell r="G154" t="str">
            <v>02-17-01-00</v>
          </cell>
        </row>
        <row r="155">
          <cell r="G155" t="str">
            <v>02-17-02-00</v>
          </cell>
        </row>
        <row r="156">
          <cell r="G156" t="str">
            <v>02-17-03-00</v>
          </cell>
        </row>
        <row r="157">
          <cell r="G157" t="str">
            <v>02-17-04-00</v>
          </cell>
        </row>
        <row r="158">
          <cell r="G158" t="str">
            <v>02-17-05-00</v>
          </cell>
        </row>
        <row r="159">
          <cell r="G159" t="str">
            <v>02-18-00-00</v>
          </cell>
        </row>
        <row r="160">
          <cell r="G160" t="str">
            <v>02-18-01-00</v>
          </cell>
        </row>
        <row r="161">
          <cell r="G161" t="str">
            <v>02-18-01-01</v>
          </cell>
        </row>
        <row r="162">
          <cell r="G162" t="str">
            <v>02-18-01-02</v>
          </cell>
        </row>
        <row r="163">
          <cell r="G163" t="str">
            <v>02-18-01-03</v>
          </cell>
        </row>
        <row r="164">
          <cell r="G164" t="str">
            <v>02-19-00-00</v>
          </cell>
        </row>
        <row r="165">
          <cell r="G165" t="str">
            <v>02-19-01-00</v>
          </cell>
        </row>
        <row r="166">
          <cell r="G166" t="str">
            <v>02-19-02-00</v>
          </cell>
        </row>
        <row r="167">
          <cell r="G167" t="str">
            <v>02-19-03-00</v>
          </cell>
        </row>
        <row r="168">
          <cell r="G168" t="str">
            <v>02-19-04-00</v>
          </cell>
        </row>
        <row r="169">
          <cell r="G169" t="str">
            <v>01-04-00-00</v>
          </cell>
        </row>
        <row r="170">
          <cell r="G170" t="str">
            <v>01-04-01-00</v>
          </cell>
        </row>
        <row r="171">
          <cell r="G171" t="str">
            <v>01-04-02-00</v>
          </cell>
        </row>
        <row r="172">
          <cell r="G172" t="str">
            <v>01-04-03-00</v>
          </cell>
        </row>
        <row r="173">
          <cell r="G173" t="str">
            <v>01-04-03-01</v>
          </cell>
        </row>
        <row r="174">
          <cell r="G174" t="str">
            <v>01-04-03-02</v>
          </cell>
        </row>
        <row r="175">
          <cell r="G175" t="str">
            <v>01-04-03-03</v>
          </cell>
        </row>
        <row r="176">
          <cell r="G176" t="str">
            <v>01-04-03-04</v>
          </cell>
        </row>
        <row r="177">
          <cell r="G177" t="str">
            <v>01-04-03-05</v>
          </cell>
        </row>
        <row r="178">
          <cell r="G178" t="str">
            <v>01-04-04-00</v>
          </cell>
        </row>
        <row r="179">
          <cell r="G179" t="str">
            <v>01-04-04-01</v>
          </cell>
        </row>
        <row r="180">
          <cell r="G180" t="str">
            <v>01-04-04-02</v>
          </cell>
        </row>
        <row r="181">
          <cell r="G181" t="str">
            <v>01-04-04-03</v>
          </cell>
        </row>
        <row r="182">
          <cell r="G182" t="str">
            <v>01-04-04-04</v>
          </cell>
        </row>
        <row r="183">
          <cell r="G183" t="str">
            <v>01-04-05-00</v>
          </cell>
        </row>
        <row r="184">
          <cell r="G184" t="str">
            <v>01-03-00-00</v>
          </cell>
        </row>
        <row r="185">
          <cell r="G185" t="str">
            <v>01-03-01-00</v>
          </cell>
        </row>
        <row r="186">
          <cell r="G186" t="str">
            <v>01-03-02-00</v>
          </cell>
        </row>
        <row r="187">
          <cell r="G187" t="str">
            <v>01-03-03-00</v>
          </cell>
        </row>
        <row r="188">
          <cell r="G188" t="str">
            <v>02-03-00-00</v>
          </cell>
        </row>
        <row r="189">
          <cell r="G189" t="str">
            <v>02-03-01-00</v>
          </cell>
        </row>
        <row r="190">
          <cell r="G190" t="str">
            <v>02-03-01-01</v>
          </cell>
        </row>
        <row r="191">
          <cell r="G191" t="str">
            <v>02-03-01-02</v>
          </cell>
        </row>
        <row r="192">
          <cell r="G192" t="str">
            <v>02-03-01-03</v>
          </cell>
        </row>
        <row r="193">
          <cell r="G193" t="str">
            <v>02-03-01-04</v>
          </cell>
        </row>
        <row r="194">
          <cell r="G194" t="str">
            <v>02-03-02-00</v>
          </cell>
        </row>
        <row r="195">
          <cell r="G195" t="str">
            <v>02-03-02-01</v>
          </cell>
        </row>
        <row r="196">
          <cell r="G196" t="str">
            <v>02-03-02-02</v>
          </cell>
        </row>
        <row r="197">
          <cell r="G197" t="str">
            <v>02-03-02-03</v>
          </cell>
        </row>
        <row r="198">
          <cell r="G198" t="str">
            <v>02-03-02-04</v>
          </cell>
        </row>
        <row r="199">
          <cell r="G199" t="str">
            <v>02-03-03-00</v>
          </cell>
        </row>
        <row r="200">
          <cell r="G200" t="str">
            <v>02-03-03-01</v>
          </cell>
        </row>
        <row r="201">
          <cell r="G201" t="str">
            <v>02-03-03-02</v>
          </cell>
        </row>
        <row r="202">
          <cell r="G202" t="str">
            <v>02-03-03-03</v>
          </cell>
        </row>
        <row r="203">
          <cell r="G203" t="str">
            <v>02-03-03-04</v>
          </cell>
        </row>
        <row r="204">
          <cell r="G204" t="str">
            <v>02-03-04-00</v>
          </cell>
        </row>
        <row r="205">
          <cell r="G205" t="str">
            <v>02-03-04-01</v>
          </cell>
        </row>
        <row r="206">
          <cell r="G206" t="str">
            <v>02-03-04-02</v>
          </cell>
        </row>
        <row r="207">
          <cell r="G207" t="str">
            <v>02-03-04-03</v>
          </cell>
        </row>
        <row r="208">
          <cell r="G208" t="str">
            <v>02-03-04-04</v>
          </cell>
        </row>
        <row r="209">
          <cell r="G209" t="str">
            <v>02-03-05-00</v>
          </cell>
        </row>
        <row r="210">
          <cell r="G210" t="str">
            <v>02-03-05-01</v>
          </cell>
        </row>
        <row r="211">
          <cell r="G211" t="str">
            <v>02-03-05-02</v>
          </cell>
        </row>
        <row r="212">
          <cell r="G212" t="str">
            <v>02-03-05-03</v>
          </cell>
        </row>
        <row r="213">
          <cell r="G213" t="str">
            <v>02-03-06-00</v>
          </cell>
        </row>
        <row r="214">
          <cell r="G214" t="str">
            <v>02-03-06-01</v>
          </cell>
        </row>
        <row r="215">
          <cell r="G215" t="str">
            <v>02-03-06-02</v>
          </cell>
        </row>
        <row r="216">
          <cell r="G216" t="str">
            <v>02-03-06-03</v>
          </cell>
        </row>
        <row r="217">
          <cell r="G217" t="str">
            <v>02-03-06-04</v>
          </cell>
        </row>
        <row r="218">
          <cell r="G218" t="str">
            <v>02-03-07-00</v>
          </cell>
        </row>
        <row r="219">
          <cell r="G219" t="str">
            <v>02-03-07-01</v>
          </cell>
        </row>
        <row r="220">
          <cell r="G220" t="str">
            <v>02-03-07-02</v>
          </cell>
        </row>
        <row r="221">
          <cell r="G221" t="str">
            <v>02-03-07-03</v>
          </cell>
        </row>
        <row r="222">
          <cell r="G222" t="str">
            <v>02-03-07-04</v>
          </cell>
        </row>
        <row r="223">
          <cell r="G223" t="str">
            <v>02-03-08-00</v>
          </cell>
        </row>
        <row r="224">
          <cell r="G224" t="str">
            <v>02-03-08-01</v>
          </cell>
        </row>
        <row r="225">
          <cell r="G225" t="str">
            <v>02-03-08-02</v>
          </cell>
        </row>
        <row r="226">
          <cell r="G226" t="str">
            <v>02-03-08-03</v>
          </cell>
        </row>
        <row r="227">
          <cell r="G227" t="str">
            <v>02-03-08-04</v>
          </cell>
        </row>
        <row r="228">
          <cell r="G228" t="str">
            <v>02-03-09-00</v>
          </cell>
        </row>
        <row r="229">
          <cell r="G229" t="str">
            <v>02-03-09-01</v>
          </cell>
        </row>
        <row r="230">
          <cell r="G230" t="str">
            <v>02-03-09-02</v>
          </cell>
        </row>
        <row r="231">
          <cell r="G231" t="str">
            <v>02-03-09-03</v>
          </cell>
        </row>
        <row r="232">
          <cell r="G232" t="str">
            <v>02-03-09-04</v>
          </cell>
        </row>
        <row r="233">
          <cell r="G233" t="str">
            <v>02-09-00-00</v>
          </cell>
        </row>
        <row r="234">
          <cell r="G234" t="str">
            <v>02-09-01-00</v>
          </cell>
        </row>
        <row r="235">
          <cell r="G235" t="str">
            <v>02-09-01-01</v>
          </cell>
        </row>
        <row r="236">
          <cell r="G236" t="str">
            <v>02-09-01-02</v>
          </cell>
        </row>
        <row r="237">
          <cell r="G237" t="str">
            <v>02-09-01-03</v>
          </cell>
        </row>
        <row r="238">
          <cell r="G238" t="str">
            <v>02-09-01-04</v>
          </cell>
        </row>
        <row r="239">
          <cell r="G239" t="str">
            <v>02-09-02-00</v>
          </cell>
        </row>
        <row r="240">
          <cell r="G240" t="str">
            <v>02-15-00-00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total"/>
      <sheetName val="_total"/>
      <sheetName val="Sheet1"/>
      <sheetName val="Cálculos hidráulicos"/>
    </sheetNames>
    <sheetDataSet>
      <sheetData sheetId="0">
        <row r="1">
          <cell r="E1" t="str">
            <v>Periodo del 1 al 31 de Enero de 1998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EGADA"/>
      <sheetName val="Sheet1"/>
      <sheetName val="Invite"/>
      <sheetName val="#REF"/>
      <sheetName val="Presupuesto"/>
      <sheetName val="$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기준표"/>
      <sheetName val="Sheet1"/>
      <sheetName val="Sheet2"/>
      <sheetName val="SERVICE"/>
      <sheetName val="수출부대비용"/>
      <sheetName val="별첨 ori"/>
      <sheetName val="노임"/>
    </sheetNames>
    <sheetDataSet>
      <sheetData sheetId="0" refreshError="1"/>
      <sheetData sheetId="1" refreshError="1"/>
      <sheetData sheetId="2" refreshError="1"/>
      <sheetData sheetId="3" refreshError="1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ﾄﾞﾊﾞｲPURGE AIR追見"/>
      <sheetName val="ﾄﾞﾊﾞｲFUEL GAS追見"/>
    </sheetNames>
    <sheetDataSet>
      <sheetData sheetId="0" refreshError="1"/>
      <sheetData sheetId="1" refreshError="1"/>
      <sheetData sheetId="2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BRIEF"/>
    </sheetNames>
    <sheetDataSet>
      <sheetData sheetId="0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목차"/>
      <sheetName val="Tender Summary"/>
      <sheetName val="Project Brief"/>
      <sheetName val="Milestone"/>
      <sheetName val="견적기준"/>
      <sheetName val="Org Chart"/>
      <sheetName val="Manning Schedule"/>
      <sheetName val="Salary-adjusted"/>
      <sheetName val="간접비"/>
      <sheetName val="STAFF COST"/>
      <sheetName val="Site Expenses"/>
      <sheetName val="Temporary Work"/>
      <sheetName val="금융비용"/>
      <sheetName val="금융비용근거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2">
          <cell r="P2">
            <v>1.8</v>
          </cell>
        </row>
      </sheetData>
      <sheetData sheetId="12"/>
      <sheetData sheetId="13"/>
      <sheetData sheetId="14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-s"/>
      <sheetName val="Sheet1"/>
    </sheetNames>
    <definedNames>
      <definedName name="scaffolding"/>
    </definedNames>
    <sheetDataSet>
      <sheetData sheetId="0" refreshError="1"/>
      <sheetData sheetId="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HG Unit"/>
      <sheetName val="HD Unit"/>
      <sheetName val="ASME B 36.10 M"/>
      <sheetName val="ASME B 36_10 M"/>
      <sheetName val="Piping material HG take off - R"/>
      <sheetName val="steam table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TTL"/>
      <sheetName val="Joints"/>
      <sheetName val="IBASE"/>
    </sheetNames>
    <sheetDataSet>
      <sheetData sheetId="0"/>
      <sheetData sheetId="1"/>
      <sheetData sheetId="2"/>
      <sheetData sheetId="3">
        <row r="3">
          <cell r="E3">
            <v>5</v>
          </cell>
          <cell r="F3">
            <v>10</v>
          </cell>
          <cell r="G3">
            <v>20</v>
          </cell>
          <cell r="H3">
            <v>30</v>
          </cell>
          <cell r="I3" t="str">
            <v>STD</v>
          </cell>
          <cell r="J3">
            <v>40</v>
          </cell>
          <cell r="K3">
            <v>60</v>
          </cell>
          <cell r="L3" t="str">
            <v>XS</v>
          </cell>
          <cell r="M3">
            <v>80</v>
          </cell>
          <cell r="N3">
            <v>100</v>
          </cell>
          <cell r="O3">
            <v>120</v>
          </cell>
          <cell r="P3">
            <v>140</v>
          </cell>
          <cell r="Q3">
            <v>160</v>
          </cell>
          <cell r="R3" t="str">
            <v>XXS</v>
          </cell>
          <cell r="T3" t="str">
            <v>Sch05S</v>
          </cell>
          <cell r="U3" t="str">
            <v>Sch10S</v>
          </cell>
          <cell r="V3" t="str">
            <v>Sch40S</v>
          </cell>
          <cell r="W3" t="str">
            <v>Sch80S</v>
          </cell>
        </row>
        <row r="4"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</row>
        <row r="5">
          <cell r="D5">
            <v>10.3</v>
          </cell>
          <cell r="F5">
            <v>1.24</v>
          </cell>
          <cell r="H5">
            <v>1.45</v>
          </cell>
          <cell r="I5">
            <v>1.73</v>
          </cell>
          <cell r="J5">
            <v>1.73</v>
          </cell>
          <cell r="L5">
            <v>2.41</v>
          </cell>
          <cell r="M5">
            <v>2.41</v>
          </cell>
          <cell r="U5">
            <v>1.24</v>
          </cell>
          <cell r="V5">
            <v>1.73</v>
          </cell>
          <cell r="W5">
            <v>2.41</v>
          </cell>
        </row>
        <row r="6">
          <cell r="D6">
            <v>13.7</v>
          </cell>
          <cell r="F6">
            <v>1.65</v>
          </cell>
          <cell r="H6">
            <v>1.85</v>
          </cell>
          <cell r="I6">
            <v>2.2400000000000002</v>
          </cell>
          <cell r="J6">
            <v>2.2400000000000002</v>
          </cell>
          <cell r="L6">
            <v>3.02</v>
          </cell>
          <cell r="M6">
            <v>3.02</v>
          </cell>
          <cell r="U6">
            <v>1.65</v>
          </cell>
          <cell r="V6">
            <v>2.2400000000000002</v>
          </cell>
          <cell r="W6">
            <v>3.02</v>
          </cell>
        </row>
        <row r="7">
          <cell r="D7">
            <v>17.100000000000001</v>
          </cell>
          <cell r="F7">
            <v>1.65</v>
          </cell>
          <cell r="H7">
            <v>1.85</v>
          </cell>
          <cell r="I7">
            <v>2.31</v>
          </cell>
          <cell r="J7">
            <v>2.31</v>
          </cell>
          <cell r="L7">
            <v>3.2</v>
          </cell>
          <cell r="M7">
            <v>3.2</v>
          </cell>
          <cell r="U7">
            <v>1.65</v>
          </cell>
          <cell r="V7">
            <v>2.31</v>
          </cell>
          <cell r="W7">
            <v>3.2</v>
          </cell>
        </row>
        <row r="8">
          <cell r="D8">
            <v>21.3</v>
          </cell>
          <cell r="E8">
            <v>1.65</v>
          </cell>
          <cell r="F8">
            <v>2.11</v>
          </cell>
          <cell r="H8">
            <v>2.41</v>
          </cell>
          <cell r="I8">
            <v>2.77</v>
          </cell>
          <cell r="J8">
            <v>2.77</v>
          </cell>
          <cell r="L8">
            <v>3.73</v>
          </cell>
          <cell r="M8">
            <v>3.73</v>
          </cell>
          <cell r="Q8">
            <v>4.78</v>
          </cell>
          <cell r="R8">
            <v>7.47</v>
          </cell>
          <cell r="T8">
            <v>1.65</v>
          </cell>
          <cell r="U8">
            <v>2.11</v>
          </cell>
          <cell r="V8">
            <v>2.77</v>
          </cell>
          <cell r="W8">
            <v>3.73</v>
          </cell>
        </row>
        <row r="9">
          <cell r="D9">
            <v>26.7</v>
          </cell>
          <cell r="E9">
            <v>1.65</v>
          </cell>
          <cell r="F9">
            <v>2.11</v>
          </cell>
          <cell r="H9">
            <v>2.41</v>
          </cell>
          <cell r="I9">
            <v>2.87</v>
          </cell>
          <cell r="J9">
            <v>2.87</v>
          </cell>
          <cell r="L9">
            <v>3.91</v>
          </cell>
          <cell r="M9">
            <v>3.91</v>
          </cell>
          <cell r="Q9">
            <v>5.56</v>
          </cell>
          <cell r="R9">
            <v>7.82</v>
          </cell>
          <cell r="T9">
            <v>1.65</v>
          </cell>
          <cell r="U9">
            <v>2.11</v>
          </cell>
          <cell r="V9">
            <v>2.87</v>
          </cell>
          <cell r="W9">
            <v>3.91</v>
          </cell>
        </row>
        <row r="10">
          <cell r="D10">
            <v>33.4</v>
          </cell>
          <cell r="E10">
            <v>1.65</v>
          </cell>
          <cell r="F10">
            <v>2.77</v>
          </cell>
          <cell r="H10">
            <v>2.9</v>
          </cell>
          <cell r="I10">
            <v>3.38</v>
          </cell>
          <cell r="J10">
            <v>3.38</v>
          </cell>
          <cell r="L10">
            <v>4.55</v>
          </cell>
          <cell r="M10">
            <v>4.55</v>
          </cell>
          <cell r="Q10">
            <v>6.35</v>
          </cell>
          <cell r="R10">
            <v>9.09</v>
          </cell>
          <cell r="T10">
            <v>1.65</v>
          </cell>
          <cell r="U10">
            <v>2.77</v>
          </cell>
          <cell r="V10">
            <v>3.38</v>
          </cell>
          <cell r="W10">
            <v>4.55</v>
          </cell>
        </row>
        <row r="11">
          <cell r="D11">
            <v>42.2</v>
          </cell>
          <cell r="E11">
            <v>1.65</v>
          </cell>
          <cell r="F11">
            <v>2.77</v>
          </cell>
          <cell r="H11">
            <v>2.97</v>
          </cell>
          <cell r="I11">
            <v>3.56</v>
          </cell>
          <cell r="J11">
            <v>3.56</v>
          </cell>
          <cell r="L11">
            <v>4.8499999999999996</v>
          </cell>
          <cell r="M11">
            <v>4.8499999999999996</v>
          </cell>
          <cell r="Q11">
            <v>69.349999999999994</v>
          </cell>
          <cell r="R11">
            <v>9.6999999999999993</v>
          </cell>
          <cell r="T11">
            <v>1.65</v>
          </cell>
          <cell r="U11">
            <v>2.77</v>
          </cell>
          <cell r="V11">
            <v>3.56</v>
          </cell>
          <cell r="W11">
            <v>4.8499999999999996</v>
          </cell>
        </row>
        <row r="12">
          <cell r="D12">
            <v>48.3</v>
          </cell>
          <cell r="E12">
            <v>1.65</v>
          </cell>
          <cell r="F12">
            <v>2.77</v>
          </cell>
          <cell r="H12">
            <v>3.18</v>
          </cell>
          <cell r="I12">
            <v>3.68</v>
          </cell>
          <cell r="J12">
            <v>3.68</v>
          </cell>
          <cell r="L12">
            <v>5.08</v>
          </cell>
          <cell r="M12">
            <v>5.08</v>
          </cell>
          <cell r="Q12">
            <v>7.14</v>
          </cell>
          <cell r="R12">
            <v>10.15</v>
          </cell>
          <cell r="T12">
            <v>1.65</v>
          </cell>
          <cell r="U12">
            <v>2.77</v>
          </cell>
          <cell r="V12">
            <v>3.68</v>
          </cell>
          <cell r="W12">
            <v>5.08</v>
          </cell>
        </row>
        <row r="13">
          <cell r="D13">
            <v>60.3</v>
          </cell>
          <cell r="E13">
            <v>1.65</v>
          </cell>
          <cell r="F13">
            <v>2.77</v>
          </cell>
          <cell r="H13">
            <v>3.18</v>
          </cell>
          <cell r="I13">
            <v>3.9140000000000001</v>
          </cell>
          <cell r="J13">
            <v>3.9140000000000001</v>
          </cell>
          <cell r="L13">
            <v>5.54</v>
          </cell>
          <cell r="M13">
            <v>5.54</v>
          </cell>
          <cell r="Q13">
            <v>8.74</v>
          </cell>
          <cell r="R13">
            <v>11.07</v>
          </cell>
          <cell r="T13">
            <v>1.65</v>
          </cell>
          <cell r="U13">
            <v>2.77</v>
          </cell>
          <cell r="V13">
            <v>3.91</v>
          </cell>
          <cell r="W13">
            <v>5.54</v>
          </cell>
        </row>
        <row r="14">
          <cell r="D14">
            <v>73</v>
          </cell>
          <cell r="E14">
            <v>2.11</v>
          </cell>
          <cell r="F14">
            <v>3.05</v>
          </cell>
          <cell r="H14">
            <v>4.78</v>
          </cell>
          <cell r="I14">
            <v>5.16</v>
          </cell>
          <cell r="J14">
            <v>5.16</v>
          </cell>
          <cell r="L14">
            <v>7.01</v>
          </cell>
          <cell r="M14">
            <v>7.01</v>
          </cell>
          <cell r="Q14">
            <v>9.5299999999999994</v>
          </cell>
          <cell r="R14">
            <v>14.02</v>
          </cell>
          <cell r="T14">
            <v>2.11</v>
          </cell>
          <cell r="U14">
            <v>3.05</v>
          </cell>
          <cell r="V14">
            <v>5.16</v>
          </cell>
          <cell r="W14">
            <v>7.01</v>
          </cell>
        </row>
        <row r="15">
          <cell r="D15">
            <v>88.9</v>
          </cell>
          <cell r="E15">
            <v>2.11</v>
          </cell>
          <cell r="F15">
            <v>3.05</v>
          </cell>
          <cell r="H15">
            <v>4.78</v>
          </cell>
          <cell r="I15">
            <v>5.49</v>
          </cell>
          <cell r="J15">
            <v>5.49</v>
          </cell>
          <cell r="L15">
            <v>7.62</v>
          </cell>
          <cell r="M15">
            <v>7.62</v>
          </cell>
          <cell r="Q15">
            <v>11.13</v>
          </cell>
          <cell r="R15">
            <v>15.24</v>
          </cell>
          <cell r="T15">
            <v>2.11</v>
          </cell>
          <cell r="U15">
            <v>3.05</v>
          </cell>
          <cell r="V15">
            <v>5.49</v>
          </cell>
          <cell r="W15">
            <v>7.62</v>
          </cell>
        </row>
        <row r="16">
          <cell r="D16">
            <v>101.6</v>
          </cell>
          <cell r="E16">
            <v>2.11</v>
          </cell>
          <cell r="F16">
            <v>3.05</v>
          </cell>
          <cell r="H16">
            <v>4.78</v>
          </cell>
          <cell r="I16">
            <v>5.74</v>
          </cell>
          <cell r="J16">
            <v>5.74</v>
          </cell>
          <cell r="L16">
            <v>8.08</v>
          </cell>
          <cell r="M16">
            <v>8.08</v>
          </cell>
          <cell r="T16">
            <v>2.11</v>
          </cell>
          <cell r="U16">
            <v>3.05</v>
          </cell>
          <cell r="V16">
            <v>5.74</v>
          </cell>
          <cell r="W16">
            <v>8.08</v>
          </cell>
        </row>
        <row r="17">
          <cell r="D17">
            <v>114.3</v>
          </cell>
          <cell r="E17">
            <v>2.11</v>
          </cell>
          <cell r="F17">
            <v>3.05</v>
          </cell>
          <cell r="H17">
            <v>4.78</v>
          </cell>
          <cell r="I17">
            <v>6.02</v>
          </cell>
          <cell r="J17">
            <v>6.02</v>
          </cell>
          <cell r="L17">
            <v>8.56</v>
          </cell>
          <cell r="M17">
            <v>8.56</v>
          </cell>
          <cell r="O17">
            <v>11.13</v>
          </cell>
          <cell r="Q17">
            <v>13.49</v>
          </cell>
          <cell r="R17">
            <v>17.12</v>
          </cell>
          <cell r="T17">
            <v>2.11</v>
          </cell>
          <cell r="U17">
            <v>3.05</v>
          </cell>
          <cell r="V17">
            <v>6.02</v>
          </cell>
          <cell r="W17">
            <v>8.56</v>
          </cell>
        </row>
        <row r="18">
          <cell r="D18">
            <v>141.30000000000001</v>
          </cell>
          <cell r="E18">
            <v>2.77</v>
          </cell>
          <cell r="F18">
            <v>3.4</v>
          </cell>
          <cell r="I18">
            <v>6.55</v>
          </cell>
          <cell r="J18">
            <v>6.55</v>
          </cell>
          <cell r="L18">
            <v>9.5299999999999994</v>
          </cell>
          <cell r="M18">
            <v>9.5299999999999994</v>
          </cell>
          <cell r="O18">
            <v>12.7</v>
          </cell>
          <cell r="Q18">
            <v>15.88</v>
          </cell>
          <cell r="R18">
            <v>19.05</v>
          </cell>
          <cell r="T18">
            <v>2.77</v>
          </cell>
          <cell r="U18">
            <v>3.4</v>
          </cell>
          <cell r="V18">
            <v>6.55</v>
          </cell>
          <cell r="W18">
            <v>9.5299999999999994</v>
          </cell>
        </row>
        <row r="19">
          <cell r="D19">
            <v>168.3</v>
          </cell>
          <cell r="E19">
            <v>2.77</v>
          </cell>
          <cell r="F19">
            <v>3.4</v>
          </cell>
          <cell r="I19">
            <v>7.1</v>
          </cell>
          <cell r="J19">
            <v>7.1</v>
          </cell>
          <cell r="L19">
            <v>10.97</v>
          </cell>
          <cell r="M19">
            <v>10.97</v>
          </cell>
          <cell r="O19">
            <v>14.27</v>
          </cell>
          <cell r="Q19">
            <v>18.260000000000002</v>
          </cell>
          <cell r="R19">
            <v>21.95</v>
          </cell>
          <cell r="T19">
            <v>2.77</v>
          </cell>
          <cell r="U19">
            <v>3.4</v>
          </cell>
          <cell r="V19">
            <v>7.11</v>
          </cell>
          <cell r="W19">
            <v>10.97</v>
          </cell>
        </row>
        <row r="20">
          <cell r="D20">
            <v>219.1</v>
          </cell>
          <cell r="E20">
            <v>2.77</v>
          </cell>
          <cell r="F20">
            <v>3.76</v>
          </cell>
          <cell r="G20">
            <v>6.35</v>
          </cell>
          <cell r="H20">
            <v>7.04</v>
          </cell>
          <cell r="I20">
            <v>8.18</v>
          </cell>
          <cell r="J20">
            <v>8.18</v>
          </cell>
          <cell r="K20">
            <v>10.31</v>
          </cell>
          <cell r="L20">
            <v>12.7</v>
          </cell>
          <cell r="M20">
            <v>12.7</v>
          </cell>
          <cell r="N20">
            <v>15.09</v>
          </cell>
          <cell r="O20">
            <v>18.260000000000002</v>
          </cell>
          <cell r="P20">
            <v>20.62</v>
          </cell>
          <cell r="Q20">
            <v>23.01</v>
          </cell>
          <cell r="R20">
            <v>22.23</v>
          </cell>
          <cell r="T20">
            <v>2.77</v>
          </cell>
          <cell r="U20">
            <v>3.76</v>
          </cell>
          <cell r="V20">
            <v>8.18</v>
          </cell>
          <cell r="W20">
            <v>12.7</v>
          </cell>
        </row>
        <row r="21">
          <cell r="D21">
            <v>273</v>
          </cell>
          <cell r="E21">
            <v>3.4</v>
          </cell>
          <cell r="F21">
            <v>4.1900000000000004</v>
          </cell>
          <cell r="G21">
            <v>6.35</v>
          </cell>
          <cell r="H21">
            <v>7.8</v>
          </cell>
          <cell r="I21">
            <v>9.27</v>
          </cell>
          <cell r="J21">
            <v>9.27</v>
          </cell>
          <cell r="K21">
            <v>12.7</v>
          </cell>
          <cell r="L21">
            <v>12.7</v>
          </cell>
          <cell r="M21">
            <v>15.09</v>
          </cell>
          <cell r="N21">
            <v>18.260000000000002</v>
          </cell>
          <cell r="O21">
            <v>21.44</v>
          </cell>
          <cell r="P21">
            <v>25.4</v>
          </cell>
          <cell r="Q21">
            <v>28.58</v>
          </cell>
          <cell r="R21">
            <v>25.4</v>
          </cell>
          <cell r="T21">
            <v>3.4</v>
          </cell>
          <cell r="U21">
            <v>4.1900000000000004</v>
          </cell>
          <cell r="V21">
            <v>9.27</v>
          </cell>
          <cell r="W21">
            <v>12.7</v>
          </cell>
        </row>
        <row r="22">
          <cell r="D22">
            <v>323.8</v>
          </cell>
          <cell r="E22">
            <v>3.96</v>
          </cell>
          <cell r="F22">
            <v>4.57</v>
          </cell>
          <cell r="G22">
            <v>6.35</v>
          </cell>
          <cell r="H22">
            <v>8.3800000000000008</v>
          </cell>
          <cell r="I22">
            <v>9.5299999999999994</v>
          </cell>
          <cell r="J22">
            <v>10.31</v>
          </cell>
          <cell r="K22">
            <v>14.27</v>
          </cell>
          <cell r="L22">
            <v>12.7</v>
          </cell>
          <cell r="M22">
            <v>17.48</v>
          </cell>
          <cell r="N22">
            <v>21.44</v>
          </cell>
          <cell r="O22">
            <v>25.4</v>
          </cell>
          <cell r="P22">
            <v>28.58</v>
          </cell>
          <cell r="Q22">
            <v>33.32</v>
          </cell>
          <cell r="R22">
            <v>25.4</v>
          </cell>
          <cell r="T22">
            <v>3.96</v>
          </cell>
          <cell r="U22">
            <v>4.57</v>
          </cell>
          <cell r="V22">
            <v>9.5299999999999994</v>
          </cell>
          <cell r="W22">
            <v>12.7</v>
          </cell>
        </row>
        <row r="23">
          <cell r="D23">
            <v>355.6</v>
          </cell>
          <cell r="E23">
            <v>3.96</v>
          </cell>
          <cell r="F23">
            <v>6.35</v>
          </cell>
          <cell r="G23">
            <v>7.92</v>
          </cell>
          <cell r="H23">
            <v>9.5299999999999994</v>
          </cell>
          <cell r="I23">
            <v>9.5299999999999994</v>
          </cell>
          <cell r="J23">
            <v>11.13</v>
          </cell>
          <cell r="K23">
            <v>15.09</v>
          </cell>
          <cell r="L23">
            <v>12.7</v>
          </cell>
          <cell r="M23">
            <v>19.05</v>
          </cell>
          <cell r="N23">
            <v>23.83</v>
          </cell>
          <cell r="O23">
            <v>27.79</v>
          </cell>
          <cell r="P23">
            <v>31.75</v>
          </cell>
          <cell r="Q23">
            <v>35.71</v>
          </cell>
          <cell r="T23">
            <v>3.96</v>
          </cell>
          <cell r="U23">
            <v>4.78</v>
          </cell>
        </row>
        <row r="24">
          <cell r="D24">
            <v>406.4</v>
          </cell>
          <cell r="E24">
            <v>4.1900000000000004</v>
          </cell>
          <cell r="F24">
            <v>6.35</v>
          </cell>
          <cell r="G24">
            <v>7.92</v>
          </cell>
          <cell r="H24">
            <v>9.5299999999999994</v>
          </cell>
          <cell r="I24">
            <v>9.5299999999999994</v>
          </cell>
          <cell r="J24">
            <v>12.7</v>
          </cell>
          <cell r="K24">
            <v>16.66</v>
          </cell>
          <cell r="L24">
            <v>12.7</v>
          </cell>
          <cell r="M24">
            <v>21.44</v>
          </cell>
          <cell r="N24">
            <v>26.19</v>
          </cell>
          <cell r="O24">
            <v>30.96</v>
          </cell>
          <cell r="P24">
            <v>36.53</v>
          </cell>
          <cell r="Q24">
            <v>40.49</v>
          </cell>
          <cell r="T24">
            <v>4.1900000000000004</v>
          </cell>
          <cell r="U24">
            <v>4.78</v>
          </cell>
        </row>
        <row r="25">
          <cell r="D25">
            <v>457</v>
          </cell>
          <cell r="E25">
            <v>4.1900000000000004</v>
          </cell>
          <cell r="F25">
            <v>6.35</v>
          </cell>
          <cell r="G25">
            <v>7.92</v>
          </cell>
          <cell r="H25">
            <v>11.13</v>
          </cell>
          <cell r="I25">
            <v>9.5299999999999994</v>
          </cell>
          <cell r="J25">
            <v>14.27</v>
          </cell>
          <cell r="K25">
            <v>19.05</v>
          </cell>
          <cell r="L25">
            <v>12.7</v>
          </cell>
          <cell r="M25">
            <v>23.83</v>
          </cell>
          <cell r="N25">
            <v>29.36</v>
          </cell>
          <cell r="O25">
            <v>34.93</v>
          </cell>
          <cell r="P25">
            <v>39.67</v>
          </cell>
          <cell r="Q25">
            <v>45.24</v>
          </cell>
          <cell r="T25">
            <v>4.1900000000000004</v>
          </cell>
          <cell r="U25">
            <v>4.78</v>
          </cell>
        </row>
        <row r="26">
          <cell r="D26">
            <v>508</v>
          </cell>
          <cell r="E26">
            <v>4.78</v>
          </cell>
          <cell r="F26">
            <v>6.35</v>
          </cell>
          <cell r="G26">
            <v>9.5299999999999994</v>
          </cell>
          <cell r="H26">
            <v>12.7</v>
          </cell>
          <cell r="I26">
            <v>9.5299999999999994</v>
          </cell>
          <cell r="J26">
            <v>15.09</v>
          </cell>
          <cell r="K26">
            <v>20.62</v>
          </cell>
          <cell r="L26">
            <v>12.7</v>
          </cell>
          <cell r="M26">
            <v>26.19</v>
          </cell>
          <cell r="N26">
            <v>32.54</v>
          </cell>
          <cell r="O26">
            <v>38.1</v>
          </cell>
          <cell r="P26">
            <v>44.45</v>
          </cell>
          <cell r="Q26">
            <v>50.01</v>
          </cell>
          <cell r="T26">
            <v>4.78</v>
          </cell>
          <cell r="U26">
            <v>5.54</v>
          </cell>
        </row>
        <row r="27">
          <cell r="D27">
            <v>559</v>
          </cell>
          <cell r="E27">
            <v>4.78</v>
          </cell>
          <cell r="F27">
            <v>6.35</v>
          </cell>
          <cell r="G27">
            <v>9.5299999999999994</v>
          </cell>
          <cell r="H27">
            <v>12.7</v>
          </cell>
          <cell r="I27">
            <v>9.5299999999999994</v>
          </cell>
          <cell r="K27">
            <v>2.23</v>
          </cell>
          <cell r="L27">
            <v>12.7</v>
          </cell>
          <cell r="M27">
            <v>28.58</v>
          </cell>
          <cell r="N27">
            <v>34.93</v>
          </cell>
          <cell r="O27">
            <v>41.28</v>
          </cell>
          <cell r="P27">
            <v>47.63</v>
          </cell>
          <cell r="Q27">
            <v>53.98</v>
          </cell>
          <cell r="T27">
            <v>4.78</v>
          </cell>
          <cell r="U27">
            <v>5.54</v>
          </cell>
        </row>
        <row r="28">
          <cell r="D28">
            <v>610</v>
          </cell>
          <cell r="E28">
            <v>5.54</v>
          </cell>
          <cell r="F28">
            <v>6.35</v>
          </cell>
          <cell r="G28">
            <v>9.5299999999999994</v>
          </cell>
          <cell r="H28">
            <v>14.27</v>
          </cell>
          <cell r="I28">
            <v>9.5299999999999994</v>
          </cell>
          <cell r="J28">
            <v>17.48</v>
          </cell>
          <cell r="K28">
            <v>24.61</v>
          </cell>
          <cell r="L28">
            <v>12.7</v>
          </cell>
          <cell r="M28">
            <v>30.96</v>
          </cell>
          <cell r="N28">
            <v>38.89</v>
          </cell>
          <cell r="O28">
            <v>46.02</v>
          </cell>
          <cell r="P28">
            <v>52.37</v>
          </cell>
          <cell r="Q28">
            <v>59.54</v>
          </cell>
          <cell r="T28">
            <v>5.54</v>
          </cell>
          <cell r="U28">
            <v>6.35</v>
          </cell>
        </row>
        <row r="29">
          <cell r="D29">
            <v>660</v>
          </cell>
          <cell r="F29">
            <v>7.92</v>
          </cell>
          <cell r="G29">
            <v>12.7</v>
          </cell>
          <cell r="I29">
            <v>9.5299999999999994</v>
          </cell>
          <cell r="L29">
            <v>12.7</v>
          </cell>
        </row>
        <row r="30">
          <cell r="D30">
            <v>711</v>
          </cell>
          <cell r="F30">
            <v>7.92</v>
          </cell>
          <cell r="G30">
            <v>12.7</v>
          </cell>
          <cell r="H30">
            <v>15.88</v>
          </cell>
          <cell r="I30">
            <v>9.5299999999999994</v>
          </cell>
          <cell r="L30">
            <v>12.7</v>
          </cell>
        </row>
        <row r="31">
          <cell r="D31">
            <v>762</v>
          </cell>
          <cell r="F31">
            <v>7.92</v>
          </cell>
          <cell r="G31">
            <v>12.7</v>
          </cell>
          <cell r="H31">
            <v>15.88</v>
          </cell>
          <cell r="I31">
            <v>9.5299999999999994</v>
          </cell>
          <cell r="L31">
            <v>12.7</v>
          </cell>
          <cell r="T31">
            <v>6.35</v>
          </cell>
          <cell r="U31">
            <v>7.92</v>
          </cell>
        </row>
        <row r="32">
          <cell r="D32">
            <v>813</v>
          </cell>
          <cell r="F32">
            <v>7.92</v>
          </cell>
          <cell r="G32">
            <v>12.7</v>
          </cell>
          <cell r="H32">
            <v>15.88</v>
          </cell>
          <cell r="I32">
            <v>9.5299999999999994</v>
          </cell>
          <cell r="J32">
            <v>17.48</v>
          </cell>
          <cell r="L32">
            <v>12.7</v>
          </cell>
        </row>
        <row r="33">
          <cell r="D33">
            <v>864</v>
          </cell>
          <cell r="F33">
            <v>7.92</v>
          </cell>
          <cell r="G33">
            <v>12.7</v>
          </cell>
          <cell r="H33">
            <v>15.88</v>
          </cell>
          <cell r="I33">
            <v>9.5299999999999994</v>
          </cell>
          <cell r="J33">
            <v>18.48</v>
          </cell>
          <cell r="L33">
            <v>12.7</v>
          </cell>
        </row>
        <row r="34">
          <cell r="D34">
            <v>914</v>
          </cell>
          <cell r="F34">
            <v>7.92</v>
          </cell>
          <cell r="G34">
            <v>12.7</v>
          </cell>
          <cell r="H34">
            <v>15.88</v>
          </cell>
          <cell r="I34">
            <v>9.5299999999999994</v>
          </cell>
          <cell r="J34">
            <v>19.05</v>
          </cell>
          <cell r="L34">
            <v>12.7</v>
          </cell>
        </row>
        <row r="35">
          <cell r="D35">
            <v>965</v>
          </cell>
          <cell r="I35">
            <v>9.5299999999999994</v>
          </cell>
          <cell r="L35">
            <v>12.7</v>
          </cell>
        </row>
        <row r="36">
          <cell r="D36">
            <v>1016</v>
          </cell>
          <cell r="I36">
            <v>9.5299999999999994</v>
          </cell>
          <cell r="L36">
            <v>12.7</v>
          </cell>
        </row>
        <row r="37">
          <cell r="D37">
            <v>1067</v>
          </cell>
          <cell r="I37">
            <v>9.5299999999999994</v>
          </cell>
          <cell r="L37">
            <v>12.7</v>
          </cell>
        </row>
        <row r="38">
          <cell r="D38">
            <v>1118</v>
          </cell>
          <cell r="I38">
            <v>9.5299999999999994</v>
          </cell>
          <cell r="L38">
            <v>12.7</v>
          </cell>
        </row>
        <row r="39">
          <cell r="D39">
            <v>1168</v>
          </cell>
          <cell r="I39">
            <v>9.5299999999999994</v>
          </cell>
          <cell r="L39">
            <v>12.7</v>
          </cell>
        </row>
        <row r="40">
          <cell r="D40">
            <v>1219</v>
          </cell>
          <cell r="I40">
            <v>9.5299999999999994</v>
          </cell>
          <cell r="L40">
            <v>12.7</v>
          </cell>
        </row>
        <row r="41">
          <cell r="D41">
            <v>1321</v>
          </cell>
          <cell r="I41">
            <v>9.5299999999999994</v>
          </cell>
          <cell r="L41">
            <v>12.7</v>
          </cell>
        </row>
        <row r="42">
          <cell r="D42">
            <v>1422</v>
          </cell>
        </row>
        <row r="43">
          <cell r="D43">
            <v>1524</v>
          </cell>
        </row>
        <row r="44">
          <cell r="D44">
            <v>1626</v>
          </cell>
        </row>
        <row r="45">
          <cell r="D45">
            <v>1727</v>
          </cell>
        </row>
        <row r="46">
          <cell r="D46">
            <v>1829</v>
          </cell>
        </row>
        <row r="47">
          <cell r="D47">
            <v>1930</v>
          </cell>
        </row>
        <row r="48">
          <cell r="D48">
            <v>2032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SUMENES"/>
      <sheetName val="Opcionales"/>
      <sheetName val="OPC Repuestos"/>
      <sheetName val="OPC MANT L. PLAZ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ET200(R. B)"/>
      <sheetName val="CABLE BOM(Rev. B)"/>
      <sheetName val="DB_ET200(R. A)"/>
      <sheetName val="CABLE BOM(Rev. A)"/>
      <sheetName val="#REF"/>
      <sheetName val="BM"/>
      <sheetName val="ASME B 36.10 M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</sheetNames>
    <sheetDataSet>
      <sheetData sheetId="0" refreshError="1"/>
      <sheetData sheetId="1" refreshError="1"/>
      <sheetData sheetId="2">
        <row r="2">
          <cell r="S2" t="str">
            <v>LENGTH</v>
          </cell>
        </row>
        <row r="3">
          <cell r="S3" t="str">
            <v>(M)</v>
          </cell>
        </row>
        <row r="5">
          <cell r="S5">
            <v>35</v>
          </cell>
        </row>
        <row r="6">
          <cell r="S6">
            <v>35</v>
          </cell>
        </row>
        <row r="7">
          <cell r="S7">
            <v>35</v>
          </cell>
        </row>
        <row r="8">
          <cell r="S8">
            <v>35</v>
          </cell>
        </row>
        <row r="9">
          <cell r="S9">
            <v>35</v>
          </cell>
        </row>
        <row r="10">
          <cell r="S10">
            <v>35</v>
          </cell>
        </row>
        <row r="12">
          <cell r="S12">
            <v>30</v>
          </cell>
        </row>
        <row r="13">
          <cell r="S13">
            <v>30</v>
          </cell>
        </row>
        <row r="14">
          <cell r="S14">
            <v>30</v>
          </cell>
        </row>
        <row r="15">
          <cell r="S15">
            <v>30</v>
          </cell>
        </row>
        <row r="16">
          <cell r="S16">
            <v>30</v>
          </cell>
        </row>
        <row r="17">
          <cell r="S17">
            <v>30</v>
          </cell>
        </row>
        <row r="19">
          <cell r="S19">
            <v>25</v>
          </cell>
        </row>
        <row r="20">
          <cell r="S20">
            <v>25</v>
          </cell>
        </row>
        <row r="21">
          <cell r="S21">
            <v>25</v>
          </cell>
        </row>
        <row r="22">
          <cell r="S22">
            <v>25</v>
          </cell>
        </row>
        <row r="23">
          <cell r="S23">
            <v>25</v>
          </cell>
        </row>
        <row r="24">
          <cell r="S24">
            <v>25</v>
          </cell>
        </row>
        <row r="26">
          <cell r="S26">
            <v>35</v>
          </cell>
        </row>
        <row r="27">
          <cell r="S27">
            <v>35</v>
          </cell>
        </row>
        <row r="28">
          <cell r="S28">
            <v>35</v>
          </cell>
        </row>
        <row r="29">
          <cell r="S29">
            <v>35</v>
          </cell>
        </row>
        <row r="30">
          <cell r="S30">
            <v>35</v>
          </cell>
        </row>
        <row r="31">
          <cell r="S31">
            <v>35</v>
          </cell>
        </row>
        <row r="33">
          <cell r="S33">
            <v>25</v>
          </cell>
        </row>
        <row r="34">
          <cell r="S34">
            <v>25</v>
          </cell>
        </row>
        <row r="35">
          <cell r="S35">
            <v>25</v>
          </cell>
        </row>
        <row r="36">
          <cell r="S36">
            <v>25</v>
          </cell>
        </row>
        <row r="37">
          <cell r="S37">
            <v>25</v>
          </cell>
        </row>
        <row r="38">
          <cell r="S38">
            <v>25</v>
          </cell>
        </row>
        <row r="40">
          <cell r="S40">
            <v>25</v>
          </cell>
        </row>
        <row r="41">
          <cell r="S41">
            <v>25</v>
          </cell>
        </row>
        <row r="42">
          <cell r="S42">
            <v>25</v>
          </cell>
        </row>
        <row r="43">
          <cell r="S43">
            <v>25</v>
          </cell>
        </row>
        <row r="45">
          <cell r="S45">
            <v>35</v>
          </cell>
        </row>
        <row r="46">
          <cell r="S46">
            <v>35</v>
          </cell>
        </row>
        <row r="47">
          <cell r="S47">
            <v>35</v>
          </cell>
        </row>
        <row r="48">
          <cell r="S48">
            <v>35</v>
          </cell>
        </row>
        <row r="49">
          <cell r="S49">
            <v>35</v>
          </cell>
        </row>
        <row r="50">
          <cell r="S50">
            <v>35</v>
          </cell>
        </row>
        <row r="52">
          <cell r="S52">
            <v>30</v>
          </cell>
        </row>
        <row r="53">
          <cell r="S53">
            <v>30</v>
          </cell>
        </row>
        <row r="54">
          <cell r="S54">
            <v>30</v>
          </cell>
        </row>
        <row r="55">
          <cell r="S55">
            <v>30</v>
          </cell>
        </row>
        <row r="56">
          <cell r="S56">
            <v>30</v>
          </cell>
        </row>
        <row r="57">
          <cell r="S57">
            <v>30</v>
          </cell>
        </row>
        <row r="59">
          <cell r="S59">
            <v>25</v>
          </cell>
        </row>
        <row r="60">
          <cell r="S60">
            <v>25</v>
          </cell>
        </row>
        <row r="61">
          <cell r="S61">
            <v>25</v>
          </cell>
        </row>
        <row r="62">
          <cell r="S62">
            <v>25</v>
          </cell>
        </row>
        <row r="63">
          <cell r="S63">
            <v>25</v>
          </cell>
        </row>
        <row r="64">
          <cell r="S64">
            <v>25</v>
          </cell>
        </row>
        <row r="66">
          <cell r="S66">
            <v>30</v>
          </cell>
        </row>
        <row r="67">
          <cell r="S67">
            <v>30</v>
          </cell>
        </row>
        <row r="68">
          <cell r="S68">
            <v>30</v>
          </cell>
        </row>
        <row r="69">
          <cell r="S69">
            <v>30</v>
          </cell>
        </row>
        <row r="70">
          <cell r="S70">
            <v>30</v>
          </cell>
        </row>
        <row r="71">
          <cell r="S71">
            <v>30</v>
          </cell>
        </row>
        <row r="73">
          <cell r="S73">
            <v>25</v>
          </cell>
        </row>
        <row r="74">
          <cell r="S74">
            <v>25</v>
          </cell>
        </row>
        <row r="75">
          <cell r="S75">
            <v>25</v>
          </cell>
        </row>
        <row r="76">
          <cell r="S76">
            <v>25</v>
          </cell>
        </row>
        <row r="77">
          <cell r="S77">
            <v>25</v>
          </cell>
        </row>
        <row r="78">
          <cell r="S78">
            <v>25</v>
          </cell>
        </row>
        <row r="80">
          <cell r="S80">
            <v>25</v>
          </cell>
        </row>
        <row r="81">
          <cell r="S81">
            <v>25</v>
          </cell>
        </row>
        <row r="82">
          <cell r="S82">
            <v>25</v>
          </cell>
        </row>
        <row r="83">
          <cell r="S83">
            <v>25</v>
          </cell>
        </row>
        <row r="85">
          <cell r="S85">
            <v>1970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BILL # 1 (Prelims)"/>
      <sheetName val="BILL # 2 (Civil,Arch.)"/>
      <sheetName val="BILL # 3 (Mechanical)"/>
      <sheetName val="BILL # 4 (Electrical)"/>
      <sheetName val="BILL # 5 (External works)"/>
      <sheetName val="Alternative for local steel"/>
      <sheetName val="Electrical Addendum # 1"/>
      <sheetName val="Carrefour Walls"/>
      <sheetName val="Omission of Entrance Canopy"/>
      <sheetName val="EIs Progress"/>
      <sheetName val="Materials On Site"/>
      <sheetName val="General Summary"/>
      <sheetName val="Val 03 Form"/>
      <sheetName val="RFP003B"/>
      <sheetName val="AN"/>
      <sheetName val="cement"/>
      <sheetName val="Macro"/>
      <sheetName val="POWER"/>
      <sheetName val="Sheet1"/>
      <sheetName val="#REF"/>
      <sheetName val="Graph (LGEN)"/>
      <sheetName val="IN"/>
      <sheetName val="out_prog"/>
      <sheetName val="선적schedule (2)"/>
      <sheetName val="piping"/>
      <sheetName val="ITB COST"/>
      <sheetName val="s_curve data"/>
      <sheetName val="Electrical Load List"/>
      <sheetName val="cables"/>
      <sheetName val="Menu"/>
      <sheetName val="SOLICITUD"/>
      <sheetName val="Unit Cost"/>
      <sheetName val="T&amp;M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D"/>
      <sheetName val="Payroll"/>
      <sheetName val="Macro1"/>
      <sheetName val="CIF COST ITEM"/>
      <sheetName val="D-3"/>
      <sheetName val="J"/>
      <sheetName val="FitOutConfCentre"/>
      <sheetName val="물량집계(전기)"/>
      <sheetName val="물량집계(계장)"/>
      <sheetName val="Parameters"/>
      <sheetName val="Details"/>
      <sheetName val="Total  Amount"/>
      <sheetName val="HQ-TO"/>
      <sheetName val="8.1 bms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내역"/>
      <sheetName val="PJT Description"/>
      <sheetName val="견적조건"/>
      <sheetName val="Cost 변경내역"/>
      <sheetName val="원가계산 보고용"/>
      <sheetName val="원가계산"/>
      <sheetName val="TR 합의금액"/>
      <sheetName val="TR cost level"/>
      <sheetName val="Owner"/>
      <sheetName val="Owner(5%)"/>
      <sheetName val="Owner(8%)"/>
      <sheetName val="Alt"/>
      <sheetName val="PCA"/>
      <sheetName val="Expenses"/>
      <sheetName val="Inst"/>
      <sheetName val="Elect"/>
      <sheetName val="Mech"/>
      <sheetName val="HVAC"/>
      <sheetName val="CAS"/>
      <sheetName val="FF"/>
      <sheetName val="Piping"/>
      <sheetName val="activity"/>
      <sheetName val="공사비교표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D2" t="str">
            <v>Package</v>
          </cell>
        </row>
      </sheetData>
      <sheetData sheetId="22"/>
      <sheetData sheetId="2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essors"/>
    </sheetNames>
    <sheetDataSet>
      <sheetData sheetId="0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um"/>
      <sheetName val="BOQ"/>
      <sheetName val="ODC"/>
      <sheetName val="Module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VC"/>
      <sheetName val="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B_BULK_TOTAL"/>
      <sheetName val="T_BULK"/>
      <sheetName val="B_BULK"/>
      <sheetName val="Module1 "/>
      <sheetName val="計算式"/>
      <sheetName val="Prog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TONGKE1P"/>
    </sheetNames>
    <sheetDataSet>
      <sheetData sheetId="0" refreshError="1"/>
      <sheetData sheetId="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表紙"/>
      <sheetName val="内訳明細書"/>
      <sheetName val="機械工数内訳"/>
      <sheetName val="電計工数内訳"/>
      <sheetName val="監督派遣"/>
      <sheetName val="監督及び重機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thanh1"/>
      <sheetName val="dongia"/>
      <sheetName val="giathanh1 (2)"/>
      <sheetName val="thkp1"/>
      <sheetName val="VCDD (2)"/>
      <sheetName val="thkp1 (2)"/>
      <sheetName val="Sheet1"/>
      <sheetName val="thkp2"/>
      <sheetName val="chitiet2 (2)"/>
      <sheetName val="dongia (2)"/>
      <sheetName val="VCDD (3)"/>
      <sheetName val="chitiet2"/>
      <sheetName val="CT3X15"/>
      <sheetName val="TH3x25"/>
      <sheetName val="CT1X15 "/>
      <sheetName val="TH1x1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  <sheetName val="DONGIA"/>
      <sheetName val="KH_Q1_Q2_01"/>
      <sheetName val="giathanh1"/>
      <sheetName val="TONGKE1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thanh1"/>
      <sheetName val="dongia"/>
      <sheetName val="thkp1"/>
      <sheetName val="VCDD (2)"/>
      <sheetName val="Sheet1"/>
      <sheetName val="thkp1 (2)"/>
      <sheetName val="thkp2"/>
      <sheetName val="dongia (2)"/>
      <sheetName val="thkp3"/>
      <sheetName val="VCDD (3)"/>
      <sheetName val="TH1x25 "/>
      <sheetName val="CT1X25 "/>
      <sheetName val="CT4X15 "/>
      <sheetName val="TH4x15  (2)"/>
      <sheetName val="chitiet2"/>
      <sheetName val="CT1X15"/>
      <sheetName val="TH1x15 (2)"/>
      <sheetName val="KH-Q1,Q2,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 VL-NC-TT-3p"/>
      <sheetName val="VCV-BE-TONG"/>
      <sheetName val="DON GIA"/>
      <sheetName val="CHITIET VL-NC-TT -1p"/>
      <sheetName val="TONG HOP VL-NC"/>
      <sheetName val="KPVC-BD "/>
      <sheetName val="TDTKP2"/>
      <sheetName val="TDTKP1"/>
      <sheetName val="DKHTT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"/>
      <sheetName val="Client BOQ"/>
      <sheetName val="boq"/>
      <sheetName val="Conc."/>
      <sheetName val="Finish."/>
      <sheetName val="Doors"/>
      <sheetName val="SI2"/>
      <sheetName val="List"/>
      <sheetName val="equip"/>
      <sheetName val="Qo."/>
      <sheetName val="Mic"/>
      <sheetName val="Qo. (2)"/>
      <sheetName val="CASH  FLOW "/>
      <sheetName val="Module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Main Code"/>
      <sheetName val="Beams"/>
      <sheetName val="Geometry"/>
      <sheetName val="BoilerMatl"/>
      <sheetName val="BoilerMatl2"/>
      <sheetName val="Headers"/>
      <sheetName val="Bundles"/>
      <sheetName val="CasingInput"/>
      <sheetName val="FieldSummary"/>
      <sheetName val="Finning"/>
      <sheetName val="beam-table"/>
      <sheetName val="HarpMatl"/>
      <sheetName val="Headers-두께의뢰"/>
      <sheetName val="HXSS(US)"/>
      <sheetName val="Interior"/>
      <sheetName val="Labor Operations"/>
      <sheetName val="Project Data"/>
      <sheetName val="Revision Log"/>
      <sheetName val="Shipping"/>
      <sheetName val="SteelInput"/>
      <sheetName val="Summary"/>
      <sheetName val="Tubing"/>
      <sheetName val="Cost"/>
      <sheetName val="Material Code"/>
      <sheetName val="InpShtsCode"/>
      <sheetName val="Cost 98"/>
      <sheetName val="CodeMap"/>
      <sheetName val="Old Cost"/>
      <sheetName val="Labor Factors"/>
      <sheetName val="Old Labor Factors"/>
      <sheetName val="Old FinTables"/>
      <sheetName val="FinTables"/>
      <sheetName val="Tables"/>
      <sheetName val="Read &amp; Calc"/>
      <sheetName val="Tubes Code"/>
      <sheetName val="GeomCode"/>
      <sheetName val="Hdr Code"/>
      <sheetName val="BundleCode"/>
      <sheetName val="Fin Code"/>
      <sheetName val="Labor 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Item 2 - PC Details"/>
      <sheetName val="Totals"/>
      <sheetName val="D25"/>
      <sheetName val="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Q"/>
      <sheetName val="Currencies"/>
      <sheetName val="Sheet3"/>
    </sheetNames>
    <sheetDataSet>
      <sheetData sheetId="0"/>
      <sheetData sheetId="1">
        <row r="1">
          <cell r="A1" t="str">
            <v>ADP</v>
          </cell>
        </row>
        <row r="2">
          <cell r="A2" t="str">
            <v>AED</v>
          </cell>
        </row>
        <row r="3">
          <cell r="A3" t="str">
            <v>AFA</v>
          </cell>
        </row>
        <row r="4">
          <cell r="A4" t="str">
            <v>ALL</v>
          </cell>
        </row>
        <row r="5">
          <cell r="A5" t="str">
            <v>AMD</v>
          </cell>
        </row>
        <row r="6">
          <cell r="A6" t="str">
            <v>ANG</v>
          </cell>
        </row>
        <row r="7">
          <cell r="A7" t="str">
            <v>AON</v>
          </cell>
        </row>
        <row r="8">
          <cell r="A8" t="str">
            <v>AOR</v>
          </cell>
        </row>
        <row r="9">
          <cell r="A9" t="str">
            <v>ARS</v>
          </cell>
        </row>
        <row r="10">
          <cell r="A10" t="str">
            <v>ATS</v>
          </cell>
        </row>
        <row r="11">
          <cell r="A11" t="str">
            <v>AUD</v>
          </cell>
        </row>
        <row r="12">
          <cell r="A12" t="str">
            <v>AWG</v>
          </cell>
        </row>
        <row r="13">
          <cell r="A13" t="str">
            <v>AZM</v>
          </cell>
        </row>
        <row r="14">
          <cell r="A14" t="str">
            <v>BAM</v>
          </cell>
        </row>
        <row r="15">
          <cell r="A15" t="str">
            <v>BBD</v>
          </cell>
        </row>
        <row r="16">
          <cell r="A16" t="str">
            <v>BDT</v>
          </cell>
        </row>
        <row r="17">
          <cell r="A17" t="str">
            <v>BEF</v>
          </cell>
        </row>
        <row r="18">
          <cell r="A18" t="str">
            <v>BGN</v>
          </cell>
        </row>
        <row r="19">
          <cell r="A19" t="str">
            <v>BHD</v>
          </cell>
        </row>
        <row r="20">
          <cell r="A20" t="str">
            <v>BIF</v>
          </cell>
        </row>
        <row r="21">
          <cell r="A21" t="str">
            <v>BMD</v>
          </cell>
        </row>
        <row r="22">
          <cell r="A22" t="str">
            <v>BND</v>
          </cell>
        </row>
        <row r="23">
          <cell r="A23" t="str">
            <v>BOB</v>
          </cell>
        </row>
        <row r="24">
          <cell r="A24" t="str">
            <v>BRL</v>
          </cell>
        </row>
        <row r="25">
          <cell r="A25" t="str">
            <v>BSD</v>
          </cell>
        </row>
        <row r="26">
          <cell r="A26" t="str">
            <v>BTN</v>
          </cell>
        </row>
        <row r="27">
          <cell r="A27" t="str">
            <v>BWP</v>
          </cell>
        </row>
        <row r="28">
          <cell r="A28" t="str">
            <v>BYB</v>
          </cell>
        </row>
        <row r="29">
          <cell r="A29" t="str">
            <v>BZD</v>
          </cell>
        </row>
        <row r="30">
          <cell r="A30" t="str">
            <v>CAD</v>
          </cell>
        </row>
        <row r="31">
          <cell r="A31" t="str">
            <v>CFP</v>
          </cell>
        </row>
        <row r="32">
          <cell r="A32" t="str">
            <v>CHF</v>
          </cell>
        </row>
        <row r="33">
          <cell r="A33" t="str">
            <v>CLP</v>
          </cell>
        </row>
        <row r="34">
          <cell r="A34" t="str">
            <v>CNY</v>
          </cell>
        </row>
        <row r="35">
          <cell r="A35" t="str">
            <v>COP</v>
          </cell>
        </row>
        <row r="36">
          <cell r="A36" t="str">
            <v>CRC</v>
          </cell>
        </row>
        <row r="37">
          <cell r="A37" t="str">
            <v>CUP</v>
          </cell>
        </row>
        <row r="38">
          <cell r="A38" t="str">
            <v>CVE</v>
          </cell>
        </row>
        <row r="39">
          <cell r="A39" t="str">
            <v>CYP</v>
          </cell>
        </row>
        <row r="40">
          <cell r="A40" t="str">
            <v>CZK</v>
          </cell>
        </row>
        <row r="41">
          <cell r="A41" t="str">
            <v>DEM</v>
          </cell>
        </row>
        <row r="42">
          <cell r="A42" t="str">
            <v>DEM3</v>
          </cell>
        </row>
        <row r="43">
          <cell r="A43" t="str">
            <v>DJF</v>
          </cell>
        </row>
        <row r="44">
          <cell r="A44" t="str">
            <v>DKK</v>
          </cell>
        </row>
        <row r="45">
          <cell r="A45" t="str">
            <v>DOP</v>
          </cell>
        </row>
        <row r="46">
          <cell r="A46" t="str">
            <v>DZD</v>
          </cell>
        </row>
        <row r="47">
          <cell r="A47" t="str">
            <v>ECS</v>
          </cell>
        </row>
        <row r="48">
          <cell r="A48" t="str">
            <v>EEK</v>
          </cell>
        </row>
        <row r="49">
          <cell r="A49" t="str">
            <v>EGP</v>
          </cell>
        </row>
        <row r="50">
          <cell r="A50" t="str">
            <v>ERN</v>
          </cell>
        </row>
        <row r="51">
          <cell r="A51" t="str">
            <v>ESP</v>
          </cell>
        </row>
        <row r="52">
          <cell r="A52" t="str">
            <v>ETB</v>
          </cell>
        </row>
        <row r="53">
          <cell r="A53" t="str">
            <v>EUR</v>
          </cell>
        </row>
        <row r="54">
          <cell r="A54" t="str">
            <v>FIM</v>
          </cell>
        </row>
        <row r="55">
          <cell r="A55" t="str">
            <v>FJD</v>
          </cell>
        </row>
        <row r="56">
          <cell r="A56" t="str">
            <v>FKP</v>
          </cell>
        </row>
        <row r="57">
          <cell r="A57" t="str">
            <v>FRF</v>
          </cell>
        </row>
        <row r="58">
          <cell r="A58" t="str">
            <v>GBP</v>
          </cell>
        </row>
        <row r="59">
          <cell r="A59" t="str">
            <v>GEL</v>
          </cell>
        </row>
        <row r="60">
          <cell r="A60" t="str">
            <v>GHC</v>
          </cell>
        </row>
        <row r="61">
          <cell r="A61" t="str">
            <v>GIP</v>
          </cell>
        </row>
        <row r="62">
          <cell r="A62" t="str">
            <v>GMD</v>
          </cell>
        </row>
        <row r="63">
          <cell r="A63" t="str">
            <v>GNF</v>
          </cell>
        </row>
        <row r="64">
          <cell r="A64" t="str">
            <v>GRD</v>
          </cell>
        </row>
        <row r="65">
          <cell r="A65" t="str">
            <v>GTQ</v>
          </cell>
        </row>
        <row r="66">
          <cell r="A66" t="str">
            <v>GWP</v>
          </cell>
        </row>
        <row r="67">
          <cell r="A67" t="str">
            <v>GYD</v>
          </cell>
        </row>
        <row r="68">
          <cell r="A68" t="str">
            <v>HKD</v>
          </cell>
        </row>
        <row r="69">
          <cell r="A69" t="str">
            <v>HNL</v>
          </cell>
        </row>
        <row r="70">
          <cell r="A70" t="str">
            <v>HRK</v>
          </cell>
        </row>
        <row r="71">
          <cell r="A71" t="str">
            <v>HTG</v>
          </cell>
        </row>
        <row r="72">
          <cell r="A72" t="str">
            <v>HUF</v>
          </cell>
        </row>
        <row r="73">
          <cell r="A73" t="str">
            <v>IDR</v>
          </cell>
        </row>
        <row r="74">
          <cell r="A74" t="str">
            <v>IEP</v>
          </cell>
        </row>
        <row r="75">
          <cell r="A75" t="str">
            <v>ILS</v>
          </cell>
        </row>
        <row r="76">
          <cell r="A76" t="str">
            <v>INR</v>
          </cell>
        </row>
        <row r="77">
          <cell r="A77" t="str">
            <v>IQD</v>
          </cell>
        </row>
        <row r="78">
          <cell r="A78" t="str">
            <v>IRR</v>
          </cell>
        </row>
        <row r="79">
          <cell r="A79" t="str">
            <v>ISK</v>
          </cell>
        </row>
        <row r="80">
          <cell r="A80" t="str">
            <v>ITL</v>
          </cell>
        </row>
        <row r="81">
          <cell r="A81" t="str">
            <v>JMD</v>
          </cell>
        </row>
        <row r="82">
          <cell r="A82" t="str">
            <v>JOD</v>
          </cell>
        </row>
        <row r="83">
          <cell r="A83" t="str">
            <v>JPY</v>
          </cell>
        </row>
        <row r="84">
          <cell r="A84" t="str">
            <v>KES</v>
          </cell>
        </row>
        <row r="85">
          <cell r="A85" t="str">
            <v>KGS</v>
          </cell>
        </row>
        <row r="86">
          <cell r="A86" t="str">
            <v>KHR</v>
          </cell>
        </row>
        <row r="87">
          <cell r="A87" t="str">
            <v>KMF</v>
          </cell>
        </row>
        <row r="88">
          <cell r="A88" t="str">
            <v>KPW</v>
          </cell>
        </row>
        <row r="89">
          <cell r="A89" t="str">
            <v>KRW</v>
          </cell>
        </row>
        <row r="90">
          <cell r="A90" t="str">
            <v>KWD</v>
          </cell>
        </row>
        <row r="91">
          <cell r="A91" t="str">
            <v>KYD</v>
          </cell>
        </row>
        <row r="92">
          <cell r="A92" t="str">
            <v>KZT</v>
          </cell>
        </row>
        <row r="93">
          <cell r="A93" t="str">
            <v>LAK</v>
          </cell>
        </row>
        <row r="94">
          <cell r="A94" t="str">
            <v>LBP</v>
          </cell>
        </row>
        <row r="95">
          <cell r="A95" t="str">
            <v>LKR</v>
          </cell>
        </row>
        <row r="96">
          <cell r="A96" t="str">
            <v>LRD</v>
          </cell>
        </row>
        <row r="97">
          <cell r="A97" t="str">
            <v>LSL</v>
          </cell>
        </row>
        <row r="98">
          <cell r="A98" t="str">
            <v>LTL</v>
          </cell>
        </row>
        <row r="99">
          <cell r="A99" t="str">
            <v>LUF</v>
          </cell>
        </row>
        <row r="100">
          <cell r="A100" t="str">
            <v>LVL</v>
          </cell>
        </row>
        <row r="101">
          <cell r="A101" t="str">
            <v>LYD</v>
          </cell>
        </row>
        <row r="102">
          <cell r="A102" t="str">
            <v>MAD</v>
          </cell>
        </row>
        <row r="103">
          <cell r="A103" t="str">
            <v>MDL</v>
          </cell>
        </row>
        <row r="104">
          <cell r="A104" t="str">
            <v>MGF</v>
          </cell>
        </row>
        <row r="105">
          <cell r="A105" t="str">
            <v>MMK</v>
          </cell>
        </row>
        <row r="106">
          <cell r="A106" t="str">
            <v>MNT</v>
          </cell>
        </row>
        <row r="107">
          <cell r="A107" t="str">
            <v>MOP</v>
          </cell>
        </row>
        <row r="108">
          <cell r="A108" t="str">
            <v>MRO</v>
          </cell>
        </row>
        <row r="109">
          <cell r="A109" t="str">
            <v>MTL</v>
          </cell>
        </row>
        <row r="110">
          <cell r="A110" t="str">
            <v>MUR</v>
          </cell>
        </row>
        <row r="111">
          <cell r="A111" t="str">
            <v>MVR</v>
          </cell>
        </row>
        <row r="112">
          <cell r="A112" t="str">
            <v>MWK</v>
          </cell>
        </row>
        <row r="113">
          <cell r="A113" t="str">
            <v>MXP</v>
          </cell>
        </row>
        <row r="114">
          <cell r="A114" t="str">
            <v>MXV</v>
          </cell>
        </row>
        <row r="115">
          <cell r="A115" t="str">
            <v>MYR</v>
          </cell>
        </row>
        <row r="116">
          <cell r="A116" t="str">
            <v>MZM</v>
          </cell>
        </row>
        <row r="117">
          <cell r="A117" t="str">
            <v>NAD</v>
          </cell>
        </row>
        <row r="118">
          <cell r="A118" t="str">
            <v>NGN</v>
          </cell>
        </row>
        <row r="119">
          <cell r="A119" t="str">
            <v>NIO</v>
          </cell>
        </row>
        <row r="120">
          <cell r="A120" t="str">
            <v>NLG</v>
          </cell>
        </row>
        <row r="121">
          <cell r="A121" t="str">
            <v>NOK</v>
          </cell>
        </row>
        <row r="122">
          <cell r="A122" t="str">
            <v>NPR</v>
          </cell>
        </row>
        <row r="123">
          <cell r="A123" t="str">
            <v>NZD</v>
          </cell>
        </row>
        <row r="124">
          <cell r="A124" t="str">
            <v>OMR</v>
          </cell>
        </row>
        <row r="125">
          <cell r="A125" t="str">
            <v>PAB</v>
          </cell>
        </row>
        <row r="126">
          <cell r="A126" t="str">
            <v>PEN</v>
          </cell>
        </row>
        <row r="127">
          <cell r="A127" t="str">
            <v>PGK</v>
          </cell>
        </row>
        <row r="128">
          <cell r="A128" t="str">
            <v>PHP</v>
          </cell>
        </row>
        <row r="129">
          <cell r="A129" t="str">
            <v>PKR</v>
          </cell>
        </row>
        <row r="130">
          <cell r="A130" t="str">
            <v>PLN</v>
          </cell>
        </row>
        <row r="131">
          <cell r="A131" t="str">
            <v>PTE</v>
          </cell>
        </row>
        <row r="132">
          <cell r="A132" t="str">
            <v>PYG</v>
          </cell>
        </row>
        <row r="133">
          <cell r="A133" t="str">
            <v>QAR</v>
          </cell>
        </row>
        <row r="134">
          <cell r="A134" t="str">
            <v>RMB</v>
          </cell>
        </row>
        <row r="135">
          <cell r="A135" t="str">
            <v>ROL</v>
          </cell>
        </row>
        <row r="136">
          <cell r="A136" t="str">
            <v>RUB</v>
          </cell>
        </row>
        <row r="137">
          <cell r="A137" t="str">
            <v>RWF</v>
          </cell>
        </row>
        <row r="138">
          <cell r="A138" t="str">
            <v>SAR</v>
          </cell>
        </row>
        <row r="139">
          <cell r="A139" t="str">
            <v>SBD</v>
          </cell>
        </row>
        <row r="140">
          <cell r="A140" t="str">
            <v>SCR</v>
          </cell>
        </row>
        <row r="141">
          <cell r="A141" t="str">
            <v>SDD</v>
          </cell>
        </row>
        <row r="142">
          <cell r="A142" t="str">
            <v>SDP</v>
          </cell>
        </row>
        <row r="143">
          <cell r="A143" t="str">
            <v>SEK</v>
          </cell>
        </row>
        <row r="144">
          <cell r="A144" t="str">
            <v>SGD</v>
          </cell>
        </row>
        <row r="145">
          <cell r="A145" t="str">
            <v>SHP</v>
          </cell>
        </row>
        <row r="146">
          <cell r="A146" t="str">
            <v>SIT</v>
          </cell>
        </row>
        <row r="147">
          <cell r="A147" t="str">
            <v>SKK</v>
          </cell>
        </row>
        <row r="148">
          <cell r="A148" t="str">
            <v>SLL</v>
          </cell>
        </row>
        <row r="149">
          <cell r="A149" t="str">
            <v>SOS</v>
          </cell>
        </row>
        <row r="150">
          <cell r="A150" t="str">
            <v>SRG</v>
          </cell>
        </row>
        <row r="151">
          <cell r="A151" t="str">
            <v>STD</v>
          </cell>
        </row>
        <row r="152">
          <cell r="A152" t="str">
            <v>SVC</v>
          </cell>
        </row>
        <row r="153">
          <cell r="A153" t="str">
            <v>SYP</v>
          </cell>
        </row>
        <row r="154">
          <cell r="A154" t="str">
            <v>SZL</v>
          </cell>
        </row>
        <row r="155">
          <cell r="A155" t="str">
            <v>THB</v>
          </cell>
        </row>
        <row r="156">
          <cell r="A156" t="str">
            <v>TJR</v>
          </cell>
        </row>
        <row r="157">
          <cell r="A157" t="str">
            <v>TMM</v>
          </cell>
        </row>
        <row r="158">
          <cell r="A158" t="str">
            <v>TND</v>
          </cell>
        </row>
        <row r="159">
          <cell r="A159" t="str">
            <v>TOP</v>
          </cell>
        </row>
        <row r="160">
          <cell r="A160" t="str">
            <v>TPE</v>
          </cell>
        </row>
        <row r="161">
          <cell r="A161" t="str">
            <v>TRL</v>
          </cell>
        </row>
        <row r="162">
          <cell r="A162" t="str">
            <v>TTD</v>
          </cell>
        </row>
        <row r="163">
          <cell r="A163" t="str">
            <v>TWD</v>
          </cell>
        </row>
        <row r="164">
          <cell r="A164" t="str">
            <v>TZS</v>
          </cell>
        </row>
        <row r="165">
          <cell r="A165" t="str">
            <v>UAH</v>
          </cell>
        </row>
        <row r="166">
          <cell r="A166" t="str">
            <v>UGX</v>
          </cell>
        </row>
        <row r="167">
          <cell r="A167" t="str">
            <v>USD</v>
          </cell>
        </row>
        <row r="168">
          <cell r="A168" t="str">
            <v>UYU</v>
          </cell>
        </row>
        <row r="169">
          <cell r="A169" t="str">
            <v>UZS</v>
          </cell>
        </row>
        <row r="170">
          <cell r="A170" t="str">
            <v>VEB</v>
          </cell>
        </row>
        <row r="171">
          <cell r="A171" t="str">
            <v>VND</v>
          </cell>
        </row>
        <row r="172">
          <cell r="A172" t="str">
            <v>VUV</v>
          </cell>
        </row>
        <row r="173">
          <cell r="A173" t="str">
            <v>WST</v>
          </cell>
        </row>
        <row r="174">
          <cell r="A174" t="str">
            <v>XAF</v>
          </cell>
        </row>
        <row r="175">
          <cell r="A175" t="str">
            <v>XCD</v>
          </cell>
        </row>
        <row r="176">
          <cell r="A176" t="str">
            <v>XDR</v>
          </cell>
        </row>
        <row r="177">
          <cell r="A177" t="str">
            <v>XDS</v>
          </cell>
        </row>
        <row r="178">
          <cell r="A178" t="str">
            <v>XEU</v>
          </cell>
        </row>
        <row r="179">
          <cell r="A179" t="str">
            <v>XOF</v>
          </cell>
        </row>
        <row r="180">
          <cell r="A180" t="str">
            <v>XPF</v>
          </cell>
        </row>
        <row r="181">
          <cell r="A181" t="str">
            <v>YER</v>
          </cell>
        </row>
        <row r="182">
          <cell r="A182" t="str">
            <v>YUM</v>
          </cell>
        </row>
        <row r="183">
          <cell r="A183" t="str">
            <v>ZAR</v>
          </cell>
        </row>
        <row r="184">
          <cell r="A184" t="str">
            <v>ZMK</v>
          </cell>
        </row>
        <row r="185">
          <cell r="A185" t="str">
            <v>ZRN</v>
          </cell>
        </row>
        <row r="186">
          <cell r="A186" t="str">
            <v>ZWD</v>
          </cell>
        </row>
      </sheetData>
      <sheetData sheetId="2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$total"/>
      <sheetName val="$BA"/>
      <sheetName val="$BA-otu"/>
      <sheetName val="$CI"/>
      <sheetName val="$CI-otu"/>
      <sheetName val="$CI-vc"/>
      <sheetName val="$CO"/>
      <sheetName val="$EB"/>
      <sheetName val="$EC"/>
      <sheetName val="$HU"/>
      <sheetName val="$IN"/>
      <sheetName val="$LC"/>
      <sheetName val="$LE"/>
      <sheetName val="$LF-arr"/>
      <sheetName val="$LG"/>
      <sheetName val="$LP"/>
      <sheetName val="$LR"/>
      <sheetName val="LR-even"/>
      <sheetName val="$MA"/>
      <sheetName val="$MA-event"/>
      <sheetName val="$MC"/>
      <sheetName val="$NU"/>
      <sheetName val="$ PAC"/>
      <sheetName val="$PN"/>
      <sheetName val="$PR"/>
      <sheetName val="$PR-nc"/>
      <sheetName val="$PT"/>
      <sheetName val="$QU"/>
      <sheetName val="$RE"/>
      <sheetName val="$RC"/>
      <sheetName val="$SA"/>
      <sheetName val="$SS"/>
      <sheetName val="$SA-HITO "/>
      <sheetName val="$SJ"/>
      <sheetName val="$VI"/>
      <sheetName val="$VI hito"/>
      <sheetName val="$SF"/>
      <sheetName val="$LA"/>
      <sheetName val="$ TH"/>
      <sheetName val="$cisa"/>
      <sheetName val="$adelsol"/>
      <sheetName val="$cba"/>
      <sheetName val="$cTL "/>
      <sheetName val="$ cosal"/>
      <sheetName val="desglose factura"/>
      <sheetName val="desglose otras"/>
      <sheetName val="_total"/>
      <sheetName val="Currencies"/>
      <sheetName val="$_PAC"/>
      <sheetName val="$SA-HITO_"/>
      <sheetName val="$VI_hito"/>
      <sheetName val="$_TH"/>
      <sheetName val="$cTL_"/>
      <sheetName val="$_cosal"/>
      <sheetName val="desglose_factura"/>
      <sheetName val="desglose_otras"/>
    </sheetNames>
    <sheetDataSet>
      <sheetData sheetId="0">
        <row r="1">
          <cell r="I1">
            <v>16002.32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erSplit"/>
      <sheetName val="Organic Scav"/>
      <sheetName val="Air consumption"/>
      <sheetName val="Power consump"/>
      <sheetName val="Chem consump"/>
      <sheetName val="Co-current"/>
      <sheetName val="DMFHoriz"/>
      <sheetName val="DMFVert"/>
      <sheetName val="Counter "/>
      <sheetName val="Pipe Sizing"/>
      <sheetName val="RO Cleaning"/>
      <sheetName val="UPCORE"/>
      <sheetName val="MixBed"/>
      <sheetName val="Analy"/>
      <sheetName val="CondPol"/>
      <sheetName val="Sheet1"/>
      <sheetName val="CaCO3 Conversion"/>
      <sheetName val="Storage Tank"/>
      <sheetName val="ACF"/>
      <sheetName val="Clarifier"/>
      <sheetName val="Sheet23"/>
      <sheetName val="pHadj"/>
      <sheetName val="Degasif"/>
      <sheetName val="Filter Press"/>
      <sheetName val="Dosing"/>
      <sheetName val="Neutralization"/>
      <sheetName val="Greensand"/>
      <sheetName val="Soft Exchanger"/>
      <sheetName val="DB_ET200(R. A)"/>
      <sheetName val="ASME B 36.10 M"/>
      <sheetName val="DESIGN57"/>
      <sheetName val="VS배관내역서"/>
      <sheetName val="DCS"/>
      <sheetName val="ANALY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8">
          <cell r="F68">
            <v>3.5959844104579464</v>
          </cell>
        </row>
        <row r="69">
          <cell r="F69">
            <v>1.7979922052289734</v>
          </cell>
        </row>
        <row r="70">
          <cell r="F70">
            <v>0</v>
          </cell>
        </row>
        <row r="71">
          <cell r="F71">
            <v>5.3939766156869196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 Edison Termoelettrica"/>
    </sheetNames>
    <sheetDataSet>
      <sheetData sheetId="0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JobInfo"/>
      <sheetName val="City"/>
      <sheetName val="Rates"/>
      <sheetName val="General"/>
      <sheetName val="Sitework"/>
      <sheetName val="Concrete"/>
      <sheetName val="Masonry"/>
      <sheetName val="WoodPlastics"/>
      <sheetName val="ThermalMoisture"/>
      <sheetName val="DoorsWindows"/>
      <sheetName val="Finishes"/>
      <sheetName val="Specialties"/>
      <sheetName val="Equipment"/>
      <sheetName val="Furnishings"/>
      <sheetName val="SpecialCons"/>
      <sheetName val="Conveying"/>
      <sheetName val="Mechanical"/>
      <sheetName val="Electrical"/>
      <sheetName val="Quote"/>
      <sheetName val="WITHOUT C&amp;I PROFIT (3)"/>
      <sheetName val="EIs Progress"/>
      <sheetName val="Summary"/>
      <sheetName val="HVAC"/>
      <sheetName val="RFP003B"/>
      <sheetName val="Macro"/>
      <sheetName val="POWER"/>
      <sheetName val="Sheet1"/>
      <sheetName val="Steel STructure"/>
      <sheetName val="s_curve data"/>
      <sheetName val="Currencies"/>
      <sheetName val="المقايسة"/>
      <sheetName val="RIEPILOGO"/>
      <sheetName val="pvc vent"/>
      <sheetName val="Currency"/>
      <sheetName val="V.O. Details"/>
      <sheetName val="1 (PHD) -- NO. 1 (OC)"/>
      <sheetName val="3 (PHD) -- NO. 3 (OC)"/>
      <sheetName val="7 (PHD) -- NO. 10 (OC)"/>
      <sheetName val="8 (PHD) -- NO. 8 (OC)"/>
      <sheetName val="8 (PHD) -- NO. 8.2 (OC)"/>
      <sheetName val="12 (PHD) -- NO. 22 (OC)"/>
      <sheetName val="13 (PHD) -- NO.32 (OC)"/>
      <sheetName val="14 &amp; 42 (PHD) -- 9 &amp; 9.3 (OC)"/>
      <sheetName val="15 (PHD) -- SD (OC)"/>
      <sheetName val="16 (PHD) -- NO. 20 (OC)"/>
      <sheetName val="17 (PHD) -- NO.  40 (OC)"/>
      <sheetName val="18 (PHD) -- NO. 31 (OC)"/>
      <sheetName val="20 (PHD) -- NO. 27 (OC)"/>
      <sheetName val="22 (PHD) -- NO. 33 (OC)"/>
      <sheetName val="23 (PHD) -- NO. 42 (OC)"/>
      <sheetName val="24 (PHD) -- NO. 9.1 (OC)"/>
      <sheetName val="25 &amp; 33 (PHD) -- 34 &amp; 34.1 (OC)"/>
      <sheetName val="26 (PHD) -- NO. 47 (OC)"/>
      <sheetName val="27 (PHD) -- NO. 55 (OC)"/>
      <sheetName val="28 (PHD) -- NO.  54 (OC)"/>
      <sheetName val="29 (PHD) -- NO. 48 (OC)"/>
      <sheetName val="30 (PHD) -- NO. 39 (OC)"/>
      <sheetName val="32 (PHD) -- NO. 51 (OC)"/>
      <sheetName val="34 (PHD) -- NO. 44 (OC)"/>
      <sheetName val="35 (PHD) -- NO. 45 (OC)"/>
      <sheetName val="36 (PHD) -- NO. 65 (OC)"/>
      <sheetName val="37 (PHD) -- NO. 66 (OC)"/>
      <sheetName val="38 (PHD) -- NO. 69 (OC)"/>
      <sheetName val="39 (PHD) -- NO. 70 (OC)"/>
      <sheetName val="40 (PHD) -- NO. 58 (OC)"/>
      <sheetName val="41 (PHD) -- NO. 52 (OC)"/>
      <sheetName val="43 (PHD) -- NO. 79 (OC)"/>
      <sheetName val="44 (PHD) -- NO. 60 (OC)"/>
      <sheetName val="45 (PHD) -- NO. 94 (OC)"/>
      <sheetName val="46 (PHD) -- NO. 87 (OC)"/>
      <sheetName val="47 (PHD) -- NO. 71 (OC)"/>
      <sheetName val="48 (PHD) -- NO. 80 (OC)"/>
      <sheetName val="49 (PHD) -- NO. 85 (OC)"/>
      <sheetName val="50 (PHD) -- NO. 91 (OC)"/>
      <sheetName val="51 (PHD) -- NO. 74 (OC)"/>
      <sheetName val="52 (PHD) -- NO. 81 (OC)"/>
      <sheetName val="53 (PHD) -- NO. 82 (OC)"/>
      <sheetName val="54 (PHD) -- NO. 76 (OC)"/>
      <sheetName val="55 (PHD) -- NO. 90 (OC)"/>
      <sheetName val="56 (PHD) -- NO. 95"/>
      <sheetName val="57 (PHD) -- NO. 86 (OC)"/>
      <sheetName val="58 (PHD) -- NO. 102 (OC)"/>
      <sheetName val="59 (PHD) -- NO. 98 (OC)"/>
      <sheetName val="60 (PHD) -- NO. 107 (OC)"/>
      <sheetName val="61 (PHD) -- NO. 97 (OC)"/>
      <sheetName val="62 (PHD) -- NO. 108 (OC)"/>
      <sheetName val="63 (PHD) -- NO. 109 (OC)"/>
      <sheetName val="64 (PHD) -- NO. 112 (OC)"/>
      <sheetName val="65 (PHD) -- NO. 103 (OC)"/>
      <sheetName val="66 (PHD) -- NO. 110 (OC)"/>
      <sheetName val="67 (PHD) -- NO. 106 (OC)"/>
      <sheetName val="68 (PHD) -- Variation NO. 115"/>
      <sheetName val="70 (PHD)-- Variation NO. 99(OC)"/>
      <sheetName val="71 (PHD) -- Variation NO. 120"/>
      <sheetName val="72 (PHD)-- Variation NO. 129"/>
      <sheetName val="73 (PHD) -- Variation NO. 118"/>
      <sheetName val="74 (PHD) -- Variation NO. 113"/>
      <sheetName val="75 (PHD)-- Variation NO. 130"/>
      <sheetName val="76 (PHD) -- Variation NO. 135"/>
      <sheetName val="77 (PHD)-- Variation NO. 134"/>
      <sheetName val="78 (PHD) -- Variation NO. 133"/>
      <sheetName val="79 (PHD) -- Variation NO. 121"/>
      <sheetName val="80 (PHD) -- Variation NO. 128"/>
      <sheetName val="81 (PHD) -- Variation 139"/>
      <sheetName val="82 (PHD) -- Variation NO. 132"/>
      <sheetName val="83 (PHD)-- Variation NO. 122"/>
      <sheetName val="84 (PHD) -- Variation NO. 127"/>
      <sheetName val="85 (PHD) -- Variation NO. 137"/>
      <sheetName val="86 (PHD) -- Variation NO. 141"/>
      <sheetName val="87 (PHD) -- Variation NO. 89"/>
      <sheetName val="88 (PHD) -- Variation NO. 151"/>
      <sheetName val="89 (PHD) -- Variation NO. 142"/>
      <sheetName val="90 (PHD) -- Variation NO. 116"/>
      <sheetName val="91 (PHD) -- Variation NO. 111 "/>
      <sheetName val="92 (PHD) -- Variation NO. 117"/>
      <sheetName val="93 (PHD) -- Variation NO. 147"/>
      <sheetName val="94(PHD)-- Variation NO. 154"/>
      <sheetName val="95 (PHD) -- Variation NO. 92"/>
      <sheetName val="96 (PHD) -- Variation NO. 126"/>
      <sheetName val="97 (PHD) -- Variation NO. 157"/>
      <sheetName val="99 (PHD) -- Variation NO. 148"/>
      <sheetName val="100 (PHD) -- Variation NO. 198"/>
      <sheetName val="101(PHD)--Variation NO.138, 149"/>
      <sheetName val="102 (PHD) -- Variation NO. 155"/>
      <sheetName val="103 (PHD) -- Variation NO. 143"/>
      <sheetName val="104 (PHD) -- Variation NO. 152"/>
      <sheetName val="105 (PHD)--Variation NO. 158(1)"/>
      <sheetName val=" 106(PHD)--Variation NO.161(OC)"/>
      <sheetName val="107(PHD)--Variation NO. 136(OC)"/>
      <sheetName val="108 (PHD) -- instead (25&amp;39)"/>
      <sheetName val="109(PHD)--Variation NO.180 (OC)"/>
      <sheetName val="110 (PHD)--Variation NO.190(2)"/>
      <sheetName val="111 (PHD)--VO. No. 159 &amp; 176"/>
      <sheetName val="112 (PHD)--VO. NO. 174 &amp; 185"/>
      <sheetName val="113 (PHD) -- VO NO. 206 (1)(OC)"/>
      <sheetName val="114 (PHD) -- Vo NO. 166 (OC)"/>
      <sheetName val="115 (PHD)-- VOs 173&amp;187&amp;189(OC)"/>
      <sheetName val="116 (PHD) -- Vos 164 &amp; 195 (OC)"/>
      <sheetName val="117 (PHD) -- Vos 208 (OC)"/>
      <sheetName val="118 (PHD) -- Vos 124 (OC)"/>
      <sheetName val="119 (PHD) -- Vos 194 &amp; 199 (OC)"/>
      <sheetName val="120 (PHD--Vos 132,181,222(OC)"/>
      <sheetName val="121 PHD--Vos 15 OC VOs"/>
      <sheetName val="122 (PHD) -- Vo 216 (OC)"/>
      <sheetName val="123 (PHD) -- Vo 248 (1) (OC)"/>
      <sheetName val="124 PHD--Vos 7 OC VOs"/>
      <sheetName val="125 PHD--Vos 4 OC VOs"/>
      <sheetName val="126 (PHD) -- VO # 167 (OC)"/>
      <sheetName val="127 (PHD) -- VO #271 Rev.1 (OC)"/>
      <sheetName val="128 (PHD)--VO# 268, 270(1) (OC)"/>
      <sheetName val="129 PHD--Vos 9 OC VOs"/>
      <sheetName val="130 PHD--Vos230,249,252,263,288"/>
      <sheetName val="131 PHD--Vos 14 OC VOs"/>
      <sheetName val="132 PHD--Vo 285 (3)"/>
      <sheetName val="133 PHD--Vos 11 OC VOs"/>
      <sheetName val="134 PHD--Vos 8 OC VOs"/>
      <sheetName val="135 PHD--Vos 7 OC VOs"/>
      <sheetName val="136 PHD--Vos 6 OC VOs"/>
      <sheetName val="137 PHD--Vos 7 OC VOs"/>
      <sheetName val="138 PHD--Vos 12 OC VOs"/>
      <sheetName val="139 PHD--Vos 14 OC VOs"/>
      <sheetName val="140 PHD -- VO# 364 Rev. 03 (OC)"/>
      <sheetName val="141 PHD--VO # 389 Rev. 01 (OC)"/>
      <sheetName val="142 PHD-- Vos 12 OC VOs"/>
      <sheetName val="143 PHD-- Vos 5 OC"/>
      <sheetName val=" -- VOs. From 114 to 200 (OC)"/>
      <sheetName val=" -- VOs. From 201 to 300 (OC)"/>
      <sheetName val=" -- VOs. From 301 to 400 (OC)"/>
      <sheetName val=" -- VOs. From 401 to 500 (OC)"/>
      <sheetName val="AN"/>
      <sheetName val="CIF COST ITEM"/>
      <sheetName val="D"/>
      <sheetName val="#REF"/>
      <sheetName val="Menu"/>
      <sheetName val="cable"/>
      <sheetName val="물량집계(전기)"/>
      <sheetName val="물량집계(계장)"/>
      <sheetName val="Project Units Areas"/>
      <sheetName val="Tank_3_1"/>
      <sheetName val="PRICE-COMP - Insulation"/>
      <sheetName val="Villa Prototypes"/>
      <sheetName val="$total"/>
      <sheetName val="ar-1"/>
      <sheetName val="4-me"/>
      <sheetName val=" est "/>
      <sheetName val="Payroll"/>
    </sheetNames>
    <sheetDataSet>
      <sheetData sheetId="0" refreshError="1"/>
      <sheetData sheetId="1" refreshError="1"/>
      <sheetData sheetId="2"/>
      <sheetData sheetId="3" refreshError="1">
        <row r="10">
          <cell r="B10">
            <v>43.65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0">
          <cell r="B10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 refreshError="1"/>
      <sheetData sheetId="18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utive Summary (2)"/>
      <sheetName val="Project's Forecast Income Analy"/>
      <sheetName val="4A"/>
      <sheetName val="9-overheads"/>
      <sheetName val="8Contingencies"/>
      <sheetName val="4B - (1) Materials"/>
      <sheetName val="4C - (2) Subcontracts_Old"/>
      <sheetName val="4C - (2) Subcontracts_New"/>
      <sheetName val="4C1- (2)Subco. Materials (2)"/>
      <sheetName val="4D - (3) Manual Manpower"/>
      <sheetName val="4E - (3a) Manual MH. Breakdown"/>
      <sheetName val="4F - (4) Construction Equipt"/>
      <sheetName val="4G - (4a) Equipt. Req. Schedule"/>
      <sheetName val="4H - (4b) Vehicle Req. Schedule"/>
      <sheetName val="4I - (5) Indirect Cost"/>
      <sheetName val="4J - (6) Non Manual"/>
      <sheetName val="4K - (6a) Non Manual Breakdown"/>
      <sheetName val="4L - Project's Forecast Profit"/>
      <sheetName val="Cover"/>
      <sheetName val="Excutive Summary"/>
      <sheetName val="Income Details"/>
      <sheetName val="8-Contingencies"/>
      <sheetName val="4C - (2) Subcontracts"/>
      <sheetName val="Z_01 Contract Consumption"/>
      <sheetName val="Re_fund"/>
      <sheetName val="MH-Ats "/>
      <sheetName val="NM-M"/>
      <sheetName val="Manpower"/>
      <sheetName val="Revenue"/>
      <sheetName val="0506"/>
      <sheetName val="1285"/>
      <sheetName val="Total"/>
      <sheetName val="Excutive_Summary_(2)"/>
      <sheetName val="Project's_Forecast_Income_Analy"/>
      <sheetName val="4B_-_(1)_Materials"/>
      <sheetName val="4C_-_(2)_Subcontracts_Old"/>
      <sheetName val="4C_-_(2)_Subcontracts_New"/>
      <sheetName val="4C1-_(2)Subco__Materials_(2)"/>
      <sheetName val="4D_-_(3)_Manual_Manpower"/>
      <sheetName val="4E_-_(3a)_Manual_MH__Breakdown"/>
      <sheetName val="4F_-_(4)_Construction_Equipt"/>
      <sheetName val="4G_-_(4a)_Equipt__Req__Schedule"/>
      <sheetName val="4H_-_(4b)_Vehicle_Req__Schedule"/>
      <sheetName val="4I_-_(5)_Indirect_Cost"/>
      <sheetName val="4J_-_(6)_Non_Manual"/>
      <sheetName val="4K_-_(6a)_Non_Manual_Breakdown"/>
      <sheetName val="4L_-_Project's_Forecast_Profit"/>
      <sheetName val="Excutive_Summary"/>
      <sheetName val="Income_Details"/>
      <sheetName val="4C_-_(2)_Subcontracts"/>
      <sheetName val="Z_01_Contract_Consumption"/>
      <sheetName val="MH-Ats_"/>
      <sheetName val="Seals"/>
      <sheetName val="IPD"/>
      <sheetName val="A91_97"/>
      <sheetName val="Units"/>
      <sheetName val="LV induction motors"/>
      <sheetName val="Elect. Works for HVAC (Price C)"/>
      <sheetName val="cable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AC3">
            <v>38260</v>
          </cell>
        </row>
      </sheetData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二"/>
      <sheetName val="安装取费"/>
      <sheetName val="表三"/>
    </sheetNames>
    <sheetDataSet>
      <sheetData sheetId="0"/>
      <sheetData sheetId="1"/>
      <sheetData sheetId="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 Estimate  "/>
      <sheetName val="Z- GENERAL PRICE SUMMARY"/>
      <sheetName val="WITHOUT C&amp;I PROFIT (3)"/>
      <sheetName val="Equip."/>
      <sheetName val="Book1"/>
      <sheetName val=""/>
      <sheetName val="EIs Progress"/>
      <sheetName val="RFP003B"/>
      <sheetName val="Rates"/>
      <sheetName val="Currencies"/>
      <sheetName val="Summary"/>
      <sheetName val="HVAC"/>
      <sheetName val="Macro"/>
      <sheetName val="POWER"/>
      <sheetName val="boq"/>
      <sheetName val="NRM Codes"/>
      <sheetName val="pvc vent"/>
      <sheetName val="Take off"/>
      <sheetName val="RFP007"/>
      <sheetName val="RFP009"/>
      <sheetName val="SW"/>
      <sheetName val="HW"/>
      <sheetName val="OT 70346 Costo tarjetas "/>
      <sheetName val="OT 70380"/>
      <sheetName val="Steel Price Difference"/>
      <sheetName val="cable"/>
      <sheetName val="Lagoons Breakdown Prices"/>
      <sheetName val="Cover HW Z2 "/>
      <sheetName val="TOTAL WORK"/>
      <sheetName val="part 3"/>
      <sheetName val="pile Length for Easter fence"/>
      <sheetName val="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4ITV"/>
    </sheetNames>
    <sheetDataSet>
      <sheetData sheetId="0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責任者人工"/>
      <sheetName val="ﾋｰﾀＲＥＶ２"/>
      <sheetName val="BFPｶｯﾌﾟ0"/>
      <sheetName val="GC_FAN0"/>
      <sheetName val="SSR計装0"/>
      <sheetName val="ﾌﾗﾝｼﾞﾚｽ0"/>
      <sheetName val="BFP電動0"/>
      <sheetName val="SSH電動0"/>
      <sheetName val="ガス抽0"/>
      <sheetName val="ﾎｯﾄｳｪﾙ0"/>
      <sheetName val="水張り0"/>
      <sheetName val="排気管0"/>
      <sheetName val="主要弁0"/>
      <sheetName val="7抽気0"/>
      <sheetName val="ﾊﾞｹｯﾄ0"/>
      <sheetName val="主油冷却 (発注)"/>
      <sheetName val="ﾌﾟﾗｲﾐﾝｸA "/>
      <sheetName val="M余寿命0"/>
      <sheetName val="hp_nzl0"/>
      <sheetName val="BFP助勢0"/>
      <sheetName val="ｾｯﾄｽｸﾘｭ0"/>
      <sheetName val="gss_ann0"/>
      <sheetName val="htr_lvg"/>
      <sheetName val="BFP固定0"/>
      <sheetName val="TGﾘｰﾏ0"/>
      <sheetName val="CON気密0"/>
      <sheetName val="水張りﾍﾞﾝﾄ弁追加"/>
      <sheetName val="主油軸冷保温"/>
      <sheetName val="水張りﾌﾗｯｼﾝｸﾞ"/>
      <sheetName val="ヒータ本体(発注金額）"/>
      <sheetName val="保温追加"/>
      <sheetName val="水切り養生追加"/>
      <sheetName val="EXｳｪｲﾄ0"/>
      <sheetName val="gsc-ps0"/>
      <sheetName val="BFP回転0"/>
      <sheetName val="工事責任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N1">
            <v>35836.460590277777</v>
          </cell>
        </row>
        <row r="2">
          <cell r="D2" t="str">
            <v>名　　　　　称</v>
          </cell>
          <cell r="E2" t="str">
            <v>規　　格</v>
          </cell>
          <cell r="F2" t="str">
            <v>計測数量</v>
          </cell>
          <cell r="G2" t="str">
            <v>単位</v>
          </cell>
          <cell r="H2" t="str">
            <v>単　価</v>
          </cell>
          <cell r="I2" t="str">
            <v>小計金額</v>
          </cell>
          <cell r="J2" t="str">
            <v>決定数量</v>
          </cell>
          <cell r="K2" t="str">
            <v>単位</v>
          </cell>
          <cell r="L2" t="str">
            <v>単　価</v>
          </cell>
          <cell r="M2" t="str">
            <v>小計金額</v>
          </cell>
          <cell r="N2" t="str">
            <v>備　考</v>
          </cell>
        </row>
      </sheetData>
      <sheetData sheetId="33" refreshError="1"/>
      <sheetData sheetId="34" refreshError="1"/>
      <sheetData sheetId="35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依頼事項"/>
      <sheetName val="海外工事内訳書"/>
      <sheetName val="集計"/>
      <sheetName val="Sheet1"/>
      <sheetName val="Sheet2"/>
    </sheetNames>
    <sheetDataSet>
      <sheetData sheetId="0"/>
      <sheetData sheetId="1"/>
      <sheetData sheetId="2">
        <row r="4">
          <cell r="A4" t="str">
            <v>材料区分</v>
          </cell>
          <cell r="B4" t="str">
            <v>合計 : BQ</v>
          </cell>
          <cell r="C4" t="str">
            <v>合計 : 計電工NDMD</v>
          </cell>
          <cell r="D4" t="str">
            <v>合計 : KHALOMICANDMD</v>
          </cell>
          <cell r="E4" t="str">
            <v>合計 : KHALOMICATP</v>
          </cell>
          <cell r="F4" t="str">
            <v>合計 : TARADOCONDMD</v>
          </cell>
          <cell r="G4" t="str">
            <v>合計 : TARADOCOTP</v>
          </cell>
          <cell r="H4" t="str">
            <v>合計 : HITACHINDMD</v>
          </cell>
          <cell r="I4" t="str">
            <v>合計 : HITACHITP</v>
          </cell>
          <cell r="J4" t="str">
            <v>合計 : CCCNDMH</v>
          </cell>
          <cell r="K4" t="str">
            <v>合計 : CCCTP</v>
          </cell>
          <cell r="L4" t="str">
            <v>合計 : 計電工TP</v>
          </cell>
          <cell r="M4" t="str">
            <v>合計 : 新BQ</v>
          </cell>
          <cell r="N4" t="str">
            <v>合計 : 新MD</v>
          </cell>
          <cell r="O4" t="str">
            <v>合計 : 新ＴＰ</v>
          </cell>
        </row>
        <row r="5">
          <cell r="A5" t="str">
            <v>ECBL</v>
          </cell>
          <cell r="B5">
            <v>200908</v>
          </cell>
          <cell r="C5">
            <v>3565.0818680399993</v>
          </cell>
          <cell r="D5">
            <v>3909.5</v>
          </cell>
          <cell r="E5">
            <v>671572.3</v>
          </cell>
          <cell r="F5">
            <v>3651.5</v>
          </cell>
          <cell r="G5">
            <v>290019.40000000002</v>
          </cell>
          <cell r="H5">
            <v>4510</v>
          </cell>
          <cell r="I5">
            <v>503767</v>
          </cell>
          <cell r="J5">
            <v>63197</v>
          </cell>
          <cell r="K5">
            <v>410792</v>
          </cell>
          <cell r="L5">
            <v>267381.14010299998</v>
          </cell>
          <cell r="M5">
            <v>99608</v>
          </cell>
          <cell r="N5">
            <v>2171.2792467999993</v>
          </cell>
          <cell r="O5">
            <v>162845.94351000001</v>
          </cell>
        </row>
        <row r="6">
          <cell r="A6" t="str">
            <v>ECP</v>
          </cell>
          <cell r="B6">
            <v>7255</v>
          </cell>
          <cell r="C6">
            <v>1374.6886559999998</v>
          </cell>
          <cell r="D6">
            <v>1202</v>
          </cell>
          <cell r="E6">
            <v>241127</v>
          </cell>
          <cell r="F6">
            <v>3137.8</v>
          </cell>
          <cell r="G6">
            <v>360562</v>
          </cell>
          <cell r="H6">
            <v>2942</v>
          </cell>
          <cell r="I6">
            <v>328621.40000000002</v>
          </cell>
          <cell r="J6">
            <v>16489</v>
          </cell>
          <cell r="K6">
            <v>107182</v>
          </cell>
          <cell r="L6">
            <v>103101.64919999997</v>
          </cell>
          <cell r="M6">
            <v>5484.6</v>
          </cell>
          <cell r="N6">
            <v>289.86399999999998</v>
          </cell>
          <cell r="O6">
            <v>21739.8</v>
          </cell>
        </row>
        <row r="7">
          <cell r="A7" t="str">
            <v>ECT</v>
          </cell>
          <cell r="B7">
            <v>1673</v>
          </cell>
          <cell r="C7">
            <v>1056.5810747999999</v>
          </cell>
          <cell r="D7">
            <v>950.5</v>
          </cell>
          <cell r="E7">
            <v>190740</v>
          </cell>
          <cell r="F7">
            <v>1621.5</v>
          </cell>
          <cell r="G7">
            <v>144594</v>
          </cell>
          <cell r="H7">
            <v>1623</v>
          </cell>
          <cell r="I7">
            <v>181289.1</v>
          </cell>
          <cell r="J7">
            <v>21538</v>
          </cell>
          <cell r="K7">
            <v>139999</v>
          </cell>
          <cell r="L7">
            <v>79243.580610000005</v>
          </cell>
          <cell r="M7">
            <v>1091.2</v>
          </cell>
          <cell r="N7">
            <v>697.30615999999998</v>
          </cell>
          <cell r="O7">
            <v>52297.962</v>
          </cell>
        </row>
        <row r="8">
          <cell r="A8" t="str">
            <v>EEQPT</v>
          </cell>
          <cell r="B8">
            <v>89</v>
          </cell>
          <cell r="C8">
            <v>648.91312199999993</v>
          </cell>
          <cell r="D8">
            <v>644</v>
          </cell>
          <cell r="E8">
            <v>186493</v>
          </cell>
          <cell r="F8">
            <v>300.3</v>
          </cell>
          <cell r="G8">
            <v>161352</v>
          </cell>
          <cell r="H8">
            <v>429.279</v>
          </cell>
          <cell r="I8">
            <v>47950.464299999985</v>
          </cell>
          <cell r="J8">
            <v>3105</v>
          </cell>
          <cell r="K8">
            <v>20183</v>
          </cell>
          <cell r="L8">
            <v>48668.484149999989</v>
          </cell>
          <cell r="M8">
            <v>85</v>
          </cell>
          <cell r="N8">
            <v>612.67999999999995</v>
          </cell>
          <cell r="O8">
            <v>45951</v>
          </cell>
        </row>
        <row r="9">
          <cell r="A9" t="str">
            <v>EGR</v>
          </cell>
          <cell r="B9">
            <v>30201</v>
          </cell>
          <cell r="C9">
            <v>671.04018000000008</v>
          </cell>
          <cell r="D9">
            <v>482.5</v>
          </cell>
          <cell r="E9">
            <v>125920</v>
          </cell>
          <cell r="F9">
            <v>1114</v>
          </cell>
          <cell r="G9">
            <v>82018</v>
          </cell>
          <cell r="H9">
            <v>1190</v>
          </cell>
          <cell r="I9">
            <v>132923</v>
          </cell>
          <cell r="J9">
            <v>5635</v>
          </cell>
          <cell r="K9">
            <v>36629</v>
          </cell>
          <cell r="L9">
            <v>50328.013500000001</v>
          </cell>
          <cell r="M9">
            <v>28000</v>
          </cell>
          <cell r="N9">
            <v>480</v>
          </cell>
          <cell r="O9">
            <v>36000</v>
          </cell>
        </row>
        <row r="10">
          <cell r="A10" t="str">
            <v>ETRS</v>
          </cell>
          <cell r="B10">
            <v>2</v>
          </cell>
          <cell r="C10">
            <v>53.008560000000003</v>
          </cell>
          <cell r="D10">
            <v>48</v>
          </cell>
          <cell r="E10">
            <v>13518</v>
          </cell>
          <cell r="F10">
            <v>28</v>
          </cell>
          <cell r="G10">
            <v>10880</v>
          </cell>
          <cell r="H10">
            <v>62</v>
          </cell>
          <cell r="I10">
            <v>6925.4</v>
          </cell>
          <cell r="J10">
            <v>200</v>
          </cell>
          <cell r="K10">
            <v>1300</v>
          </cell>
          <cell r="L10">
            <v>3975.6420000000003</v>
          </cell>
          <cell r="M10">
            <v>2</v>
          </cell>
          <cell r="N10">
            <v>52.8</v>
          </cell>
          <cell r="O10">
            <v>3960</v>
          </cell>
        </row>
        <row r="11">
          <cell r="A11" t="str">
            <v>IEQPT</v>
          </cell>
          <cell r="B11">
            <v>511</v>
          </cell>
          <cell r="C11">
            <v>214.52403600000002</v>
          </cell>
          <cell r="D11">
            <v>301.5</v>
          </cell>
          <cell r="E11">
            <v>114539</v>
          </cell>
          <cell r="F11">
            <v>471.8</v>
          </cell>
          <cell r="G11">
            <v>119854</v>
          </cell>
          <cell r="H11">
            <v>1300</v>
          </cell>
          <cell r="I11">
            <v>145210</v>
          </cell>
          <cell r="J11">
            <v>14332</v>
          </cell>
          <cell r="K11">
            <v>93158</v>
          </cell>
          <cell r="L11">
            <v>16089.302699999998</v>
          </cell>
          <cell r="M11">
            <v>546</v>
          </cell>
          <cell r="N11">
            <v>233.72</v>
          </cell>
          <cell r="O11">
            <v>17529</v>
          </cell>
        </row>
        <row r="12">
          <cell r="A12" t="str">
            <v>IPI</v>
          </cell>
          <cell r="B12">
            <v>7812</v>
          </cell>
          <cell r="C12">
            <v>1284.1885872000003</v>
          </cell>
          <cell r="D12">
            <v>882</v>
          </cell>
          <cell r="E12">
            <v>407945.4</v>
          </cell>
          <cell r="F12">
            <v>2689</v>
          </cell>
          <cell r="G12">
            <v>373702</v>
          </cell>
          <cell r="H12">
            <v>2704</v>
          </cell>
          <cell r="I12">
            <v>302036.8</v>
          </cell>
          <cell r="J12">
            <v>11972.5</v>
          </cell>
          <cell r="K12">
            <v>77825</v>
          </cell>
          <cell r="L12">
            <v>96314.144039999999</v>
          </cell>
          <cell r="M12">
            <v>2245.6</v>
          </cell>
          <cell r="N12">
            <v>876.14</v>
          </cell>
          <cell r="O12">
            <v>65710.5</v>
          </cell>
        </row>
        <row r="13">
          <cell r="A13" t="str">
            <v>IPNL</v>
          </cell>
          <cell r="B13">
            <v>42</v>
          </cell>
          <cell r="C13">
            <v>14.296247999999999</v>
          </cell>
          <cell r="D13">
            <v>14.5</v>
          </cell>
          <cell r="E13">
            <v>6706</v>
          </cell>
          <cell r="F13">
            <v>42.8</v>
          </cell>
          <cell r="G13">
            <v>26768</v>
          </cell>
          <cell r="H13">
            <v>19</v>
          </cell>
          <cell r="I13">
            <v>2122.3000000000002</v>
          </cell>
          <cell r="J13">
            <v>929</v>
          </cell>
          <cell r="K13">
            <v>6039</v>
          </cell>
          <cell r="L13">
            <v>1072.2185999999999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総計</v>
          </cell>
          <cell r="B14">
            <v>248493</v>
          </cell>
          <cell r="C14">
            <v>8882.3223320400011</v>
          </cell>
          <cell r="D14">
            <v>8434.5</v>
          </cell>
          <cell r="E14">
            <v>1958560.7</v>
          </cell>
          <cell r="F14">
            <v>13056.7</v>
          </cell>
          <cell r="G14">
            <v>1569749.4</v>
          </cell>
          <cell r="H14">
            <v>14779.279</v>
          </cell>
          <cell r="I14">
            <v>1650845.4642999994</v>
          </cell>
          <cell r="J14">
            <v>137397.5</v>
          </cell>
          <cell r="K14">
            <v>893107</v>
          </cell>
          <cell r="L14">
            <v>666174.17490300001</v>
          </cell>
          <cell r="M14">
            <v>137062.39999999999</v>
          </cell>
          <cell r="N14">
            <v>5413.7894068000005</v>
          </cell>
          <cell r="O14">
            <v>406034.20551</v>
          </cell>
        </row>
        <row r="23">
          <cell r="A23" t="str">
            <v>材料区分</v>
          </cell>
          <cell r="B23" t="str">
            <v>合計 : 計電工TP</v>
          </cell>
          <cell r="C23" t="str">
            <v>合計 : KHALOMICATP</v>
          </cell>
          <cell r="D23" t="str">
            <v>合計 : TARADOCO</v>
          </cell>
          <cell r="E23" t="str">
            <v>合計 : TARADOCOTP</v>
          </cell>
          <cell r="F23" t="str">
            <v>合計 : HITACHITPUS</v>
          </cell>
          <cell r="G23" t="str">
            <v>合計 : CCCTP</v>
          </cell>
          <cell r="H23" t="str">
            <v>合計 : HITACHITP</v>
          </cell>
        </row>
        <row r="24">
          <cell r="A24" t="str">
            <v>IDAD</v>
          </cell>
          <cell r="C24">
            <v>0</v>
          </cell>
          <cell r="D24">
            <v>0</v>
          </cell>
          <cell r="E24">
            <v>259744</v>
          </cell>
          <cell r="F24">
            <v>384280</v>
          </cell>
          <cell r="H24">
            <v>460377</v>
          </cell>
        </row>
        <row r="25">
          <cell r="A25" t="str">
            <v>IDCM</v>
          </cell>
          <cell r="D25">
            <v>0</v>
          </cell>
          <cell r="E25">
            <v>223536</v>
          </cell>
          <cell r="H25">
            <v>311900</v>
          </cell>
        </row>
        <row r="26">
          <cell r="A26" t="str">
            <v>IDEA</v>
          </cell>
          <cell r="C26">
            <v>2550</v>
          </cell>
          <cell r="D26">
            <v>0</v>
          </cell>
          <cell r="E26">
            <v>1420620</v>
          </cell>
          <cell r="H26">
            <v>282432</v>
          </cell>
        </row>
        <row r="27">
          <cell r="A27" t="str">
            <v>IDEX</v>
          </cell>
          <cell r="E27">
            <v>163000</v>
          </cell>
          <cell r="F27">
            <v>69812</v>
          </cell>
          <cell r="H27">
            <v>92000</v>
          </cell>
        </row>
        <row r="28">
          <cell r="A28" t="str">
            <v>IDHEQ</v>
          </cell>
          <cell r="C28">
            <v>0</v>
          </cell>
        </row>
        <row r="29">
          <cell r="A29" t="str">
            <v>IDHL</v>
          </cell>
          <cell r="C29">
            <v>41200</v>
          </cell>
          <cell r="D29">
            <v>0</v>
          </cell>
          <cell r="E29">
            <v>192000</v>
          </cell>
          <cell r="F29">
            <v>0</v>
          </cell>
          <cell r="H29">
            <v>94680</v>
          </cell>
        </row>
        <row r="30">
          <cell r="A30" t="str">
            <v>IDPF</v>
          </cell>
          <cell r="B30">
            <v>780797.9574630002</v>
          </cell>
          <cell r="E30">
            <v>265750</v>
          </cell>
          <cell r="F30">
            <v>400937</v>
          </cell>
          <cell r="G30">
            <v>306894</v>
          </cell>
          <cell r="H30">
            <v>0</v>
          </cell>
        </row>
        <row r="31">
          <cell r="A31" t="str">
            <v>IDTE</v>
          </cell>
          <cell r="C31">
            <v>247650</v>
          </cell>
          <cell r="D31">
            <v>0</v>
          </cell>
          <cell r="E31">
            <v>900238</v>
          </cell>
          <cell r="H31">
            <v>371288</v>
          </cell>
        </row>
        <row r="32">
          <cell r="A32" t="str">
            <v>IDTL</v>
          </cell>
          <cell r="C32">
            <v>30000</v>
          </cell>
          <cell r="D32">
            <v>0</v>
          </cell>
          <cell r="E32">
            <v>1128830</v>
          </cell>
          <cell r="F32">
            <v>5360</v>
          </cell>
          <cell r="H32">
            <v>1257794</v>
          </cell>
        </row>
        <row r="33">
          <cell r="A33" t="str">
            <v>総計</v>
          </cell>
          <cell r="B33">
            <v>780797.9574630002</v>
          </cell>
          <cell r="C33">
            <v>321400</v>
          </cell>
          <cell r="D33">
            <v>0</v>
          </cell>
          <cell r="E33">
            <v>4553718</v>
          </cell>
          <cell r="F33">
            <v>860389</v>
          </cell>
          <cell r="G33">
            <v>306894</v>
          </cell>
          <cell r="H33">
            <v>2870471</v>
          </cell>
        </row>
      </sheetData>
      <sheetData sheetId="3"/>
      <sheetData sheetId="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mary"/>
      <sheetName val="Analysis"/>
      <sheetName val="Summary Sheet"/>
      <sheetName val="LMP"/>
      <sheetName val="SubS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ｹ-ﾌﾞﾙ"/>
    </sheetNames>
    <sheetDataSet>
      <sheetData sheetId="0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A(Rev.3)"/>
      <sheetName val="CAT_5"/>
      <sheetName val="UnitList"/>
      <sheetName val="Macro1"/>
      <sheetName val="해평견적"/>
      <sheetName val="각계정원장"/>
      <sheetName val="갑지"/>
      <sheetName val="Aweer"/>
      <sheetName val="대비표"/>
      <sheetName val="#2CDU실행"/>
      <sheetName val="지수"/>
      <sheetName val="HVAC"/>
      <sheetName val="EQUIPMENT"/>
      <sheetName val="activity"/>
      <sheetName val="설계명세서"/>
      <sheetName val="품셈표"/>
      <sheetName val="costing_CV"/>
      <sheetName val="C-850R0.XLS"/>
      <sheetName val="h-013211-2"/>
      <sheetName val="Pittsburge"/>
      <sheetName val="일위대가목차"/>
      <sheetName val="data"/>
      <sheetName val="원가계산"/>
      <sheetName val="Summary Sheets"/>
      <sheetName val="AILC004"/>
      <sheetName val="Civil"/>
      <sheetName val="DB@Acess"/>
      <sheetName val="GEN PROG"/>
      <sheetName val="TOTAL MHRS"/>
      <sheetName val="TENDER PROG."/>
      <sheetName val="cal"/>
      <sheetName val="철거산출근거"/>
      <sheetName val="총괄표"/>
      <sheetName val="대치판정"/>
      <sheetName val="CC16-내역서"/>
      <sheetName val="TIE-INS"/>
      <sheetName val="jobhist"/>
      <sheetName val="معد .ث"/>
      <sheetName val=" Sum"/>
      <sheetName val="Factor"/>
      <sheetName val="영업소실적"/>
      <sheetName val="TTL"/>
      <sheetName val="D-623D"/>
      <sheetName val="ASCEandUBC"/>
      <sheetName val="BQMPALOC"/>
      <sheetName val="POWER"/>
      <sheetName val="1단계"/>
      <sheetName val="D-3503"/>
      <sheetName val="주관사업"/>
      <sheetName val="집계표(OPTION)"/>
      <sheetName val="을"/>
      <sheetName val="계약자료"/>
      <sheetName val="Contents"/>
      <sheetName val="Summary"/>
      <sheetName val="Macro"/>
      <sheetName val="Taux"/>
      <sheetName val="Graph (LGEN)"/>
      <sheetName val="out_prog"/>
      <sheetName val="선적schedule (2)"/>
      <sheetName val="BM"/>
      <sheetName val="내역서"/>
      <sheetName val="장비종합부표"/>
      <sheetName val="집계표_식재"/>
      <sheetName val="부표"/>
      <sheetName val="Rates"/>
      <sheetName val="WITHOUT C&amp;I PROFIT (3)"/>
      <sheetName val="EIs Progress"/>
      <sheetName val="RFP003B"/>
      <sheetName val="RFP003A"/>
      <sheetName val="Indirect Sheets"/>
      <sheetName val="기계내역서"/>
      <sheetName val="Testing"/>
      <sheetName val="1.cs sl(150)"/>
      <sheetName val="steam table"/>
      <sheetName val="Panel제작명세서"/>
      <sheetName val="member design"/>
      <sheetName val="design criteria"/>
      <sheetName val="soil bearing check"/>
      <sheetName val="CA1"/>
      <sheetName val="CODE"/>
      <sheetName val="건축내역"/>
      <sheetName val="견적기준"/>
      <sheetName val="SYS_DB"/>
      <sheetName val="COVER"/>
      <sheetName val="자재코드"/>
      <sheetName val="Table"/>
      <sheetName val="기초입력"/>
      <sheetName val="M-EQPT-Z"/>
      <sheetName val="소화실적"/>
      <sheetName val="Eq. Mobilization"/>
      <sheetName val="PROCURE"/>
      <sheetName val="DATE"/>
      <sheetName val="Gia vat tu"/>
      <sheetName val="w't table"/>
      <sheetName val="PANEL가격"/>
      <sheetName val="POL6차-PIPING"/>
      <sheetName val="1.설계조건"/>
      <sheetName val="SS2"/>
      <sheetName val="전기"/>
      <sheetName val="일위대가표"/>
      <sheetName val="cable-data"/>
      <sheetName val="calc"/>
      <sheetName val="Q5434 EQ LIST"/>
      <sheetName val="INPUT DATA"/>
      <sheetName val="COA-17"/>
      <sheetName val="C-18"/>
      <sheetName val="TK1501"/>
      <sheetName val="IN"/>
      <sheetName val="EQT-ESTN"/>
      <sheetName val="sum"/>
      <sheetName val="T RFA"/>
      <sheetName val="공내역서"/>
      <sheetName val="12CGOU"/>
      <sheetName val="BoQ"/>
      <sheetName val="DESIGN"/>
      <sheetName val="#REF"/>
      <sheetName val="가도공"/>
      <sheetName val="INDEX"/>
      <sheetName val="Food court "/>
      <sheetName val="steel data sheet"/>
      <sheetName val="부재력정리"/>
      <sheetName val="WIND"/>
      <sheetName val="Sheet1"/>
      <sheetName val="단가"/>
      <sheetName val="C"/>
      <sheetName val="1"/>
      <sheetName val="3"/>
      <sheetName val="8"/>
      <sheetName val="11"/>
      <sheetName val="Scope of work00"/>
      <sheetName val="Scope of work"/>
      <sheetName val="0000000000000000000000000000"/>
      <sheetName val="الهيكل"/>
      <sheetName val="Sheet2"/>
      <sheetName val="For-2"/>
      <sheetName val="working load at the btm ft."/>
      <sheetName val="plan&amp;section of foundation"/>
      <sheetName val="03. SoQ Monitoring"/>
      <sheetName val="Unit Cost"/>
      <sheetName val="A(Rev_3)"/>
      <sheetName val="C-850R0_XLS"/>
      <sheetName val="Summary_Sheets"/>
      <sheetName val="GEN_PROG"/>
      <sheetName val="TOTAL_MHRS"/>
      <sheetName val="TENDER_PROG_"/>
      <sheetName val="معد__ث"/>
      <sheetName val="Graph_(LGEN)"/>
      <sheetName val="선적schedule_(2)"/>
      <sheetName val="_Sum"/>
      <sheetName val="WITHOUT_C&amp;I_PROFIT_(3)"/>
      <sheetName val="EIs_Progress"/>
      <sheetName val="Indirect_Sheets"/>
      <sheetName val="1_cs_sl(150)"/>
      <sheetName val="steam_table"/>
      <sheetName val="member_design"/>
      <sheetName val="design_criteria"/>
      <sheetName val="soil_bearing_check"/>
      <sheetName val="Eq__Mobilization"/>
      <sheetName val="Gia_vat_tu"/>
      <sheetName val="w't_table"/>
      <sheetName val="1_설계조건"/>
      <sheetName val="Q5434_EQ_LIST"/>
      <sheetName val="INPUT_DATA"/>
      <sheetName val="T_RFA"/>
      <sheetName val="Food_court_"/>
      <sheetName val="steel_data_sheet"/>
      <sheetName val="Scope_of_work00"/>
      <sheetName val="Scope_of_work"/>
      <sheetName val="working_load_at_the_btm_ft_"/>
      <sheetName val="plan&amp;section_of_foundation"/>
      <sheetName val="03__SoQ_Monitoring"/>
      <sheetName val="Unit_Cost"/>
      <sheetName val="First"/>
      <sheetName val="Ground"/>
      <sheetName val="19-PERF"/>
      <sheetName val="Unit_Name"/>
      <sheetName val="STAND98"/>
      <sheetName val="SH-F"/>
      <sheetName val="合成単価作成表-BLDG"/>
      <sheetName val="실행"/>
      <sheetName val="SAKUB"/>
      <sheetName val="DI-ESTI"/>
      <sheetName val="Piping BQ for one turbine"/>
      <sheetName val=" 갑지"/>
      <sheetName val="데이타"/>
      <sheetName val="식재인부"/>
      <sheetName val="PipWT"/>
      <sheetName val="Pump"/>
      <sheetName val="Chi tiet"/>
      <sheetName val="cable"/>
      <sheetName val="C1.공사개요"/>
      <sheetName val="401"/>
      <sheetName val="Sheet5"/>
      <sheetName val="도"/>
      <sheetName val="노임단가"/>
      <sheetName val="수목단가"/>
      <sheetName val="시설수량표"/>
      <sheetName val="식재수량표"/>
      <sheetName val="일위목록"/>
      <sheetName val="자재단가"/>
      <sheetName val="출금실적"/>
      <sheetName val="wg"/>
      <sheetName val="PDS U-1400"/>
      <sheetName val="공문"/>
      <sheetName val="AU"/>
      <sheetName val="Hoja1"/>
      <sheetName val="piping"/>
      <sheetName val="PROCESS"/>
      <sheetName val="Welcome"/>
      <sheetName val="DESIGN CRETERIA"/>
      <sheetName val="COVERSHEET"/>
      <sheetName val="DESIGN_CRETERIA"/>
      <sheetName val="조도계산서 (도서)"/>
      <sheetName val="Spec1"/>
      <sheetName val="노임9월"/>
      <sheetName val="価格"/>
      <sheetName val="Compressors"/>
      <sheetName val="C3"/>
      <sheetName val="A"/>
      <sheetName val="eq_data"/>
      <sheetName val="4K - (6a) Non Manual Breakdown"/>
      <sheetName val="PRICE-COMP"/>
      <sheetName val="KP1590_E"/>
      <sheetName val="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집계"/>
      <sheetName val="노임9월"/>
      <sheetName val="수목표준대가"/>
      <sheetName val="노임단가"/>
      <sheetName val="부표총괄"/>
      <sheetName val="CAT_5"/>
      <sheetName val="기초자료"/>
      <sheetName val="견적집계표"/>
      <sheetName val="예산명세서"/>
      <sheetName val="설계명세서"/>
      <sheetName val="자료입력"/>
      <sheetName val="98수문일위"/>
      <sheetName val="일위대가표(DEEP)"/>
      <sheetName val="철탑"/>
      <sheetName val="제철"/>
      <sheetName val="비매출"/>
      <sheetName val="품셈표"/>
      <sheetName val="산근"/>
      <sheetName val="수목데이타 "/>
      <sheetName val="기성현황"/>
      <sheetName val="사업전망"/>
      <sheetName val="원가현황"/>
      <sheetName val="2.냉난방설비공사"/>
      <sheetName val="7.자동제어공사"/>
      <sheetName val="공사현황"/>
      <sheetName val="BAND(200)"/>
      <sheetName val="EL 표면적"/>
      <sheetName val="M3산출"/>
      <sheetName val="노무비"/>
      <sheetName val="BOJUNGGM"/>
      <sheetName val="현장"/>
      <sheetName val="MIJIBI"/>
      <sheetName val="MATERIAL"/>
      <sheetName val="협력업체"/>
      <sheetName val="견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"/>
      <sheetName val="원가계산"/>
      <sheetName val="원가근거"/>
      <sheetName val="직 영 비"/>
      <sheetName val="총괄내역"/>
      <sheetName val="세부내역"/>
      <sheetName val="일위집계"/>
      <sheetName val="일위대가"/>
      <sheetName val="단가조사"/>
      <sheetName val="노임단가"/>
      <sheetName val="밀양내역"/>
      <sheetName val="tong du toan"/>
      <sheetName val="TH-XL"/>
      <sheetName val="Sheet4"/>
      <sheetName val="노임"/>
      <sheetName val="giathanh1"/>
      <sheetName val="노무비 "/>
      <sheetName val="4.결점내역"/>
      <sheetName val="용연"/>
      <sheetName val="고합"/>
      <sheetName val="#REF"/>
      <sheetName val="울산"/>
      <sheetName val="진천"/>
      <sheetName val="구미"/>
      <sheetName val="대구"/>
      <sheetName val="언양"/>
      <sheetName val="부서별"/>
      <sheetName val="05년간 생산실적-입력"/>
      <sheetName val="07제품별수익성"/>
      <sheetName val="연령현황"/>
      <sheetName val="요약"/>
      <sheetName val="불량율현황"/>
      <sheetName val="10고객별 담당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품   명</v>
          </cell>
          <cell r="C1" t="str">
            <v>규   격</v>
          </cell>
          <cell r="D1" t="str">
            <v>수량</v>
          </cell>
          <cell r="E1" t="str">
            <v>단위</v>
          </cell>
          <cell r="F1" t="str">
            <v>적 용 금 액</v>
          </cell>
        </row>
        <row r="4">
          <cell r="A4" t="str">
            <v>경고테이프비닐</v>
          </cell>
          <cell r="B4" t="str">
            <v>경고테이프</v>
          </cell>
          <cell r="C4" t="str">
            <v>비닐</v>
          </cell>
          <cell r="D4">
            <v>1</v>
          </cell>
          <cell r="E4" t="str">
            <v>M</v>
          </cell>
          <cell r="G4">
            <v>56</v>
          </cell>
        </row>
        <row r="5">
          <cell r="A5" t="str">
            <v>경유</v>
          </cell>
          <cell r="B5" t="str">
            <v>경유</v>
          </cell>
          <cell r="D5">
            <v>1</v>
          </cell>
          <cell r="E5" t="str">
            <v>ℓ</v>
          </cell>
          <cell r="G5">
            <v>443</v>
          </cell>
        </row>
        <row r="6">
          <cell r="A6" t="str">
            <v>공청용안테나(SUS)UHF용</v>
          </cell>
          <cell r="B6" t="str">
            <v>공청용안테나(SUS)</v>
          </cell>
          <cell r="C6" t="str">
            <v>UHF용</v>
          </cell>
          <cell r="D6">
            <v>1</v>
          </cell>
          <cell r="E6" t="str">
            <v>조</v>
          </cell>
          <cell r="G6">
            <v>140000</v>
          </cell>
        </row>
        <row r="7">
          <cell r="A7" t="str">
            <v>공청용안테나(SUS)VHF HIGH용</v>
          </cell>
          <cell r="B7" t="str">
            <v>공청용안테나(SUS)</v>
          </cell>
          <cell r="C7" t="str">
            <v>VHF HIGH용</v>
          </cell>
          <cell r="D7">
            <v>1</v>
          </cell>
          <cell r="E7" t="str">
            <v>조</v>
          </cell>
          <cell r="G7">
            <v>150000</v>
          </cell>
        </row>
        <row r="8">
          <cell r="A8" t="str">
            <v>공청용안테나(SUS)VHF LOW용</v>
          </cell>
          <cell r="B8" t="str">
            <v>공청용안테나(SUS)</v>
          </cell>
          <cell r="C8" t="str">
            <v>VHF LOW용</v>
          </cell>
          <cell r="D8">
            <v>1</v>
          </cell>
          <cell r="E8" t="str">
            <v>조</v>
          </cell>
          <cell r="G8">
            <v>160000</v>
          </cell>
        </row>
        <row r="9">
          <cell r="A9" t="str">
            <v>광 케이블4C</v>
          </cell>
          <cell r="B9" t="str">
            <v>광 케이블</v>
          </cell>
          <cell r="C9" t="str">
            <v>4C</v>
          </cell>
          <cell r="D9">
            <v>1</v>
          </cell>
          <cell r="E9" t="str">
            <v>M</v>
          </cell>
          <cell r="G9">
            <v>8100</v>
          </cell>
        </row>
        <row r="10">
          <cell r="A10" t="str">
            <v>국사1020 X 1330 X 2350</v>
          </cell>
          <cell r="B10" t="str">
            <v>국사</v>
          </cell>
          <cell r="C10" t="str">
            <v>1020 X 1330 X 2350</v>
          </cell>
          <cell r="D10">
            <v>1</v>
          </cell>
          <cell r="E10" t="str">
            <v>M</v>
          </cell>
          <cell r="G10">
            <v>1800000</v>
          </cell>
        </row>
        <row r="11">
          <cell r="A11" t="str">
            <v>나동연선38㎟</v>
          </cell>
          <cell r="B11" t="str">
            <v>나동연선</v>
          </cell>
          <cell r="C11" t="str">
            <v>38㎟</v>
          </cell>
          <cell r="D11">
            <v>1</v>
          </cell>
          <cell r="E11" t="str">
            <v>M</v>
          </cell>
          <cell r="G11">
            <v>1441</v>
          </cell>
        </row>
        <row r="12">
          <cell r="A12" t="str">
            <v>노말밴드PVC 28C</v>
          </cell>
          <cell r="B12" t="str">
            <v>노말밴드</v>
          </cell>
          <cell r="C12" t="str">
            <v>PVC 28C</v>
          </cell>
          <cell r="D12">
            <v>1</v>
          </cell>
          <cell r="E12" t="str">
            <v>개</v>
          </cell>
          <cell r="G12">
            <v>960</v>
          </cell>
        </row>
        <row r="13">
          <cell r="A13" t="str">
            <v>노말밴드PVC 36C</v>
          </cell>
          <cell r="B13" t="str">
            <v>노말밴드</v>
          </cell>
          <cell r="C13" t="str">
            <v>PVC 36C</v>
          </cell>
          <cell r="D13">
            <v>1</v>
          </cell>
          <cell r="E13" t="str">
            <v>개</v>
          </cell>
          <cell r="G13">
            <v>1080</v>
          </cell>
        </row>
        <row r="14">
          <cell r="A14" t="str">
            <v>노말밴드PVC 54C</v>
          </cell>
          <cell r="B14" t="str">
            <v>노말밴드</v>
          </cell>
          <cell r="C14" t="str">
            <v>PVC 54C</v>
          </cell>
          <cell r="D14">
            <v>1</v>
          </cell>
          <cell r="E14" t="str">
            <v>개</v>
          </cell>
          <cell r="G14">
            <v>2200</v>
          </cell>
        </row>
        <row r="15">
          <cell r="A15" t="str">
            <v>레미콘40-180-8</v>
          </cell>
          <cell r="B15" t="str">
            <v>레미콘</v>
          </cell>
          <cell r="C15" t="str">
            <v>40-180-8</v>
          </cell>
          <cell r="D15">
            <v>1</v>
          </cell>
          <cell r="E15" t="str">
            <v>㎥</v>
          </cell>
          <cell r="G15">
            <v>43300</v>
          </cell>
        </row>
        <row r="16">
          <cell r="A16" t="str">
            <v>모 래</v>
          </cell>
          <cell r="B16" t="str">
            <v>모 래</v>
          </cell>
          <cell r="D16">
            <v>1</v>
          </cell>
          <cell r="E16" t="str">
            <v>㎥</v>
          </cell>
          <cell r="G16">
            <v>6000</v>
          </cell>
        </row>
        <row r="17">
          <cell r="A17" t="str">
            <v>밧데리12V24AH</v>
          </cell>
          <cell r="B17" t="str">
            <v>밧데리</v>
          </cell>
          <cell r="C17" t="str">
            <v>12V24AH</v>
          </cell>
          <cell r="D17">
            <v>1</v>
          </cell>
          <cell r="E17" t="str">
            <v>CELL</v>
          </cell>
          <cell r="G17">
            <v>52000</v>
          </cell>
        </row>
        <row r="18">
          <cell r="A18" t="str">
            <v>밧데리12V40AH</v>
          </cell>
          <cell r="B18" t="str">
            <v>밧데리</v>
          </cell>
          <cell r="C18" t="str">
            <v>12V40AH</v>
          </cell>
          <cell r="D18">
            <v>1</v>
          </cell>
          <cell r="E18" t="str">
            <v>CELL</v>
          </cell>
          <cell r="G18">
            <v>77400</v>
          </cell>
        </row>
        <row r="19">
          <cell r="A19" t="str">
            <v>밧데리12V100AH</v>
          </cell>
          <cell r="B19" t="str">
            <v>밧데리</v>
          </cell>
          <cell r="C19" t="str">
            <v>12V100AH</v>
          </cell>
          <cell r="D19">
            <v>1</v>
          </cell>
          <cell r="E19" t="str">
            <v>CELL</v>
          </cell>
          <cell r="G19">
            <v>190000</v>
          </cell>
        </row>
        <row r="20">
          <cell r="A20" t="str">
            <v>분기기2WAY</v>
          </cell>
          <cell r="B20" t="str">
            <v>분기기</v>
          </cell>
          <cell r="C20" t="str">
            <v>2WAY</v>
          </cell>
          <cell r="D20">
            <v>1</v>
          </cell>
          <cell r="E20" t="str">
            <v>개</v>
          </cell>
          <cell r="G20">
            <v>7000</v>
          </cell>
        </row>
        <row r="21">
          <cell r="A21" t="str">
            <v>분배기2WAY</v>
          </cell>
          <cell r="B21" t="str">
            <v>분배기</v>
          </cell>
          <cell r="C21" t="str">
            <v>2WAY</v>
          </cell>
          <cell r="D21">
            <v>1</v>
          </cell>
          <cell r="E21" t="str">
            <v>개</v>
          </cell>
          <cell r="G21">
            <v>5000</v>
          </cell>
        </row>
        <row r="22">
          <cell r="A22" t="str">
            <v>수공철개1120X620</v>
          </cell>
          <cell r="B22" t="str">
            <v>수공철개</v>
          </cell>
          <cell r="C22" t="str">
            <v>1120X620</v>
          </cell>
          <cell r="G22">
            <v>250000</v>
          </cell>
        </row>
        <row r="23">
          <cell r="A23" t="str">
            <v>스테인레스강판9mm</v>
          </cell>
          <cell r="B23" t="str">
            <v>스테인레스강판</v>
          </cell>
          <cell r="C23" t="str">
            <v>9mm</v>
          </cell>
          <cell r="D23">
            <v>1</v>
          </cell>
          <cell r="E23" t="str">
            <v>KG</v>
          </cell>
          <cell r="G23">
            <v>2026</v>
          </cell>
        </row>
        <row r="24">
          <cell r="A24" t="str">
            <v>스테인레스관50mm</v>
          </cell>
          <cell r="B24" t="str">
            <v>스테인레스관</v>
          </cell>
          <cell r="C24" t="str">
            <v>50mm</v>
          </cell>
          <cell r="D24">
            <v>1</v>
          </cell>
          <cell r="E24" t="str">
            <v>M</v>
          </cell>
          <cell r="G24">
            <v>3070</v>
          </cell>
        </row>
        <row r="25">
          <cell r="A25" t="str">
            <v>스피커벽부형, 3W</v>
          </cell>
          <cell r="B25" t="str">
            <v>스피커</v>
          </cell>
          <cell r="C25" t="str">
            <v>벽부형, 3W</v>
          </cell>
          <cell r="D25">
            <v>1</v>
          </cell>
          <cell r="E25" t="str">
            <v>개</v>
          </cell>
          <cell r="G25">
            <v>16000</v>
          </cell>
        </row>
        <row r="26">
          <cell r="A26" t="str">
            <v>스피커옥외칼럼형, 20Wx2</v>
          </cell>
          <cell r="B26" t="str">
            <v>스피커</v>
          </cell>
          <cell r="C26" t="str">
            <v>옥외칼럼형, 20Wx2</v>
          </cell>
          <cell r="D26">
            <v>1</v>
          </cell>
          <cell r="E26" t="str">
            <v>개</v>
          </cell>
          <cell r="G26">
            <v>70000</v>
          </cell>
        </row>
        <row r="27">
          <cell r="A27" t="str">
            <v>스피커천정형, 3W</v>
          </cell>
          <cell r="B27" t="str">
            <v>스피커</v>
          </cell>
          <cell r="C27" t="str">
            <v>천정형, 3W</v>
          </cell>
          <cell r="D27">
            <v>1</v>
          </cell>
          <cell r="E27" t="str">
            <v>개</v>
          </cell>
          <cell r="G27">
            <v>16000</v>
          </cell>
        </row>
        <row r="28">
          <cell r="A28" t="str">
            <v>스피커단자함10P</v>
          </cell>
          <cell r="B28" t="str">
            <v>스피커단자함</v>
          </cell>
          <cell r="C28" t="str">
            <v>10P</v>
          </cell>
          <cell r="D28">
            <v>1</v>
          </cell>
          <cell r="E28" t="str">
            <v>면</v>
          </cell>
          <cell r="G28">
            <v>23000</v>
          </cell>
        </row>
        <row r="29">
          <cell r="A29" t="str">
            <v>스피커단자함50P</v>
          </cell>
          <cell r="B29" t="str">
            <v>스피커단자함</v>
          </cell>
          <cell r="C29" t="str">
            <v>50P</v>
          </cell>
          <cell r="D29">
            <v>1</v>
          </cell>
          <cell r="E29" t="str">
            <v>면</v>
          </cell>
          <cell r="G29">
            <v>55000</v>
          </cell>
        </row>
        <row r="30">
          <cell r="A30" t="str">
            <v>아연도전선관16C</v>
          </cell>
          <cell r="B30" t="str">
            <v>아연도전선관</v>
          </cell>
          <cell r="C30" t="str">
            <v>16C</v>
          </cell>
          <cell r="D30">
            <v>1</v>
          </cell>
          <cell r="E30" t="str">
            <v>M</v>
          </cell>
          <cell r="G30">
            <v>932</v>
          </cell>
        </row>
        <row r="31">
          <cell r="A31" t="str">
            <v>아연도전선관22C</v>
          </cell>
          <cell r="B31" t="str">
            <v>아연도전선관</v>
          </cell>
          <cell r="C31" t="str">
            <v>22C</v>
          </cell>
          <cell r="D31">
            <v>1</v>
          </cell>
          <cell r="E31" t="str">
            <v>M</v>
          </cell>
          <cell r="G31">
            <v>1192</v>
          </cell>
        </row>
        <row r="32">
          <cell r="A32" t="str">
            <v>아연도전선관28C</v>
          </cell>
          <cell r="B32" t="str">
            <v>아연도전선관</v>
          </cell>
          <cell r="C32" t="str">
            <v>28C</v>
          </cell>
          <cell r="D32">
            <v>1</v>
          </cell>
          <cell r="E32" t="str">
            <v>M</v>
          </cell>
          <cell r="G32">
            <v>1566</v>
          </cell>
        </row>
        <row r="33">
          <cell r="A33" t="str">
            <v>아연도전선관36C</v>
          </cell>
          <cell r="B33" t="str">
            <v>아연도전선관</v>
          </cell>
          <cell r="C33" t="str">
            <v>36C</v>
          </cell>
          <cell r="D33">
            <v>1</v>
          </cell>
          <cell r="E33" t="str">
            <v>M</v>
          </cell>
          <cell r="G33">
            <v>1921</v>
          </cell>
        </row>
        <row r="34">
          <cell r="A34" t="str">
            <v>아연도전선관42C</v>
          </cell>
          <cell r="B34" t="str">
            <v>아연도전선관</v>
          </cell>
          <cell r="C34" t="str">
            <v>42C</v>
          </cell>
          <cell r="D34">
            <v>1</v>
          </cell>
          <cell r="E34" t="str">
            <v>M</v>
          </cell>
          <cell r="G34">
            <v>2224</v>
          </cell>
        </row>
        <row r="35">
          <cell r="A35" t="str">
            <v>아연도전선관54C</v>
          </cell>
          <cell r="B35" t="str">
            <v>아연도전선관</v>
          </cell>
          <cell r="C35" t="str">
            <v>54C</v>
          </cell>
          <cell r="D35">
            <v>1</v>
          </cell>
          <cell r="E35" t="str">
            <v>M</v>
          </cell>
          <cell r="G35">
            <v>3104</v>
          </cell>
        </row>
        <row r="36">
          <cell r="A36" t="str">
            <v>아연도전선관70C</v>
          </cell>
          <cell r="B36" t="str">
            <v>아연도전선관</v>
          </cell>
          <cell r="C36" t="str">
            <v>70C</v>
          </cell>
          <cell r="D36">
            <v>1</v>
          </cell>
          <cell r="E36" t="str">
            <v>M</v>
          </cell>
          <cell r="G36">
            <v>3950</v>
          </cell>
        </row>
        <row r="37">
          <cell r="A37" t="str">
            <v>앙카볼트10x200</v>
          </cell>
          <cell r="B37" t="str">
            <v>앙카볼트</v>
          </cell>
          <cell r="C37" t="str">
            <v>10x200</v>
          </cell>
          <cell r="D37">
            <v>1</v>
          </cell>
          <cell r="E37" t="str">
            <v>EA</v>
          </cell>
          <cell r="G37">
            <v>440</v>
          </cell>
        </row>
        <row r="38">
          <cell r="A38" t="str">
            <v>앙카볼트16x180</v>
          </cell>
          <cell r="B38" t="str">
            <v>앙카볼트</v>
          </cell>
          <cell r="C38" t="str">
            <v>16x180</v>
          </cell>
          <cell r="D38">
            <v>1</v>
          </cell>
          <cell r="E38" t="str">
            <v>EA</v>
          </cell>
          <cell r="G38">
            <v>627</v>
          </cell>
        </row>
        <row r="39">
          <cell r="A39" t="str">
            <v>앙카볼트16x250</v>
          </cell>
          <cell r="B39" t="str">
            <v>앙카볼트</v>
          </cell>
          <cell r="C39" t="str">
            <v>16x250</v>
          </cell>
          <cell r="D39">
            <v>1</v>
          </cell>
          <cell r="E39" t="str">
            <v>EA</v>
          </cell>
          <cell r="G39">
            <v>1100</v>
          </cell>
        </row>
        <row r="40">
          <cell r="A40" t="str">
            <v>앙카볼트(SUS)5/8"</v>
          </cell>
          <cell r="B40" t="str">
            <v>앙카볼트(SUS)</v>
          </cell>
          <cell r="C40" t="str">
            <v>5/8"</v>
          </cell>
          <cell r="D40">
            <v>1</v>
          </cell>
          <cell r="E40" t="str">
            <v>SET</v>
          </cell>
          <cell r="G40">
            <v>320</v>
          </cell>
        </row>
        <row r="41">
          <cell r="A41" t="str">
            <v>앰 프120W</v>
          </cell>
          <cell r="B41" t="str">
            <v>앰 프</v>
          </cell>
          <cell r="C41" t="str">
            <v>120W</v>
          </cell>
          <cell r="D41">
            <v>1</v>
          </cell>
          <cell r="E41" t="str">
            <v>SET</v>
          </cell>
          <cell r="G41">
            <v>480000</v>
          </cell>
        </row>
        <row r="42">
          <cell r="A42" t="str">
            <v>영상케이블ECX 7C-2V</v>
          </cell>
          <cell r="B42" t="str">
            <v>영상케이블</v>
          </cell>
          <cell r="C42" t="str">
            <v>ECX 7C-2V</v>
          </cell>
          <cell r="D42">
            <v>1</v>
          </cell>
          <cell r="E42" t="str">
            <v>M</v>
          </cell>
          <cell r="G42">
            <v>615</v>
          </cell>
        </row>
        <row r="43">
          <cell r="A43" t="str">
            <v>전열콘센트2-250-15</v>
          </cell>
          <cell r="B43" t="str">
            <v>전열콘센트</v>
          </cell>
          <cell r="C43" t="str">
            <v>2-250-15</v>
          </cell>
          <cell r="D43">
            <v>1</v>
          </cell>
          <cell r="E43" t="str">
            <v>개</v>
          </cell>
          <cell r="G43">
            <v>1000</v>
          </cell>
        </row>
        <row r="44">
          <cell r="A44" t="str">
            <v>전원케이블CV 2㎟-2C</v>
          </cell>
          <cell r="B44" t="str">
            <v>전원케이블</v>
          </cell>
          <cell r="C44" t="str">
            <v>CV 2㎟-2C</v>
          </cell>
          <cell r="D44">
            <v>1</v>
          </cell>
          <cell r="E44" t="str">
            <v>M</v>
          </cell>
          <cell r="G44">
            <v>402</v>
          </cell>
        </row>
        <row r="45">
          <cell r="A45" t="str">
            <v>전원케이블CV 3.5㎟-2C</v>
          </cell>
          <cell r="B45" t="str">
            <v>전원케이블</v>
          </cell>
          <cell r="C45" t="str">
            <v>CV 3.5㎟-2C</v>
          </cell>
          <cell r="D45">
            <v>1</v>
          </cell>
          <cell r="E45" t="str">
            <v>M</v>
          </cell>
          <cell r="G45">
            <v>513</v>
          </cell>
        </row>
        <row r="46">
          <cell r="A46" t="str">
            <v>전원케이블CV 5.5㎟-2C</v>
          </cell>
          <cell r="B46" t="str">
            <v>전원케이블</v>
          </cell>
          <cell r="C46" t="str">
            <v>CV 5.5㎟-2C</v>
          </cell>
          <cell r="D46">
            <v>1</v>
          </cell>
          <cell r="E46" t="str">
            <v>M</v>
          </cell>
          <cell r="G46">
            <v>685</v>
          </cell>
        </row>
        <row r="47">
          <cell r="A47" t="str">
            <v>전원케이블CV 8㎟-2C</v>
          </cell>
          <cell r="B47" t="str">
            <v>전원케이블</v>
          </cell>
          <cell r="C47" t="str">
            <v>CV 8㎟-2C</v>
          </cell>
          <cell r="D47">
            <v>1</v>
          </cell>
          <cell r="E47" t="str">
            <v>M</v>
          </cell>
          <cell r="G47">
            <v>863</v>
          </cell>
        </row>
        <row r="48">
          <cell r="A48" t="str">
            <v>전화단자함국선/내선 10P/10P</v>
          </cell>
          <cell r="B48" t="str">
            <v>전화단자함</v>
          </cell>
          <cell r="C48" t="str">
            <v>국선/내선 10P/10P</v>
          </cell>
          <cell r="D48">
            <v>1</v>
          </cell>
          <cell r="E48" t="str">
            <v>면</v>
          </cell>
          <cell r="G48">
            <v>51000</v>
          </cell>
        </row>
        <row r="49">
          <cell r="A49" t="str">
            <v>전화단자함국선/내선 30P/60P</v>
          </cell>
          <cell r="B49" t="str">
            <v>전화단자함</v>
          </cell>
          <cell r="C49" t="str">
            <v>국선/내선 30P/60P</v>
          </cell>
          <cell r="D49">
            <v>1</v>
          </cell>
          <cell r="E49" t="str">
            <v>면</v>
          </cell>
          <cell r="G49">
            <v>105000</v>
          </cell>
        </row>
        <row r="50">
          <cell r="A50" t="str">
            <v>전화단자함중간용 10P</v>
          </cell>
          <cell r="B50" t="str">
            <v>전화단자함</v>
          </cell>
          <cell r="C50" t="str">
            <v>중간용 10P</v>
          </cell>
          <cell r="D50">
            <v>1</v>
          </cell>
          <cell r="E50" t="str">
            <v>면</v>
          </cell>
          <cell r="G50">
            <v>23000</v>
          </cell>
        </row>
        <row r="51">
          <cell r="A51" t="str">
            <v>전화단자함중간용 20P</v>
          </cell>
          <cell r="B51" t="str">
            <v>전화단자함</v>
          </cell>
          <cell r="C51" t="str">
            <v>중간용 20P</v>
          </cell>
          <cell r="D51">
            <v>1</v>
          </cell>
          <cell r="E51" t="str">
            <v>면</v>
          </cell>
          <cell r="G51">
            <v>27000</v>
          </cell>
        </row>
        <row r="52">
          <cell r="A52" t="str">
            <v>전화단자함중간용 30P</v>
          </cell>
          <cell r="B52" t="str">
            <v>전화단자함</v>
          </cell>
          <cell r="C52" t="str">
            <v>중간용 30P</v>
          </cell>
          <cell r="D52">
            <v>1</v>
          </cell>
          <cell r="E52" t="str">
            <v>면</v>
          </cell>
          <cell r="G52">
            <v>34000</v>
          </cell>
        </row>
        <row r="53">
          <cell r="A53" t="str">
            <v>전화콘센트4PIN</v>
          </cell>
          <cell r="B53" t="str">
            <v>전화콘센트</v>
          </cell>
          <cell r="C53" t="str">
            <v>4PIN</v>
          </cell>
          <cell r="D53">
            <v>1</v>
          </cell>
          <cell r="E53" t="str">
            <v>개</v>
          </cell>
          <cell r="G53">
            <v>879</v>
          </cell>
        </row>
        <row r="54">
          <cell r="A54" t="str">
            <v>접지단자함1CCT, SUS</v>
          </cell>
          <cell r="B54" t="str">
            <v>접지단자함</v>
          </cell>
          <cell r="C54" t="str">
            <v>1CCT, SUS</v>
          </cell>
          <cell r="D54">
            <v>1</v>
          </cell>
          <cell r="E54" t="str">
            <v>면</v>
          </cell>
          <cell r="G54">
            <v>65000</v>
          </cell>
        </row>
        <row r="55">
          <cell r="A55" t="str">
            <v>접지단자함2CCT, SUS</v>
          </cell>
          <cell r="B55" t="str">
            <v>접지단자함</v>
          </cell>
          <cell r="C55" t="str">
            <v>2CCT, SUS</v>
          </cell>
          <cell r="D55">
            <v>1</v>
          </cell>
          <cell r="E55" t="str">
            <v>면</v>
          </cell>
          <cell r="G55">
            <v>72000</v>
          </cell>
        </row>
        <row r="56">
          <cell r="A56" t="str">
            <v>접지단자함4CCT, SUS</v>
          </cell>
          <cell r="B56" t="str">
            <v>접지단자함</v>
          </cell>
          <cell r="C56" t="str">
            <v>4CCT, SUS</v>
          </cell>
          <cell r="D56">
            <v>1</v>
          </cell>
          <cell r="E56" t="str">
            <v>면</v>
          </cell>
          <cell r="G56">
            <v>120000</v>
          </cell>
        </row>
        <row r="57">
          <cell r="A57" t="str">
            <v>접지동판500 X 500 X 1.5</v>
          </cell>
          <cell r="B57" t="str">
            <v>접지동판</v>
          </cell>
          <cell r="C57" t="str">
            <v>500 X 500 X 1.5</v>
          </cell>
          <cell r="D57">
            <v>1</v>
          </cell>
          <cell r="E57" t="str">
            <v>EA</v>
          </cell>
          <cell r="G57">
            <v>22000</v>
          </cell>
        </row>
        <row r="58">
          <cell r="A58" t="str">
            <v>접지봉φ14 x 1000mm</v>
          </cell>
          <cell r="B58" t="str">
            <v>접지봉</v>
          </cell>
          <cell r="C58" t="str">
            <v>φ14 x 1000mm</v>
          </cell>
          <cell r="D58">
            <v>1</v>
          </cell>
          <cell r="E58" t="str">
            <v>본</v>
          </cell>
          <cell r="G58">
            <v>2650</v>
          </cell>
        </row>
        <row r="59">
          <cell r="A59" t="str">
            <v>접지봉φ16 x 1800mm</v>
          </cell>
          <cell r="B59" t="str">
            <v>접지봉</v>
          </cell>
          <cell r="C59" t="str">
            <v>φ16 x 1800mm</v>
          </cell>
          <cell r="D59">
            <v>1</v>
          </cell>
          <cell r="E59" t="str">
            <v>본</v>
          </cell>
          <cell r="G59">
            <v>4500</v>
          </cell>
        </row>
        <row r="60">
          <cell r="A60" t="str">
            <v>접지봉φ18 x 2400mm</v>
          </cell>
          <cell r="B60" t="str">
            <v>접지봉</v>
          </cell>
          <cell r="C60" t="str">
            <v>φ18 x 2400mm</v>
          </cell>
          <cell r="D60">
            <v>1</v>
          </cell>
          <cell r="E60" t="str">
            <v>본</v>
          </cell>
          <cell r="G60">
            <v>6500</v>
          </cell>
        </row>
        <row r="61">
          <cell r="A61" t="str">
            <v>접지용 전선GV 2.0㎟</v>
          </cell>
          <cell r="B61" t="str">
            <v>접지용 전선</v>
          </cell>
          <cell r="C61" t="str">
            <v>GV 2.0㎟</v>
          </cell>
          <cell r="D61">
            <v>1</v>
          </cell>
          <cell r="E61" t="str">
            <v>M</v>
          </cell>
          <cell r="G61">
            <v>197</v>
          </cell>
        </row>
        <row r="62">
          <cell r="A62" t="str">
            <v>접지용 전선GV 3.5㎟</v>
          </cell>
          <cell r="B62" t="str">
            <v>접지용 전선</v>
          </cell>
          <cell r="C62" t="str">
            <v>GV 3.5㎟</v>
          </cell>
          <cell r="D62">
            <v>1</v>
          </cell>
          <cell r="E62" t="str">
            <v>M</v>
          </cell>
          <cell r="G62">
            <v>265</v>
          </cell>
        </row>
        <row r="63">
          <cell r="A63" t="str">
            <v>접지용 전선GV 38㎟</v>
          </cell>
          <cell r="B63" t="str">
            <v>접지용 전선</v>
          </cell>
          <cell r="C63" t="str">
            <v>GV 38㎟</v>
          </cell>
          <cell r="D63">
            <v>1</v>
          </cell>
          <cell r="E63" t="str">
            <v>M</v>
          </cell>
          <cell r="G63">
            <v>1940</v>
          </cell>
        </row>
        <row r="64">
          <cell r="A64" t="str">
            <v>접지용 전선GV 5.5㎟</v>
          </cell>
          <cell r="B64" t="str">
            <v>접지용 전선</v>
          </cell>
          <cell r="C64" t="str">
            <v>GV 5.5㎟</v>
          </cell>
          <cell r="D64">
            <v>1</v>
          </cell>
          <cell r="E64" t="str">
            <v>M</v>
          </cell>
          <cell r="G64">
            <v>360</v>
          </cell>
        </row>
        <row r="65">
          <cell r="A65" t="str">
            <v>접지용 전선GV 60㎟</v>
          </cell>
          <cell r="B65" t="str">
            <v>접지용 전선</v>
          </cell>
          <cell r="C65" t="str">
            <v>GV 60㎟</v>
          </cell>
          <cell r="D65">
            <v>1</v>
          </cell>
          <cell r="E65" t="str">
            <v>M</v>
          </cell>
          <cell r="G65">
            <v>3067</v>
          </cell>
        </row>
        <row r="66">
          <cell r="A66" t="str">
            <v>접지콘넥터38-38㎟</v>
          </cell>
          <cell r="B66" t="str">
            <v>접지콘넥터</v>
          </cell>
          <cell r="C66" t="str">
            <v>38-38㎟</v>
          </cell>
          <cell r="D66">
            <v>1</v>
          </cell>
          <cell r="E66" t="str">
            <v>개</v>
          </cell>
          <cell r="G66">
            <v>900</v>
          </cell>
        </row>
        <row r="67">
          <cell r="A67" t="str">
            <v>제어케이블CVV 2㎟-10C</v>
          </cell>
          <cell r="B67" t="str">
            <v>제어케이블</v>
          </cell>
          <cell r="C67" t="str">
            <v>CVV 2㎟-10C</v>
          </cell>
          <cell r="D67">
            <v>1</v>
          </cell>
          <cell r="E67" t="str">
            <v>M</v>
          </cell>
          <cell r="G67">
            <v>1191</v>
          </cell>
        </row>
        <row r="68">
          <cell r="A68" t="str">
            <v>제어케이블CVV 2㎟-12C</v>
          </cell>
          <cell r="B68" t="str">
            <v>제어케이블</v>
          </cell>
          <cell r="C68" t="str">
            <v>CVV 2㎟-12C</v>
          </cell>
          <cell r="D68">
            <v>1</v>
          </cell>
          <cell r="E68" t="str">
            <v>M</v>
          </cell>
          <cell r="G68">
            <v>1321</v>
          </cell>
        </row>
        <row r="69">
          <cell r="A69" t="str">
            <v>제어케이블CVV 2㎟-15C</v>
          </cell>
          <cell r="B69" t="str">
            <v>제어케이블</v>
          </cell>
          <cell r="C69" t="str">
            <v>CVV 2㎟-15C</v>
          </cell>
          <cell r="D69">
            <v>1</v>
          </cell>
          <cell r="E69" t="str">
            <v>M</v>
          </cell>
          <cell r="G69">
            <v>1711</v>
          </cell>
        </row>
        <row r="70">
          <cell r="A70" t="str">
            <v>제어케이블CVV 2㎟-19C</v>
          </cell>
          <cell r="B70" t="str">
            <v>제어케이블</v>
          </cell>
          <cell r="C70" t="str">
            <v>CVV 2㎟-19C</v>
          </cell>
          <cell r="D70">
            <v>1</v>
          </cell>
          <cell r="E70" t="str">
            <v>M</v>
          </cell>
          <cell r="G70">
            <v>1935</v>
          </cell>
        </row>
        <row r="71">
          <cell r="A71" t="str">
            <v>제어케이블CVV 2㎟-24C</v>
          </cell>
          <cell r="B71" t="str">
            <v>제어케이블</v>
          </cell>
          <cell r="C71" t="str">
            <v>CVV 2㎟-24C</v>
          </cell>
          <cell r="D71">
            <v>1</v>
          </cell>
          <cell r="E71" t="str">
            <v>M</v>
          </cell>
          <cell r="G71">
            <v>2446</v>
          </cell>
        </row>
        <row r="72">
          <cell r="A72" t="str">
            <v>제어케이블CVV 2㎟-2C</v>
          </cell>
          <cell r="B72" t="str">
            <v>제어케이블</v>
          </cell>
          <cell r="C72" t="str">
            <v>CVV 2㎟-2C</v>
          </cell>
          <cell r="D72">
            <v>1</v>
          </cell>
          <cell r="E72" t="str">
            <v>M</v>
          </cell>
          <cell r="G72">
            <v>364</v>
          </cell>
        </row>
        <row r="73">
          <cell r="A73" t="str">
            <v>제어케이블CVV 2㎟-30C</v>
          </cell>
          <cell r="B73" t="str">
            <v>제어케이블</v>
          </cell>
          <cell r="C73" t="str">
            <v>CVV 2㎟-30C</v>
          </cell>
          <cell r="D73">
            <v>1</v>
          </cell>
          <cell r="E73" t="str">
            <v>M</v>
          </cell>
          <cell r="G73">
            <v>2986</v>
          </cell>
        </row>
        <row r="74">
          <cell r="A74" t="str">
            <v>제어케이블CVV 2㎟-3C</v>
          </cell>
          <cell r="B74" t="str">
            <v>제어케이블</v>
          </cell>
          <cell r="C74" t="str">
            <v>CVV 2㎟-3C</v>
          </cell>
          <cell r="D74">
            <v>1</v>
          </cell>
          <cell r="E74" t="str">
            <v>M</v>
          </cell>
          <cell r="G74">
            <v>445</v>
          </cell>
        </row>
        <row r="75">
          <cell r="A75" t="str">
            <v>제어케이블CVV 2㎟-4C</v>
          </cell>
          <cell r="B75" t="str">
            <v>제어케이블</v>
          </cell>
          <cell r="C75" t="str">
            <v>CVV 2㎟-4C</v>
          </cell>
          <cell r="D75">
            <v>1</v>
          </cell>
          <cell r="E75" t="str">
            <v>M</v>
          </cell>
          <cell r="G75">
            <v>543</v>
          </cell>
        </row>
        <row r="76">
          <cell r="A76" t="str">
            <v>제어케이블CVV 2㎟-5C</v>
          </cell>
          <cell r="B76" t="str">
            <v>제어케이블</v>
          </cell>
          <cell r="C76" t="str">
            <v>CVV 2㎟-5C</v>
          </cell>
          <cell r="D76">
            <v>1</v>
          </cell>
          <cell r="E76" t="str">
            <v>M</v>
          </cell>
          <cell r="G76">
            <v>619</v>
          </cell>
        </row>
        <row r="77">
          <cell r="A77" t="str">
            <v>제어케이블CVV 2㎟-6C</v>
          </cell>
          <cell r="B77" t="str">
            <v>제어케이블</v>
          </cell>
          <cell r="C77" t="str">
            <v>CVV 2㎟-6C</v>
          </cell>
          <cell r="D77">
            <v>1</v>
          </cell>
          <cell r="E77" t="str">
            <v>M</v>
          </cell>
          <cell r="G77">
            <v>715</v>
          </cell>
        </row>
        <row r="78">
          <cell r="A78" t="str">
            <v>제어케이블CVV 2㎟-8C</v>
          </cell>
          <cell r="B78" t="str">
            <v>제어케이블</v>
          </cell>
          <cell r="C78" t="str">
            <v>CVV 2㎟-8C</v>
          </cell>
          <cell r="D78">
            <v>1</v>
          </cell>
          <cell r="E78" t="str">
            <v>M</v>
          </cell>
          <cell r="G78">
            <v>953</v>
          </cell>
        </row>
        <row r="79">
          <cell r="A79" t="str">
            <v>제어케이블CVVS 1.25㎟-4C</v>
          </cell>
          <cell r="B79" t="str">
            <v>제어케이블</v>
          </cell>
          <cell r="C79" t="str">
            <v>CVVS 1.25㎟-4C</v>
          </cell>
          <cell r="D79">
            <v>1</v>
          </cell>
          <cell r="E79" t="str">
            <v>M</v>
          </cell>
          <cell r="G79">
            <v>616</v>
          </cell>
        </row>
        <row r="80">
          <cell r="A80" t="str">
            <v>제어케이블CVVS 2㎟-10C</v>
          </cell>
          <cell r="B80" t="str">
            <v>제어케이블</v>
          </cell>
          <cell r="C80" t="str">
            <v>CVVS 2㎟-10C</v>
          </cell>
          <cell r="D80">
            <v>1</v>
          </cell>
          <cell r="E80" t="str">
            <v>M</v>
          </cell>
          <cell r="G80">
            <v>1413</v>
          </cell>
        </row>
        <row r="81">
          <cell r="A81" t="str">
            <v>제어케이블CVVS 2㎟-12C</v>
          </cell>
          <cell r="B81" t="str">
            <v>제어케이블</v>
          </cell>
          <cell r="C81" t="str">
            <v>CVVS 2㎟-12C</v>
          </cell>
          <cell r="D81">
            <v>1</v>
          </cell>
          <cell r="E81" t="str">
            <v>M</v>
          </cell>
          <cell r="G81">
            <v>1593</v>
          </cell>
        </row>
        <row r="82">
          <cell r="A82" t="str">
            <v>제어케이블CVVS 2㎟-15C</v>
          </cell>
          <cell r="B82" t="str">
            <v>제어케이블</v>
          </cell>
          <cell r="C82" t="str">
            <v>CVVS 2㎟-15C</v>
          </cell>
          <cell r="D82">
            <v>1</v>
          </cell>
          <cell r="E82" t="str">
            <v>M</v>
          </cell>
          <cell r="G82">
            <v>1856</v>
          </cell>
        </row>
        <row r="83">
          <cell r="A83" t="str">
            <v>제어케이블CVVS 2㎟-2C</v>
          </cell>
          <cell r="B83" t="str">
            <v>제어케이블</v>
          </cell>
          <cell r="C83" t="str">
            <v>CVVS 2㎟-2C</v>
          </cell>
          <cell r="D83">
            <v>1</v>
          </cell>
          <cell r="E83" t="str">
            <v>M</v>
          </cell>
          <cell r="G83">
            <v>545</v>
          </cell>
        </row>
        <row r="84">
          <cell r="A84" t="str">
            <v>제어케이블CVVS 2㎟-30C</v>
          </cell>
          <cell r="B84" t="str">
            <v>제어케이블</v>
          </cell>
          <cell r="C84" t="str">
            <v>CVVS 2㎟-30C</v>
          </cell>
          <cell r="D84">
            <v>1</v>
          </cell>
          <cell r="E84" t="str">
            <v>M</v>
          </cell>
          <cell r="G84">
            <v>3391</v>
          </cell>
        </row>
        <row r="85">
          <cell r="A85" t="str">
            <v>제어케이블CVVS 2㎟-3C</v>
          </cell>
          <cell r="B85" t="str">
            <v>제어케이블</v>
          </cell>
          <cell r="C85" t="str">
            <v>CVVS 2㎟-3C</v>
          </cell>
          <cell r="D85">
            <v>1</v>
          </cell>
          <cell r="E85" t="str">
            <v>M</v>
          </cell>
          <cell r="G85">
            <v>631</v>
          </cell>
        </row>
        <row r="86">
          <cell r="A86" t="str">
            <v>제어케이블CVVS 2㎟-4C</v>
          </cell>
          <cell r="B86" t="str">
            <v>제어케이블</v>
          </cell>
          <cell r="C86" t="str">
            <v>CVVS 2㎟-4C</v>
          </cell>
          <cell r="D86">
            <v>1</v>
          </cell>
          <cell r="E86" t="str">
            <v>M</v>
          </cell>
          <cell r="G86">
            <v>732</v>
          </cell>
        </row>
        <row r="87">
          <cell r="A87" t="str">
            <v>제어케이블CVVS 2㎟-6C</v>
          </cell>
          <cell r="B87" t="str">
            <v>제어케이블</v>
          </cell>
          <cell r="C87" t="str">
            <v>CVVS 2㎟-6C</v>
          </cell>
          <cell r="D87">
            <v>1</v>
          </cell>
          <cell r="E87" t="str">
            <v>M</v>
          </cell>
          <cell r="G87">
            <v>935</v>
          </cell>
        </row>
        <row r="88">
          <cell r="A88" t="str">
            <v>제어케이블CVVS 2㎟-8C</v>
          </cell>
          <cell r="B88" t="str">
            <v>제어케이블</v>
          </cell>
          <cell r="C88" t="str">
            <v>CVVS 2㎟-8C</v>
          </cell>
          <cell r="D88">
            <v>1</v>
          </cell>
          <cell r="E88" t="str">
            <v>M</v>
          </cell>
          <cell r="G88">
            <v>1102</v>
          </cell>
        </row>
        <row r="89">
          <cell r="A89" t="str">
            <v>제어케이블CVVSB 2.0㎟-2C</v>
          </cell>
          <cell r="B89" t="str">
            <v>제어케이블</v>
          </cell>
          <cell r="C89" t="str">
            <v>CVVSB 2.0㎟-2C</v>
          </cell>
          <cell r="D89">
            <v>1</v>
          </cell>
          <cell r="E89" t="str">
            <v>M</v>
          </cell>
          <cell r="G89">
            <v>530</v>
          </cell>
        </row>
        <row r="90">
          <cell r="A90" t="str">
            <v>증폭기(공청용)U/VHF 겸용</v>
          </cell>
          <cell r="B90" t="str">
            <v>증폭기(공청용)</v>
          </cell>
          <cell r="C90" t="str">
            <v>U/VHF 겸용</v>
          </cell>
          <cell r="D90">
            <v>1</v>
          </cell>
          <cell r="E90" t="str">
            <v>개</v>
          </cell>
          <cell r="G90">
            <v>65000</v>
          </cell>
        </row>
        <row r="91">
          <cell r="A91" t="str">
            <v>통신케이블CPEV 0.65mm-10P</v>
          </cell>
          <cell r="B91" t="str">
            <v>통신케이블</v>
          </cell>
          <cell r="C91" t="str">
            <v>CPEV 0.65mm-10P</v>
          </cell>
          <cell r="D91">
            <v>1</v>
          </cell>
          <cell r="E91" t="str">
            <v>M</v>
          </cell>
          <cell r="G91">
            <v>752</v>
          </cell>
        </row>
        <row r="92">
          <cell r="A92" t="str">
            <v>통신케이블CPEV 0.65mm-20P</v>
          </cell>
          <cell r="B92" t="str">
            <v>통신케이블</v>
          </cell>
          <cell r="C92" t="str">
            <v>CPEV 0.65mm-20P</v>
          </cell>
          <cell r="D92">
            <v>1</v>
          </cell>
          <cell r="E92" t="str">
            <v>M</v>
          </cell>
          <cell r="G92">
            <v>1111</v>
          </cell>
        </row>
        <row r="93">
          <cell r="A93" t="str">
            <v>통신케이블CPEV 0.65mm-30P</v>
          </cell>
          <cell r="B93" t="str">
            <v>통신케이블</v>
          </cell>
          <cell r="C93" t="str">
            <v>CPEV 0.65mm-30P</v>
          </cell>
          <cell r="D93">
            <v>1</v>
          </cell>
          <cell r="E93" t="str">
            <v>M</v>
          </cell>
          <cell r="G93">
            <v>1511</v>
          </cell>
        </row>
        <row r="94">
          <cell r="A94" t="str">
            <v>통신케이블CPEV 0.65mm-5P</v>
          </cell>
          <cell r="B94" t="str">
            <v>통신케이블</v>
          </cell>
          <cell r="C94" t="str">
            <v>CPEV 0.65mm-5P</v>
          </cell>
          <cell r="D94">
            <v>1</v>
          </cell>
          <cell r="E94" t="str">
            <v>M</v>
          </cell>
          <cell r="G94">
            <v>599</v>
          </cell>
        </row>
        <row r="95">
          <cell r="A95" t="str">
            <v>파상형PE전선관100φ</v>
          </cell>
          <cell r="B95" t="str">
            <v>파상형PE전선관</v>
          </cell>
          <cell r="C95" t="str">
            <v>100φ</v>
          </cell>
          <cell r="D95">
            <v>1</v>
          </cell>
          <cell r="E95" t="str">
            <v>M</v>
          </cell>
          <cell r="G95">
            <v>1490</v>
          </cell>
        </row>
        <row r="96">
          <cell r="A96" t="str">
            <v>파상형PE전선관125φ</v>
          </cell>
          <cell r="B96" t="str">
            <v>파상형PE전선관</v>
          </cell>
          <cell r="C96" t="str">
            <v>125φ</v>
          </cell>
          <cell r="D96">
            <v>1</v>
          </cell>
          <cell r="E96" t="str">
            <v>M</v>
          </cell>
          <cell r="G96">
            <v>2410</v>
          </cell>
        </row>
        <row r="97">
          <cell r="A97" t="str">
            <v>파상형PE전선관150φ</v>
          </cell>
          <cell r="B97" t="str">
            <v>파상형PE전선관</v>
          </cell>
          <cell r="C97" t="str">
            <v>150φ</v>
          </cell>
          <cell r="D97">
            <v>1</v>
          </cell>
          <cell r="E97" t="str">
            <v>M</v>
          </cell>
          <cell r="G97">
            <v>2850</v>
          </cell>
        </row>
        <row r="98">
          <cell r="A98" t="str">
            <v>파상형PE전선관30φ</v>
          </cell>
          <cell r="B98" t="str">
            <v>파상형PE전선관</v>
          </cell>
          <cell r="C98" t="str">
            <v>30φ</v>
          </cell>
          <cell r="D98">
            <v>1</v>
          </cell>
          <cell r="E98" t="str">
            <v>M</v>
          </cell>
          <cell r="G98">
            <v>270</v>
          </cell>
        </row>
        <row r="99">
          <cell r="A99" t="str">
            <v>파상형PE전선관40φ</v>
          </cell>
          <cell r="B99" t="str">
            <v>파상형PE전선관</v>
          </cell>
          <cell r="C99" t="str">
            <v>40φ</v>
          </cell>
          <cell r="D99">
            <v>1</v>
          </cell>
          <cell r="E99" t="str">
            <v>M</v>
          </cell>
          <cell r="G99">
            <v>410</v>
          </cell>
        </row>
        <row r="100">
          <cell r="A100" t="str">
            <v>파상형PE전선관50φ</v>
          </cell>
          <cell r="B100" t="str">
            <v>파상형PE전선관</v>
          </cell>
          <cell r="C100" t="str">
            <v>50φ</v>
          </cell>
          <cell r="D100">
            <v>1</v>
          </cell>
          <cell r="E100" t="str">
            <v>M</v>
          </cell>
          <cell r="G100">
            <v>560</v>
          </cell>
        </row>
        <row r="101">
          <cell r="A101" t="str">
            <v>파상형PE전선관65φ</v>
          </cell>
          <cell r="B101" t="str">
            <v>파상형PE전선관</v>
          </cell>
          <cell r="C101" t="str">
            <v>65φ</v>
          </cell>
          <cell r="D101">
            <v>1</v>
          </cell>
          <cell r="E101" t="str">
            <v>M</v>
          </cell>
          <cell r="G101">
            <v>860</v>
          </cell>
        </row>
        <row r="102">
          <cell r="A102" t="str">
            <v>파상형PE전선관80φ</v>
          </cell>
          <cell r="B102" t="str">
            <v>파상형PE전선관</v>
          </cell>
          <cell r="C102" t="str">
            <v>80φ</v>
          </cell>
          <cell r="D102">
            <v>1</v>
          </cell>
          <cell r="E102" t="str">
            <v>M</v>
          </cell>
          <cell r="G102">
            <v>1190</v>
          </cell>
        </row>
        <row r="103">
          <cell r="A103" t="str">
            <v>풀박스100 x 100 x 100</v>
          </cell>
          <cell r="B103" t="str">
            <v>풀박스</v>
          </cell>
          <cell r="C103" t="str">
            <v>100 x 100 x 100</v>
          </cell>
          <cell r="D103">
            <v>1</v>
          </cell>
          <cell r="E103" t="str">
            <v>개</v>
          </cell>
          <cell r="G103">
            <v>1650</v>
          </cell>
        </row>
        <row r="104">
          <cell r="A104" t="str">
            <v>풀박스100 x 100 x 75</v>
          </cell>
          <cell r="B104" t="str">
            <v>풀박스</v>
          </cell>
          <cell r="C104" t="str">
            <v>100 x 100 x 75</v>
          </cell>
          <cell r="D104">
            <v>1</v>
          </cell>
          <cell r="E104" t="str">
            <v>개</v>
          </cell>
          <cell r="G104">
            <v>1440</v>
          </cell>
        </row>
        <row r="105">
          <cell r="A105" t="str">
            <v>풀박스150 x 150 x 100</v>
          </cell>
          <cell r="B105" t="str">
            <v>풀박스</v>
          </cell>
          <cell r="C105" t="str">
            <v>150 x 150 x 100</v>
          </cell>
          <cell r="D105">
            <v>1</v>
          </cell>
          <cell r="E105" t="str">
            <v>개</v>
          </cell>
          <cell r="G105">
            <v>2320</v>
          </cell>
        </row>
        <row r="106">
          <cell r="A106" t="str">
            <v>풀박스150 x 150 x 150</v>
          </cell>
          <cell r="B106" t="str">
            <v>풀박스</v>
          </cell>
          <cell r="C106" t="str">
            <v>150 x 150 x 150</v>
          </cell>
          <cell r="D106">
            <v>1</v>
          </cell>
          <cell r="E106" t="str">
            <v>개</v>
          </cell>
          <cell r="G106">
            <v>2590</v>
          </cell>
        </row>
        <row r="107">
          <cell r="A107" t="str">
            <v>풀박스200 x 200 x 100</v>
          </cell>
          <cell r="B107" t="str">
            <v>풀박스</v>
          </cell>
          <cell r="C107" t="str">
            <v>200 x 200 x 100</v>
          </cell>
          <cell r="D107">
            <v>1</v>
          </cell>
          <cell r="E107" t="str">
            <v>개</v>
          </cell>
          <cell r="G107">
            <v>3230</v>
          </cell>
        </row>
        <row r="108">
          <cell r="A108" t="str">
            <v>풀박스200 x 200 x 150</v>
          </cell>
          <cell r="B108" t="str">
            <v>풀박스</v>
          </cell>
          <cell r="C108" t="str">
            <v>200 x 200 x 150</v>
          </cell>
          <cell r="D108">
            <v>1</v>
          </cell>
          <cell r="E108" t="str">
            <v>개</v>
          </cell>
          <cell r="G108">
            <v>3820</v>
          </cell>
        </row>
        <row r="109">
          <cell r="A109" t="str">
            <v>풀박스200 x 200 x 200</v>
          </cell>
          <cell r="B109" t="str">
            <v>풀박스</v>
          </cell>
          <cell r="C109" t="str">
            <v>200 x 200 x 200</v>
          </cell>
          <cell r="D109">
            <v>1</v>
          </cell>
          <cell r="E109" t="str">
            <v>개</v>
          </cell>
          <cell r="G109">
            <v>4420</v>
          </cell>
        </row>
        <row r="110">
          <cell r="A110" t="str">
            <v>풀박스250 x 250 x 100</v>
          </cell>
          <cell r="B110" t="str">
            <v>풀박스</v>
          </cell>
          <cell r="C110" t="str">
            <v>250 x 250 x 100</v>
          </cell>
          <cell r="D110">
            <v>1</v>
          </cell>
          <cell r="E110" t="str">
            <v>개</v>
          </cell>
          <cell r="G110">
            <v>4370</v>
          </cell>
        </row>
        <row r="111">
          <cell r="A111" t="str">
            <v>풀박스250 x 250 x 150</v>
          </cell>
          <cell r="B111" t="str">
            <v>풀박스</v>
          </cell>
          <cell r="C111" t="str">
            <v>250 x 250 x 150</v>
          </cell>
          <cell r="D111">
            <v>1</v>
          </cell>
          <cell r="E111" t="str">
            <v>개</v>
          </cell>
          <cell r="G111">
            <v>4800</v>
          </cell>
        </row>
        <row r="112">
          <cell r="A112" t="str">
            <v>풀박스300 x 300 x 150</v>
          </cell>
          <cell r="B112" t="str">
            <v>풀박스</v>
          </cell>
          <cell r="C112" t="str">
            <v>300 x 300 x 150</v>
          </cell>
          <cell r="D112">
            <v>1</v>
          </cell>
          <cell r="E112" t="str">
            <v>개</v>
          </cell>
          <cell r="G112">
            <v>6030</v>
          </cell>
        </row>
        <row r="113">
          <cell r="A113" t="str">
            <v>풀박스300 x 300 x 200</v>
          </cell>
          <cell r="B113" t="str">
            <v>풀박스</v>
          </cell>
          <cell r="C113" t="str">
            <v>300 x 300 x 200</v>
          </cell>
          <cell r="D113">
            <v>1</v>
          </cell>
          <cell r="E113" t="str">
            <v>개</v>
          </cell>
          <cell r="G113">
            <v>6800</v>
          </cell>
        </row>
        <row r="114">
          <cell r="A114" t="str">
            <v>풀박스400 x 400 x 300</v>
          </cell>
          <cell r="B114" t="str">
            <v>풀박스</v>
          </cell>
          <cell r="C114" t="str">
            <v>400 x 400 x 300</v>
          </cell>
          <cell r="D114">
            <v>1</v>
          </cell>
          <cell r="E114" t="str">
            <v>개</v>
          </cell>
          <cell r="G114">
            <v>12830</v>
          </cell>
        </row>
        <row r="115">
          <cell r="A115" t="str">
            <v>풀박스600 x 600 x 300</v>
          </cell>
          <cell r="B115" t="str">
            <v>풀박스</v>
          </cell>
          <cell r="C115" t="str">
            <v>600 x 600 x 300</v>
          </cell>
          <cell r="D115">
            <v>1</v>
          </cell>
          <cell r="E115" t="str">
            <v>개</v>
          </cell>
          <cell r="G115">
            <v>25920</v>
          </cell>
        </row>
        <row r="116">
          <cell r="A116" t="str">
            <v>혼합기U/VHF</v>
          </cell>
          <cell r="B116" t="str">
            <v>혼합기</v>
          </cell>
          <cell r="C116" t="str">
            <v>U/VHF</v>
          </cell>
          <cell r="D116">
            <v>1</v>
          </cell>
          <cell r="E116" t="str">
            <v>개</v>
          </cell>
          <cell r="G116">
            <v>6000</v>
          </cell>
        </row>
        <row r="117">
          <cell r="A117" t="str">
            <v>혼합기VHF-H/L</v>
          </cell>
          <cell r="B117" t="str">
            <v>혼합기</v>
          </cell>
          <cell r="C117" t="str">
            <v>VHF-H/L</v>
          </cell>
          <cell r="D117">
            <v>1</v>
          </cell>
          <cell r="E117" t="str">
            <v>개</v>
          </cell>
          <cell r="G117">
            <v>6000</v>
          </cell>
        </row>
        <row r="118">
          <cell r="A118" t="str">
            <v>후렉시블전선관16C</v>
          </cell>
          <cell r="B118" t="str">
            <v>후렉시블전선관</v>
          </cell>
          <cell r="C118" t="str">
            <v>16C</v>
          </cell>
          <cell r="D118">
            <v>1</v>
          </cell>
          <cell r="E118" t="str">
            <v>M</v>
          </cell>
          <cell r="G118">
            <v>1350</v>
          </cell>
        </row>
        <row r="119">
          <cell r="A119" t="str">
            <v>후렉시블전선관16C (비방수)</v>
          </cell>
          <cell r="B119" t="str">
            <v>후렉시블전선관</v>
          </cell>
          <cell r="C119" t="str">
            <v>16C (비방수)</v>
          </cell>
          <cell r="D119">
            <v>1</v>
          </cell>
          <cell r="E119" t="str">
            <v>M</v>
          </cell>
          <cell r="G119">
            <v>630</v>
          </cell>
        </row>
        <row r="120">
          <cell r="A120" t="str">
            <v>후렉시블전선관22C</v>
          </cell>
          <cell r="B120" t="str">
            <v>후렉시블전선관</v>
          </cell>
          <cell r="C120" t="str">
            <v>22C</v>
          </cell>
          <cell r="D120">
            <v>1</v>
          </cell>
          <cell r="E120" t="str">
            <v>M</v>
          </cell>
          <cell r="G120">
            <v>1770</v>
          </cell>
        </row>
        <row r="121">
          <cell r="A121" t="str">
            <v>후렉시블전선관28C</v>
          </cell>
          <cell r="B121" t="str">
            <v>후렉시블전선관</v>
          </cell>
          <cell r="C121" t="str">
            <v>28C</v>
          </cell>
          <cell r="D121">
            <v>1</v>
          </cell>
          <cell r="E121" t="str">
            <v>M</v>
          </cell>
          <cell r="G121">
            <v>2100</v>
          </cell>
        </row>
        <row r="122">
          <cell r="A122" t="str">
            <v>후렉시블전선관36C</v>
          </cell>
          <cell r="B122" t="str">
            <v>후렉시블전선관</v>
          </cell>
          <cell r="C122" t="str">
            <v>36C</v>
          </cell>
          <cell r="D122">
            <v>1</v>
          </cell>
          <cell r="E122" t="str">
            <v>M</v>
          </cell>
          <cell r="G122">
            <v>3170</v>
          </cell>
        </row>
        <row r="123">
          <cell r="A123" t="str">
            <v>후렉시블전선관42C</v>
          </cell>
          <cell r="B123" t="str">
            <v>후렉시블전선관</v>
          </cell>
          <cell r="C123" t="str">
            <v>42C</v>
          </cell>
          <cell r="D123">
            <v>1</v>
          </cell>
          <cell r="E123" t="str">
            <v>M</v>
          </cell>
          <cell r="G123">
            <v>5060</v>
          </cell>
        </row>
        <row r="124">
          <cell r="A124" t="str">
            <v>후렉시블전선관54C</v>
          </cell>
          <cell r="B124" t="str">
            <v>후렉시블전선관</v>
          </cell>
          <cell r="C124" t="str">
            <v>54C</v>
          </cell>
          <cell r="D124">
            <v>1</v>
          </cell>
          <cell r="E124" t="str">
            <v>M</v>
          </cell>
          <cell r="G124">
            <v>5940</v>
          </cell>
        </row>
        <row r="125">
          <cell r="A125" t="str">
            <v>후렉시블전선관70C</v>
          </cell>
          <cell r="B125" t="str">
            <v>후렉시블전선관</v>
          </cell>
          <cell r="C125" t="str">
            <v>70C</v>
          </cell>
          <cell r="D125">
            <v>1</v>
          </cell>
          <cell r="E125" t="str">
            <v>M</v>
          </cell>
          <cell r="G125">
            <v>13320</v>
          </cell>
        </row>
        <row r="126">
          <cell r="A126" t="str">
            <v>후렉시블콘넥터16C</v>
          </cell>
          <cell r="B126" t="str">
            <v>후렉시블콘넥터</v>
          </cell>
          <cell r="C126" t="str">
            <v>16C</v>
          </cell>
          <cell r="D126">
            <v>1</v>
          </cell>
          <cell r="E126" t="str">
            <v>개</v>
          </cell>
          <cell r="G126">
            <v>880</v>
          </cell>
        </row>
        <row r="127">
          <cell r="A127" t="str">
            <v>후렉시블콘넥터16C (비방수)</v>
          </cell>
          <cell r="B127" t="str">
            <v>후렉시블콘넥터</v>
          </cell>
          <cell r="C127" t="str">
            <v>16C (비방수)</v>
          </cell>
          <cell r="D127">
            <v>1</v>
          </cell>
          <cell r="E127" t="str">
            <v>개</v>
          </cell>
          <cell r="G127">
            <v>280</v>
          </cell>
        </row>
        <row r="128">
          <cell r="A128" t="str">
            <v>후렉시블콘넥터22C</v>
          </cell>
          <cell r="B128" t="str">
            <v>후렉시블콘넥터</v>
          </cell>
          <cell r="C128" t="str">
            <v>22C</v>
          </cell>
          <cell r="D128">
            <v>1</v>
          </cell>
          <cell r="E128" t="str">
            <v>개</v>
          </cell>
          <cell r="G128">
            <v>1120</v>
          </cell>
        </row>
        <row r="129">
          <cell r="A129" t="str">
            <v>후렉시블콘넥터28C</v>
          </cell>
          <cell r="B129" t="str">
            <v>후렉시블콘넥터</v>
          </cell>
          <cell r="C129" t="str">
            <v>28C</v>
          </cell>
          <cell r="D129">
            <v>1</v>
          </cell>
          <cell r="E129" t="str">
            <v>개</v>
          </cell>
          <cell r="G129">
            <v>1500</v>
          </cell>
        </row>
        <row r="130">
          <cell r="A130" t="str">
            <v>후렉시블콘넥터36C</v>
          </cell>
          <cell r="B130" t="str">
            <v>후렉시블콘넥터</v>
          </cell>
          <cell r="C130" t="str">
            <v>36C</v>
          </cell>
          <cell r="D130">
            <v>1</v>
          </cell>
          <cell r="E130" t="str">
            <v>개</v>
          </cell>
          <cell r="G130">
            <v>2400</v>
          </cell>
        </row>
        <row r="131">
          <cell r="A131" t="str">
            <v>후렉시블콘넥터42C</v>
          </cell>
          <cell r="B131" t="str">
            <v>후렉시블콘넥터</v>
          </cell>
          <cell r="C131" t="str">
            <v>42C</v>
          </cell>
          <cell r="D131">
            <v>1</v>
          </cell>
          <cell r="E131" t="str">
            <v>개</v>
          </cell>
          <cell r="G131">
            <v>3130</v>
          </cell>
        </row>
        <row r="132">
          <cell r="A132" t="str">
            <v>후렉시블콘넥터54C</v>
          </cell>
          <cell r="B132" t="str">
            <v>후렉시블콘넥터</v>
          </cell>
          <cell r="C132" t="str">
            <v>54C</v>
          </cell>
          <cell r="D132">
            <v>1</v>
          </cell>
          <cell r="E132" t="str">
            <v>개</v>
          </cell>
          <cell r="G132">
            <v>4460</v>
          </cell>
        </row>
        <row r="133">
          <cell r="A133" t="str">
            <v>후렉시블콘넥터70C</v>
          </cell>
          <cell r="B133" t="str">
            <v>후렉시블콘넥터</v>
          </cell>
          <cell r="C133" t="str">
            <v>70C</v>
          </cell>
          <cell r="D133">
            <v>1</v>
          </cell>
          <cell r="E133" t="str">
            <v>개</v>
          </cell>
          <cell r="G133">
            <v>7220</v>
          </cell>
        </row>
        <row r="134">
          <cell r="A134" t="str">
            <v>FB 케이블5C</v>
          </cell>
          <cell r="B134" t="str">
            <v>FB 케이블</v>
          </cell>
          <cell r="C134" t="str">
            <v>5C</v>
          </cell>
          <cell r="D134">
            <v>1</v>
          </cell>
          <cell r="E134" t="str">
            <v>M</v>
          </cell>
          <cell r="G134">
            <v>380</v>
          </cell>
        </row>
        <row r="135">
          <cell r="A135" t="str">
            <v>FB 케이블7C</v>
          </cell>
          <cell r="B135" t="str">
            <v>FB 케이블</v>
          </cell>
          <cell r="C135" t="str">
            <v>7C</v>
          </cell>
          <cell r="D135">
            <v>1</v>
          </cell>
          <cell r="E135" t="str">
            <v>M</v>
          </cell>
          <cell r="G135">
            <v>690</v>
          </cell>
        </row>
        <row r="136">
          <cell r="A136" t="str">
            <v>FR-3전선1.6mm-12C</v>
          </cell>
          <cell r="B136" t="str">
            <v>FR-3전선</v>
          </cell>
          <cell r="C136" t="str">
            <v>1.6mm-12C</v>
          </cell>
          <cell r="D136">
            <v>1</v>
          </cell>
          <cell r="E136" t="str">
            <v>M</v>
          </cell>
          <cell r="G136">
            <v>2340</v>
          </cell>
        </row>
        <row r="137">
          <cell r="A137" t="str">
            <v>FR-3전선1.6mm-2C</v>
          </cell>
          <cell r="B137" t="str">
            <v>FR-3전선</v>
          </cell>
          <cell r="C137" t="str">
            <v>1.6mm-2C</v>
          </cell>
          <cell r="D137">
            <v>1</v>
          </cell>
          <cell r="E137" t="str">
            <v>M</v>
          </cell>
          <cell r="G137">
            <v>708</v>
          </cell>
        </row>
        <row r="138">
          <cell r="A138" t="str">
            <v>FR-3전선1.6mm-30C</v>
          </cell>
          <cell r="B138" t="str">
            <v>FR-3전선</v>
          </cell>
          <cell r="C138" t="str">
            <v>1.6mm-30C</v>
          </cell>
          <cell r="D138">
            <v>1</v>
          </cell>
          <cell r="E138" t="str">
            <v>M</v>
          </cell>
          <cell r="G138">
            <v>4952</v>
          </cell>
        </row>
        <row r="139">
          <cell r="A139" t="str">
            <v>FR-3전선1.6mm-4C</v>
          </cell>
          <cell r="B139" t="str">
            <v>FR-3전선</v>
          </cell>
          <cell r="C139" t="str">
            <v>1.6mm-4C</v>
          </cell>
          <cell r="D139">
            <v>1</v>
          </cell>
          <cell r="E139" t="str">
            <v>M</v>
          </cell>
          <cell r="G139">
            <v>1153</v>
          </cell>
        </row>
        <row r="140">
          <cell r="A140" t="str">
            <v>FR-3전선1.6mm-6C</v>
          </cell>
          <cell r="B140" t="str">
            <v>FR-3전선</v>
          </cell>
          <cell r="C140" t="str">
            <v>1.6mm-6C</v>
          </cell>
          <cell r="D140">
            <v>1</v>
          </cell>
          <cell r="E140" t="str">
            <v>M</v>
          </cell>
          <cell r="G140">
            <v>1428</v>
          </cell>
        </row>
        <row r="141">
          <cell r="A141" t="str">
            <v>FR-3전선1.6mm-8C</v>
          </cell>
          <cell r="B141" t="str">
            <v>FR-3전선</v>
          </cell>
          <cell r="C141" t="str">
            <v>1.6mm-8C</v>
          </cell>
          <cell r="D141">
            <v>1</v>
          </cell>
          <cell r="E141" t="str">
            <v>M</v>
          </cell>
          <cell r="G141">
            <v>1751</v>
          </cell>
        </row>
        <row r="142">
          <cell r="A142" t="str">
            <v>FR-3전선3.5㎟-2C</v>
          </cell>
          <cell r="B142" t="str">
            <v>FR-3전선</v>
          </cell>
          <cell r="C142" t="str">
            <v>3.5㎟-2C</v>
          </cell>
          <cell r="D142">
            <v>1</v>
          </cell>
          <cell r="E142" t="str">
            <v>M</v>
          </cell>
          <cell r="G142">
            <v>993</v>
          </cell>
        </row>
        <row r="143">
          <cell r="A143" t="str">
            <v>Hi-PVC전선관104C</v>
          </cell>
          <cell r="B143" t="str">
            <v>Hi-PVC전선관</v>
          </cell>
          <cell r="C143" t="str">
            <v>104C</v>
          </cell>
          <cell r="D143">
            <v>1</v>
          </cell>
          <cell r="E143" t="str">
            <v>M</v>
          </cell>
          <cell r="G143">
            <v>4301</v>
          </cell>
        </row>
        <row r="144">
          <cell r="A144" t="str">
            <v>Hi-PVC전선관16C</v>
          </cell>
          <cell r="B144" t="str">
            <v>Hi-PVC전선관</v>
          </cell>
          <cell r="C144" t="str">
            <v>16C</v>
          </cell>
          <cell r="D144">
            <v>1</v>
          </cell>
          <cell r="E144" t="str">
            <v>M</v>
          </cell>
          <cell r="G144">
            <v>268</v>
          </cell>
        </row>
        <row r="145">
          <cell r="A145" t="str">
            <v>Hi-PVC전선관22C</v>
          </cell>
          <cell r="B145" t="str">
            <v>Hi-PVC전선관</v>
          </cell>
          <cell r="C145" t="str">
            <v>22C</v>
          </cell>
          <cell r="D145">
            <v>1</v>
          </cell>
          <cell r="E145" t="str">
            <v>M</v>
          </cell>
          <cell r="G145">
            <v>322</v>
          </cell>
        </row>
        <row r="146">
          <cell r="A146" t="str">
            <v>Hi-PVC전선관28C</v>
          </cell>
          <cell r="B146" t="str">
            <v>Hi-PVC전선관</v>
          </cell>
          <cell r="C146" t="str">
            <v>28C</v>
          </cell>
          <cell r="D146">
            <v>1</v>
          </cell>
          <cell r="E146" t="str">
            <v>M</v>
          </cell>
          <cell r="G146">
            <v>624</v>
          </cell>
        </row>
        <row r="147">
          <cell r="A147" t="str">
            <v>Hi-PVC전선관36C</v>
          </cell>
          <cell r="B147" t="str">
            <v>Hi-PVC전선관</v>
          </cell>
          <cell r="C147" t="str">
            <v>36C</v>
          </cell>
          <cell r="D147">
            <v>1</v>
          </cell>
          <cell r="E147" t="str">
            <v>M</v>
          </cell>
          <cell r="G147">
            <v>903</v>
          </cell>
        </row>
        <row r="148">
          <cell r="A148" t="str">
            <v>Hi-PVC전선관42C</v>
          </cell>
          <cell r="B148" t="str">
            <v>Hi-PVC전선관</v>
          </cell>
          <cell r="C148" t="str">
            <v>42C</v>
          </cell>
          <cell r="D148">
            <v>1</v>
          </cell>
          <cell r="E148" t="str">
            <v>M</v>
          </cell>
          <cell r="G148">
            <v>1180</v>
          </cell>
        </row>
        <row r="149">
          <cell r="A149" t="str">
            <v>Hi-PVC전선관54C</v>
          </cell>
          <cell r="B149" t="str">
            <v>Hi-PVC전선관</v>
          </cell>
          <cell r="C149" t="str">
            <v>54C</v>
          </cell>
          <cell r="D149">
            <v>1</v>
          </cell>
          <cell r="E149" t="str">
            <v>M</v>
          </cell>
          <cell r="G149">
            <v>1674</v>
          </cell>
        </row>
        <row r="150">
          <cell r="A150" t="str">
            <v>HIV전선1.2mm</v>
          </cell>
          <cell r="B150" t="str">
            <v>HIV전선</v>
          </cell>
          <cell r="C150" t="str">
            <v>1.2mm</v>
          </cell>
          <cell r="D150">
            <v>1</v>
          </cell>
          <cell r="E150" t="str">
            <v>M</v>
          </cell>
          <cell r="G150">
            <v>48</v>
          </cell>
        </row>
        <row r="151">
          <cell r="A151" t="str">
            <v>HIV전선1.6mm</v>
          </cell>
          <cell r="B151" t="str">
            <v>HIV전선</v>
          </cell>
          <cell r="C151" t="str">
            <v>1.6mm</v>
          </cell>
          <cell r="D151">
            <v>1</v>
          </cell>
          <cell r="E151" t="str">
            <v>M</v>
          </cell>
          <cell r="G151">
            <v>79</v>
          </cell>
        </row>
        <row r="152">
          <cell r="A152" t="str">
            <v>IV전선2.0mm</v>
          </cell>
          <cell r="B152" t="str">
            <v>IV전선</v>
          </cell>
          <cell r="C152" t="str">
            <v>2.0mm</v>
          </cell>
          <cell r="D152">
            <v>1</v>
          </cell>
          <cell r="E152" t="str">
            <v>M</v>
          </cell>
          <cell r="G152">
            <v>111</v>
          </cell>
        </row>
        <row r="153">
          <cell r="A153" t="str">
            <v>JOINT BOX102 x 102 x 54</v>
          </cell>
          <cell r="B153" t="str">
            <v>JOINT BOX</v>
          </cell>
          <cell r="C153" t="str">
            <v>102 x 102 x 54</v>
          </cell>
          <cell r="D153">
            <v>1</v>
          </cell>
          <cell r="E153" t="str">
            <v>개</v>
          </cell>
          <cell r="G153">
            <v>1390</v>
          </cell>
        </row>
        <row r="154">
          <cell r="A154" t="str">
            <v>M.D.F400X800P</v>
          </cell>
          <cell r="B154" t="str">
            <v>M.D.F</v>
          </cell>
          <cell r="C154" t="str">
            <v>400X800P</v>
          </cell>
          <cell r="D154">
            <v>1</v>
          </cell>
          <cell r="E154" t="str">
            <v>면</v>
          </cell>
          <cell r="G154">
            <v>1050000</v>
          </cell>
        </row>
        <row r="155">
          <cell r="A155" t="str">
            <v>OUTLET BOX4각,54mm</v>
          </cell>
          <cell r="B155" t="str">
            <v>OUTLET BOX</v>
          </cell>
          <cell r="C155" t="str">
            <v>4각,54mm</v>
          </cell>
          <cell r="D155">
            <v>1</v>
          </cell>
          <cell r="E155" t="str">
            <v>개</v>
          </cell>
          <cell r="G155">
            <v>560</v>
          </cell>
        </row>
        <row r="156">
          <cell r="A156" t="str">
            <v>OUTLET BOX8각,54mm</v>
          </cell>
          <cell r="B156" t="str">
            <v>OUTLET BOX</v>
          </cell>
          <cell r="C156" t="str">
            <v>8각,54mm</v>
          </cell>
          <cell r="D156">
            <v>1</v>
          </cell>
          <cell r="E156" t="str">
            <v>개</v>
          </cell>
          <cell r="G156">
            <v>480</v>
          </cell>
        </row>
        <row r="157">
          <cell r="A157" t="str">
            <v>OUTLET BOXSW 1G</v>
          </cell>
          <cell r="B157" t="str">
            <v>OUTLET BOX</v>
          </cell>
          <cell r="C157" t="str">
            <v>SW 1G</v>
          </cell>
          <cell r="D157">
            <v>1</v>
          </cell>
          <cell r="E157" t="str">
            <v>개</v>
          </cell>
          <cell r="G157">
            <v>440</v>
          </cell>
        </row>
        <row r="158">
          <cell r="A158" t="str">
            <v>PE전선관36C</v>
          </cell>
          <cell r="B158" t="str">
            <v>PE전선관</v>
          </cell>
          <cell r="C158" t="str">
            <v>36C</v>
          </cell>
          <cell r="D158">
            <v>1</v>
          </cell>
          <cell r="E158" t="str">
            <v>M</v>
          </cell>
          <cell r="G158">
            <v>700</v>
          </cell>
        </row>
        <row r="159">
          <cell r="A159" t="str">
            <v>ST노말밴드16C</v>
          </cell>
          <cell r="B159" t="str">
            <v>ST노말밴드</v>
          </cell>
          <cell r="C159" t="str">
            <v>16C</v>
          </cell>
          <cell r="D159">
            <v>1</v>
          </cell>
          <cell r="E159" t="str">
            <v>개</v>
          </cell>
          <cell r="G159">
            <v>1280</v>
          </cell>
        </row>
        <row r="160">
          <cell r="A160" t="str">
            <v>ST노말밴드22C</v>
          </cell>
          <cell r="B160" t="str">
            <v>ST노말밴드</v>
          </cell>
          <cell r="C160" t="str">
            <v>22C</v>
          </cell>
          <cell r="D160">
            <v>1</v>
          </cell>
          <cell r="E160" t="str">
            <v>개</v>
          </cell>
          <cell r="G160">
            <v>1520</v>
          </cell>
        </row>
        <row r="161">
          <cell r="A161" t="str">
            <v>ST노말밴드28C</v>
          </cell>
          <cell r="B161" t="str">
            <v>ST노말밴드</v>
          </cell>
          <cell r="C161" t="str">
            <v>28C</v>
          </cell>
          <cell r="D161">
            <v>1</v>
          </cell>
          <cell r="E161" t="str">
            <v>개</v>
          </cell>
          <cell r="G161">
            <v>1780</v>
          </cell>
        </row>
        <row r="162">
          <cell r="A162" t="str">
            <v>ST노말밴드36C</v>
          </cell>
          <cell r="B162" t="str">
            <v>ST노말밴드</v>
          </cell>
          <cell r="C162" t="str">
            <v>36C</v>
          </cell>
          <cell r="D162">
            <v>1</v>
          </cell>
          <cell r="E162" t="str">
            <v>개</v>
          </cell>
          <cell r="G162">
            <v>2375</v>
          </cell>
        </row>
        <row r="163">
          <cell r="A163" t="str">
            <v>ST노말밴드42C</v>
          </cell>
          <cell r="B163" t="str">
            <v>ST노말밴드</v>
          </cell>
          <cell r="C163" t="str">
            <v>42C</v>
          </cell>
          <cell r="D163">
            <v>1</v>
          </cell>
          <cell r="E163" t="str">
            <v>개</v>
          </cell>
          <cell r="G163">
            <v>3085</v>
          </cell>
        </row>
        <row r="164">
          <cell r="A164" t="str">
            <v>ST노말밴드54C</v>
          </cell>
          <cell r="B164" t="str">
            <v>ST노말밴드</v>
          </cell>
          <cell r="C164" t="str">
            <v>54C</v>
          </cell>
          <cell r="D164">
            <v>1</v>
          </cell>
          <cell r="E164" t="str">
            <v>개</v>
          </cell>
          <cell r="G164">
            <v>4390</v>
          </cell>
        </row>
        <row r="165">
          <cell r="A165" t="str">
            <v>ST노말밴드70C</v>
          </cell>
          <cell r="B165" t="str">
            <v>ST노말밴드</v>
          </cell>
          <cell r="C165" t="str">
            <v>70C</v>
          </cell>
          <cell r="D165">
            <v>1</v>
          </cell>
          <cell r="E165" t="str">
            <v>개</v>
          </cell>
          <cell r="G165">
            <v>7125</v>
          </cell>
        </row>
        <row r="166">
          <cell r="A166" t="str">
            <v>TIV전선0.8mm-2C</v>
          </cell>
          <cell r="B166" t="str">
            <v>TIV전선</v>
          </cell>
          <cell r="C166" t="str">
            <v>0.8mm-2C</v>
          </cell>
          <cell r="D166">
            <v>1</v>
          </cell>
          <cell r="E166" t="str">
            <v>M</v>
          </cell>
          <cell r="G166">
            <v>63</v>
          </cell>
        </row>
        <row r="167">
          <cell r="A167" t="str">
            <v>TV BOX400 x 400 x 150</v>
          </cell>
          <cell r="B167" t="str">
            <v>TV BOX</v>
          </cell>
          <cell r="C167" t="str">
            <v>400 x 400 x 150</v>
          </cell>
          <cell r="D167">
            <v>1</v>
          </cell>
          <cell r="E167" t="str">
            <v>면</v>
          </cell>
          <cell r="G167">
            <v>69000</v>
          </cell>
        </row>
        <row r="168">
          <cell r="A168" t="str">
            <v>TV UNIT쌍방향</v>
          </cell>
          <cell r="B168" t="str">
            <v>TV UNIT</v>
          </cell>
          <cell r="C168" t="str">
            <v>쌍방향</v>
          </cell>
          <cell r="D168">
            <v>1</v>
          </cell>
          <cell r="E168" t="str">
            <v>개</v>
          </cell>
          <cell r="G168">
            <v>2312</v>
          </cell>
        </row>
        <row r="169">
          <cell r="A169" t="str">
            <v>UPS1KVA</v>
          </cell>
          <cell r="B169" t="str">
            <v>UPS</v>
          </cell>
          <cell r="C169" t="str">
            <v>1KVA</v>
          </cell>
          <cell r="D169">
            <v>1</v>
          </cell>
          <cell r="E169" t="str">
            <v>SET</v>
          </cell>
          <cell r="G169">
            <v>1250000</v>
          </cell>
        </row>
        <row r="170">
          <cell r="A170" t="str">
            <v>UPS15KVA</v>
          </cell>
          <cell r="B170" t="str">
            <v>UPS</v>
          </cell>
          <cell r="C170" t="str">
            <v>15KVA</v>
          </cell>
          <cell r="D170">
            <v>1</v>
          </cell>
          <cell r="E170" t="str">
            <v>SET</v>
          </cell>
          <cell r="G170">
            <v>17500000</v>
          </cell>
        </row>
        <row r="171">
          <cell r="A171" t="str">
            <v>UPS3KVA</v>
          </cell>
          <cell r="B171" t="str">
            <v>UPS</v>
          </cell>
          <cell r="C171" t="str">
            <v>3KVA</v>
          </cell>
          <cell r="D171">
            <v>1</v>
          </cell>
          <cell r="E171" t="str">
            <v>SET</v>
          </cell>
          <cell r="G171">
            <v>3855000</v>
          </cell>
        </row>
        <row r="172">
          <cell r="A172" t="str">
            <v>UPS5KVA</v>
          </cell>
          <cell r="B172" t="str">
            <v>UPS</v>
          </cell>
          <cell r="C172" t="str">
            <v>5KVA</v>
          </cell>
          <cell r="D172">
            <v>1</v>
          </cell>
          <cell r="E172" t="str">
            <v>SET</v>
          </cell>
          <cell r="G172">
            <v>6525000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 t="str">
            <v>Ⅰ.계측제어설비 기자재</v>
          </cell>
          <cell r="B179" t="str">
            <v>Ⅰ.계측제어설비 기자재</v>
          </cell>
        </row>
        <row r="180">
          <cell r="A180" t="str">
            <v xml:space="preserve"> 1. 감시제어 시스템</v>
          </cell>
          <cell r="B180" t="str">
            <v xml:space="preserve"> 1. 감시제어 시스템</v>
          </cell>
        </row>
        <row r="181">
          <cell r="A181" t="str">
            <v xml:space="preserve">  1) 밀양정수장</v>
          </cell>
          <cell r="B181" t="str">
            <v xml:space="preserve">  1) 밀양정수장</v>
          </cell>
        </row>
        <row r="182">
          <cell r="A182" t="str">
            <v>밀양 COS(Central Operating Station)</v>
          </cell>
          <cell r="B182" t="str">
            <v>밀양 COS(Central Operating Station)</v>
          </cell>
          <cell r="D182">
            <v>1</v>
          </cell>
          <cell r="E182" t="str">
            <v>LOT</v>
          </cell>
          <cell r="G182">
            <v>89000000</v>
          </cell>
        </row>
        <row r="183">
          <cell r="A183" t="str">
            <v>밀양 LOS(Local Operating Station)</v>
          </cell>
          <cell r="B183" t="str">
            <v>밀양 LOS(Local Operating Station)</v>
          </cell>
          <cell r="D183">
            <v>1</v>
          </cell>
          <cell r="E183" t="str">
            <v>LOT</v>
          </cell>
          <cell r="G183">
            <v>89000000</v>
          </cell>
        </row>
        <row r="184">
          <cell r="A184" t="str">
            <v>평촌 LOS(Local Operating Station)</v>
          </cell>
          <cell r="B184" t="str">
            <v>평촌 LOS(Local Operating Station)</v>
          </cell>
          <cell r="D184">
            <v>1</v>
          </cell>
          <cell r="E184" t="str">
            <v>LOT</v>
          </cell>
          <cell r="G184">
            <v>89000000</v>
          </cell>
        </row>
        <row r="185">
          <cell r="A185" t="str">
            <v>부곡 LOS(Local Operating Station)</v>
          </cell>
          <cell r="B185" t="str">
            <v>부곡 LOS(Local Operating Station)</v>
          </cell>
          <cell r="D185">
            <v>1</v>
          </cell>
          <cell r="E185" t="str">
            <v>LOT</v>
          </cell>
          <cell r="G185">
            <v>89000000</v>
          </cell>
        </row>
        <row r="186">
          <cell r="A186" t="str">
            <v>원앙 LOS(Local Operating Station)</v>
          </cell>
          <cell r="B186" t="str">
            <v>원앙 LOS(Local Operating Station)</v>
          </cell>
          <cell r="D186">
            <v>1</v>
          </cell>
          <cell r="E186" t="str">
            <v>LOT</v>
          </cell>
          <cell r="G186">
            <v>89000000</v>
          </cell>
        </row>
        <row r="187">
          <cell r="A187" t="str">
            <v>밀양 DATA SERVER</v>
          </cell>
          <cell r="B187" t="str">
            <v>밀양 DATA SERVER</v>
          </cell>
          <cell r="D187">
            <v>1</v>
          </cell>
          <cell r="E187" t="str">
            <v>LOT</v>
          </cell>
          <cell r="G187">
            <v>185000000</v>
          </cell>
        </row>
        <row r="188">
          <cell r="A188" t="str">
            <v>밀양 RCS(Remote Control Station) #1</v>
          </cell>
          <cell r="B188" t="str">
            <v>밀양 RCS(Remote Control Station) #1</v>
          </cell>
          <cell r="D188">
            <v>1</v>
          </cell>
          <cell r="E188" t="str">
            <v>LOT</v>
          </cell>
          <cell r="G188">
            <v>115000000</v>
          </cell>
        </row>
        <row r="189">
          <cell r="A189" t="str">
            <v>밀양 RCS(Remote Control Station) #2</v>
          </cell>
          <cell r="B189" t="str">
            <v>밀양 RCS(Remote Control Station) #2</v>
          </cell>
          <cell r="D189">
            <v>1</v>
          </cell>
          <cell r="E189" t="str">
            <v>LOT</v>
          </cell>
          <cell r="G189">
            <v>107500000</v>
          </cell>
        </row>
        <row r="190">
          <cell r="A190" t="str">
            <v>밀양 RCS(Remote Control Station) #3</v>
          </cell>
          <cell r="B190" t="str">
            <v>밀양 RCS(Remote Control Station) #3</v>
          </cell>
          <cell r="D190">
            <v>1</v>
          </cell>
          <cell r="E190" t="str">
            <v>LOT</v>
          </cell>
          <cell r="G190">
            <v>95000000</v>
          </cell>
        </row>
        <row r="191">
          <cell r="A191" t="str">
            <v>밀양 RCS(Remote Control Station) #4</v>
          </cell>
          <cell r="B191" t="str">
            <v>밀양 RCS(Remote Control Station) #4</v>
          </cell>
          <cell r="D191">
            <v>1</v>
          </cell>
          <cell r="E191" t="str">
            <v>LOT</v>
          </cell>
          <cell r="G191">
            <v>108200000</v>
          </cell>
        </row>
        <row r="192">
          <cell r="A192" t="str">
            <v>밀양 TM/TC MASTER</v>
          </cell>
          <cell r="B192" t="str">
            <v>밀양 TM/TC MASTER</v>
          </cell>
          <cell r="D192">
            <v>1</v>
          </cell>
          <cell r="E192" t="str">
            <v>LOT</v>
          </cell>
          <cell r="G192">
            <v>38000000</v>
          </cell>
        </row>
        <row r="193">
          <cell r="A193" t="str">
            <v>평촌 TM/TC MASTER</v>
          </cell>
          <cell r="B193" t="str">
            <v>평촌 TM/TC MASTER</v>
          </cell>
          <cell r="D193">
            <v>1</v>
          </cell>
          <cell r="E193" t="str">
            <v>LOT</v>
          </cell>
          <cell r="G193">
            <v>23000000</v>
          </cell>
        </row>
        <row r="194">
          <cell r="A194" t="str">
            <v>부곡 TM/TC MASTER</v>
          </cell>
          <cell r="B194" t="str">
            <v>부곡 TM/TC MASTER</v>
          </cell>
          <cell r="D194">
            <v>1</v>
          </cell>
          <cell r="E194" t="str">
            <v>LOT</v>
          </cell>
          <cell r="G194">
            <v>23000000</v>
          </cell>
        </row>
        <row r="195">
          <cell r="A195" t="str">
            <v>원앙 TM/TC MASTER</v>
          </cell>
          <cell r="B195" t="str">
            <v>원앙 TM/TC MASTER</v>
          </cell>
          <cell r="D195">
            <v>1</v>
          </cell>
          <cell r="E195" t="str">
            <v>LOT</v>
          </cell>
          <cell r="G195">
            <v>23000000</v>
          </cell>
        </row>
        <row r="196">
          <cell r="A196" t="str">
            <v>밀양 DATA WAY 접속장치</v>
          </cell>
          <cell r="B196" t="str">
            <v>밀양 DATA WAY 접속장치</v>
          </cell>
          <cell r="D196">
            <v>1</v>
          </cell>
          <cell r="E196" t="str">
            <v>LOT</v>
          </cell>
          <cell r="G196">
            <v>24000000</v>
          </cell>
        </row>
        <row r="197">
          <cell r="A197" t="str">
            <v>소  계 1</v>
          </cell>
          <cell r="B197" t="str">
            <v>소  계 1</v>
          </cell>
          <cell r="G197">
            <v>1186700000</v>
          </cell>
        </row>
        <row r="198">
          <cell r="A198">
            <v>0</v>
          </cell>
        </row>
        <row r="199">
          <cell r="A199" t="str">
            <v xml:space="preserve">  2) 양산정수장</v>
          </cell>
          <cell r="B199" t="str">
            <v xml:space="preserve">  2) 양산정수장</v>
          </cell>
        </row>
        <row r="200">
          <cell r="A200" t="str">
            <v>양산 COS(Central Operating Station)</v>
          </cell>
          <cell r="B200" t="str">
            <v>양산 COS(Central Operating Station)</v>
          </cell>
          <cell r="D200">
            <v>1</v>
          </cell>
          <cell r="E200" t="str">
            <v>LOT</v>
          </cell>
          <cell r="G200">
            <v>89000000</v>
          </cell>
        </row>
        <row r="201">
          <cell r="A201" t="str">
            <v>양산 LOS(Local Operating Station)</v>
          </cell>
          <cell r="B201" t="str">
            <v>양산 LOS(Local Operating Station)</v>
          </cell>
          <cell r="D201">
            <v>1</v>
          </cell>
          <cell r="E201" t="str">
            <v>LOT</v>
          </cell>
          <cell r="G201">
            <v>89000000</v>
          </cell>
        </row>
        <row r="202">
          <cell r="A202" t="str">
            <v>양산 DATA SERVER</v>
          </cell>
          <cell r="B202" t="str">
            <v>양산 DATA SERVER</v>
          </cell>
          <cell r="D202">
            <v>1</v>
          </cell>
          <cell r="E202" t="str">
            <v>LOT</v>
          </cell>
          <cell r="G202">
            <v>185000000</v>
          </cell>
        </row>
        <row r="203">
          <cell r="A203" t="str">
            <v>양산 RCS(Remote Control Station) #1</v>
          </cell>
          <cell r="B203" t="str">
            <v>양산 RCS(Remote Control Station) #1</v>
          </cell>
          <cell r="D203">
            <v>1</v>
          </cell>
          <cell r="E203" t="str">
            <v>LOT</v>
          </cell>
          <cell r="G203">
            <v>115000000</v>
          </cell>
        </row>
        <row r="204">
          <cell r="A204" t="str">
            <v>양산 RCS(Remote Control Station) #2</v>
          </cell>
          <cell r="B204" t="str">
            <v>양산 RCS(Remote Control Station) #2</v>
          </cell>
          <cell r="D204">
            <v>1</v>
          </cell>
          <cell r="E204" t="str">
            <v>LOT</v>
          </cell>
          <cell r="G204">
            <v>107500000</v>
          </cell>
        </row>
        <row r="205">
          <cell r="A205" t="str">
            <v>양산 RCS(Remote Control Station) #3</v>
          </cell>
          <cell r="B205" t="str">
            <v>양산 RCS(Remote Control Station) #3</v>
          </cell>
          <cell r="D205">
            <v>1</v>
          </cell>
          <cell r="E205" t="str">
            <v>LOT</v>
          </cell>
          <cell r="G205">
            <v>95000000</v>
          </cell>
        </row>
        <row r="206">
          <cell r="A206" t="str">
            <v>양산 RCS(Remote Control Station) #4</v>
          </cell>
          <cell r="B206" t="str">
            <v>양산 RCS(Remote Control Station) #4</v>
          </cell>
          <cell r="D206">
            <v>1</v>
          </cell>
          <cell r="E206" t="str">
            <v>LOT</v>
          </cell>
          <cell r="G206">
            <v>108200000</v>
          </cell>
        </row>
        <row r="207">
          <cell r="A207" t="str">
            <v>양산 TM/TC MASTER</v>
          </cell>
          <cell r="B207" t="str">
            <v>양산 TM/TC MASTER</v>
          </cell>
          <cell r="D207">
            <v>1</v>
          </cell>
          <cell r="E207" t="str">
            <v>LOT</v>
          </cell>
          <cell r="G207">
            <v>38000000</v>
          </cell>
        </row>
        <row r="208">
          <cell r="A208" t="str">
            <v>양산 DATA WAY 접속장치</v>
          </cell>
          <cell r="B208" t="str">
            <v>양산 DATA WAY 접속장치</v>
          </cell>
          <cell r="D208">
            <v>1</v>
          </cell>
          <cell r="E208" t="str">
            <v>LOT</v>
          </cell>
          <cell r="G208">
            <v>24000000</v>
          </cell>
        </row>
        <row r="209">
          <cell r="A209" t="str">
            <v>소  계 2</v>
          </cell>
          <cell r="B209" t="str">
            <v>소  계 2</v>
          </cell>
          <cell r="G209">
            <v>850700000</v>
          </cell>
        </row>
        <row r="210">
          <cell r="B210" t="str">
            <v>계</v>
          </cell>
          <cell r="C210" t="str">
            <v>소계1+소계2</v>
          </cell>
          <cell r="G210">
            <v>2037400000</v>
          </cell>
        </row>
        <row r="211">
          <cell r="A211">
            <v>0</v>
          </cell>
        </row>
        <row r="212">
          <cell r="A212" t="str">
            <v xml:space="preserve"> 2. 네트워크 및 통신설비</v>
          </cell>
          <cell r="B212" t="str">
            <v xml:space="preserve"> 2. 네트워크 및 통신설비</v>
          </cell>
        </row>
        <row r="213">
          <cell r="A213" t="str">
            <v>정수장 위성통신설비</v>
          </cell>
          <cell r="B213" t="str">
            <v>정수장 위성통신설비</v>
          </cell>
          <cell r="D213">
            <v>1</v>
          </cell>
          <cell r="E213" t="str">
            <v>LOT</v>
          </cell>
          <cell r="G213">
            <v>60000000</v>
          </cell>
        </row>
        <row r="214">
          <cell r="A214" t="str">
            <v>가압장 위성통신설비</v>
          </cell>
          <cell r="B214" t="str">
            <v>가압장 위성통신설비</v>
          </cell>
          <cell r="D214">
            <v>1</v>
          </cell>
          <cell r="E214" t="str">
            <v>LOT</v>
          </cell>
          <cell r="G214">
            <v>60000000</v>
          </cell>
        </row>
        <row r="215">
          <cell r="A215" t="str">
            <v>정수장 GATE WAY</v>
          </cell>
          <cell r="B215" t="str">
            <v>정수장 GATE WAY</v>
          </cell>
          <cell r="D215">
            <v>1</v>
          </cell>
          <cell r="E215" t="str">
            <v>SET</v>
          </cell>
          <cell r="G215">
            <v>25000000</v>
          </cell>
        </row>
        <row r="216">
          <cell r="A216" t="str">
            <v>가압장 GATE WAY</v>
          </cell>
          <cell r="B216" t="str">
            <v>가압장 GATE WAY</v>
          </cell>
          <cell r="D216">
            <v>1</v>
          </cell>
          <cell r="E216" t="str">
            <v>LOT</v>
          </cell>
          <cell r="G216">
            <v>24286000</v>
          </cell>
        </row>
        <row r="217">
          <cell r="A217" t="str">
            <v>정수장 ROUTER(MUX)</v>
          </cell>
          <cell r="B217" t="str">
            <v>정수장 ROUTER(MUX)</v>
          </cell>
          <cell r="D217">
            <v>1</v>
          </cell>
          <cell r="E217" t="str">
            <v>SET</v>
          </cell>
          <cell r="G217">
            <v>25000000</v>
          </cell>
        </row>
        <row r="218">
          <cell r="A218" t="str">
            <v>가압장 ROUTER(MUX)</v>
          </cell>
          <cell r="B218" t="str">
            <v>가압장 ROUTER(MUX)</v>
          </cell>
          <cell r="D218">
            <v>1</v>
          </cell>
          <cell r="E218" t="str">
            <v>LOT</v>
          </cell>
          <cell r="G218">
            <v>24286000</v>
          </cell>
        </row>
        <row r="219">
          <cell r="A219" t="str">
            <v>HUB</v>
          </cell>
          <cell r="B219" t="str">
            <v>HUB</v>
          </cell>
          <cell r="D219">
            <v>1</v>
          </cell>
          <cell r="E219" t="str">
            <v>SET</v>
          </cell>
          <cell r="G219">
            <v>3950000</v>
          </cell>
        </row>
        <row r="220">
          <cell r="A220" t="str">
            <v>CSU</v>
          </cell>
          <cell r="B220" t="str">
            <v>CSU</v>
          </cell>
          <cell r="D220">
            <v>1</v>
          </cell>
          <cell r="E220" t="str">
            <v>SET</v>
          </cell>
          <cell r="G220">
            <v>1892000</v>
          </cell>
        </row>
        <row r="221">
          <cell r="A221">
            <v>0</v>
          </cell>
        </row>
        <row r="222">
          <cell r="A222" t="str">
            <v xml:space="preserve"> 3. PRINTER류</v>
          </cell>
          <cell r="B222" t="str">
            <v xml:space="preserve"> 3. PRINTER류</v>
          </cell>
        </row>
        <row r="223">
          <cell r="A223" t="str">
            <v>ALARM PRINTER</v>
          </cell>
          <cell r="B223" t="str">
            <v>ALARM PRINTER</v>
          </cell>
          <cell r="D223">
            <v>1</v>
          </cell>
          <cell r="E223" t="str">
            <v>SET</v>
          </cell>
          <cell r="G223">
            <v>900000</v>
          </cell>
        </row>
        <row r="224">
          <cell r="A224" t="str">
            <v>LOGGING PRINTER</v>
          </cell>
          <cell r="B224" t="str">
            <v>LOGGING PRINTER</v>
          </cell>
          <cell r="D224">
            <v>1</v>
          </cell>
          <cell r="E224" t="str">
            <v>SET</v>
          </cell>
          <cell r="G224">
            <v>2500000</v>
          </cell>
        </row>
        <row r="225">
          <cell r="A225" t="str">
            <v>COLOR HARD COPIER</v>
          </cell>
          <cell r="B225" t="str">
            <v>COLOR HARD COPIER</v>
          </cell>
          <cell r="D225">
            <v>1</v>
          </cell>
          <cell r="E225" t="str">
            <v>SET</v>
          </cell>
          <cell r="G225">
            <v>6970000</v>
          </cell>
        </row>
        <row r="227">
          <cell r="A227" t="str">
            <v xml:space="preserve"> 4. 감시제어 판넬</v>
          </cell>
          <cell r="B227" t="str">
            <v xml:space="preserve"> 4. 감시제어 판넬</v>
          </cell>
        </row>
        <row r="228">
          <cell r="A228" t="str">
            <v>밀양 GDP</v>
          </cell>
          <cell r="B228" t="str">
            <v>밀양 GDP</v>
          </cell>
          <cell r="D228">
            <v>1</v>
          </cell>
          <cell r="E228" t="str">
            <v>LOT</v>
          </cell>
          <cell r="G228">
            <v>92081000</v>
          </cell>
        </row>
        <row r="229">
          <cell r="A229" t="str">
            <v>양산 GDP</v>
          </cell>
          <cell r="B229" t="str">
            <v>양산 GDP</v>
          </cell>
          <cell r="D229">
            <v>1</v>
          </cell>
          <cell r="E229" t="str">
            <v>LOT</v>
          </cell>
          <cell r="G229">
            <v>92081000</v>
          </cell>
        </row>
        <row r="230">
          <cell r="A230" t="str">
            <v>여과지제어반(FCC)</v>
          </cell>
          <cell r="B230" t="str">
            <v>여과지제어반(FCC)</v>
          </cell>
          <cell r="D230">
            <v>1</v>
          </cell>
          <cell r="E230" t="str">
            <v>LOT</v>
          </cell>
          <cell r="G230">
            <v>5000000</v>
          </cell>
        </row>
        <row r="231">
          <cell r="A231" t="str">
            <v>현장변환기반</v>
          </cell>
          <cell r="B231" t="str">
            <v>현장변환기반</v>
          </cell>
          <cell r="D231">
            <v>1</v>
          </cell>
          <cell r="E231" t="str">
            <v>LOT</v>
          </cell>
          <cell r="G231">
            <v>500000</v>
          </cell>
        </row>
        <row r="232">
          <cell r="A232" t="str">
            <v>밧데리 외함360X570X720</v>
          </cell>
          <cell r="B232" t="str">
            <v>밧데리 외함</v>
          </cell>
          <cell r="C232" t="str">
            <v>360X570X720</v>
          </cell>
          <cell r="D232">
            <v>1</v>
          </cell>
          <cell r="E232" t="str">
            <v>면</v>
          </cell>
          <cell r="G232">
            <v>500000</v>
          </cell>
        </row>
        <row r="233">
          <cell r="A233" t="str">
            <v>밧데리 외함500X750X1300</v>
          </cell>
          <cell r="B233" t="str">
            <v>밧데리 외함</v>
          </cell>
          <cell r="C233" t="str">
            <v>500X750X1300</v>
          </cell>
          <cell r="D233">
            <v>1</v>
          </cell>
          <cell r="E233" t="str">
            <v>면</v>
          </cell>
          <cell r="G233">
            <v>500000</v>
          </cell>
        </row>
        <row r="234">
          <cell r="A234" t="str">
            <v>밧데리 외함800X750X1600</v>
          </cell>
          <cell r="B234" t="str">
            <v>밧데리 외함</v>
          </cell>
          <cell r="C234" t="str">
            <v>800X750X1600</v>
          </cell>
          <cell r="D234">
            <v>1</v>
          </cell>
          <cell r="E234" t="str">
            <v>면</v>
          </cell>
          <cell r="G234">
            <v>500000</v>
          </cell>
        </row>
        <row r="235">
          <cell r="A235" t="str">
            <v xml:space="preserve"> 5. 취수탑 및 분기점 TM/TC 설비</v>
          </cell>
          <cell r="B235" t="str">
            <v xml:space="preserve"> 5. 취수탑 및 분기점 TM/TC 설비</v>
          </cell>
          <cell r="D235">
            <v>1</v>
          </cell>
          <cell r="E235" t="str">
            <v>LOT</v>
          </cell>
          <cell r="G235">
            <v>12466000</v>
          </cell>
        </row>
        <row r="236">
          <cell r="A236" t="str">
            <v>밀양댐 TM/TC SLAVE</v>
          </cell>
          <cell r="B236" t="str">
            <v>밀양댐 TM/TC SLAVE</v>
          </cell>
          <cell r="D236">
            <v>1</v>
          </cell>
          <cell r="E236" t="str">
            <v>LOT</v>
          </cell>
          <cell r="G236">
            <v>12466000</v>
          </cell>
        </row>
        <row r="237">
          <cell r="A237" t="str">
            <v>교동 TM/TC SLAVE</v>
          </cell>
          <cell r="B237" t="str">
            <v>교동 TM/TC SLAVE</v>
          </cell>
          <cell r="D237">
            <v>1</v>
          </cell>
          <cell r="E237" t="str">
            <v>LOT</v>
          </cell>
          <cell r="G237">
            <v>12466000</v>
          </cell>
        </row>
        <row r="238">
          <cell r="A238" t="str">
            <v>무안 TM/TC SLAVE</v>
          </cell>
          <cell r="B238" t="str">
            <v>무안 TM/TC SLAVE</v>
          </cell>
          <cell r="D238">
            <v>1</v>
          </cell>
          <cell r="E238" t="str">
            <v>LOT</v>
          </cell>
          <cell r="G238">
            <v>12466000</v>
          </cell>
        </row>
        <row r="239">
          <cell r="A239" t="str">
            <v>하남 TM/TC SLAVE</v>
          </cell>
          <cell r="B239" t="str">
            <v>하남 TM/TC SLAVE</v>
          </cell>
          <cell r="D239">
            <v>1</v>
          </cell>
          <cell r="E239" t="str">
            <v>LOT</v>
          </cell>
          <cell r="G239">
            <v>12466000</v>
          </cell>
        </row>
        <row r="240">
          <cell r="A240" t="str">
            <v>부곡 TM/TC SLAVE</v>
          </cell>
          <cell r="B240" t="str">
            <v>부곡 TM/TC SLAVE</v>
          </cell>
          <cell r="D240">
            <v>1</v>
          </cell>
          <cell r="E240" t="str">
            <v>LOT</v>
          </cell>
          <cell r="G240">
            <v>12466000</v>
          </cell>
        </row>
        <row r="241">
          <cell r="A241" t="str">
            <v>영산 TM/TC SLAVE</v>
          </cell>
          <cell r="B241" t="str">
            <v>영산 TM/TC SLAVE</v>
          </cell>
          <cell r="D241">
            <v>1</v>
          </cell>
          <cell r="E241" t="str">
            <v>LOT</v>
          </cell>
          <cell r="G241">
            <v>12466000</v>
          </cell>
        </row>
        <row r="242">
          <cell r="A242" t="str">
            <v>창녕 TM/TC SLAVE</v>
          </cell>
          <cell r="B242" t="str">
            <v>창녕 TM/TC SLAVE</v>
          </cell>
          <cell r="D242">
            <v>1</v>
          </cell>
          <cell r="E242" t="str">
            <v>LOT</v>
          </cell>
          <cell r="G242">
            <v>12466000</v>
          </cell>
        </row>
        <row r="243">
          <cell r="A243" t="str">
            <v>양산취수탑 TM/TC SLAVE</v>
          </cell>
          <cell r="B243" t="str">
            <v>양산취수탑 TM/TC SLAVE</v>
          </cell>
          <cell r="D243">
            <v>1</v>
          </cell>
          <cell r="E243" t="str">
            <v>LOT</v>
          </cell>
          <cell r="G243">
            <v>12466000</v>
          </cell>
        </row>
        <row r="245">
          <cell r="A245" t="str">
            <v xml:space="preserve"> 6. 현장 계측기류</v>
          </cell>
          <cell r="B245" t="str">
            <v xml:space="preserve"> 6. 현장 계측기류</v>
          </cell>
        </row>
        <row r="246">
          <cell r="A246" t="str">
            <v>전자유량계(400A)</v>
          </cell>
          <cell r="B246" t="str">
            <v>전자유량계(400A)</v>
          </cell>
          <cell r="D246">
            <v>1</v>
          </cell>
          <cell r="E246" t="str">
            <v>SET</v>
          </cell>
          <cell r="G246">
            <v>15900000</v>
          </cell>
        </row>
        <row r="247">
          <cell r="A247" t="str">
            <v>전자유량계(300A)</v>
          </cell>
          <cell r="B247" t="str">
            <v>전자유량계(300A)</v>
          </cell>
          <cell r="D247">
            <v>1</v>
          </cell>
          <cell r="E247" t="str">
            <v>SET</v>
          </cell>
          <cell r="G247">
            <v>10000000</v>
          </cell>
        </row>
        <row r="248">
          <cell r="A248" t="str">
            <v>전자유량계(250A)</v>
          </cell>
          <cell r="B248" t="str">
            <v>전자유량계(250A)</v>
          </cell>
          <cell r="D248">
            <v>1</v>
          </cell>
          <cell r="E248" t="str">
            <v>SET</v>
          </cell>
          <cell r="G248">
            <v>7000000</v>
          </cell>
        </row>
        <row r="249">
          <cell r="A249" t="str">
            <v>전자유량계(150A)</v>
          </cell>
          <cell r="B249" t="str">
            <v>전자유량계(150A)</v>
          </cell>
          <cell r="D249">
            <v>1</v>
          </cell>
          <cell r="E249" t="str">
            <v>SET</v>
          </cell>
          <cell r="G249">
            <v>6170000</v>
          </cell>
        </row>
        <row r="250">
          <cell r="A250" t="str">
            <v>전자유량계(80A)</v>
          </cell>
          <cell r="B250" t="str">
            <v>전자유량계(80A)</v>
          </cell>
          <cell r="D250">
            <v>1</v>
          </cell>
          <cell r="E250" t="str">
            <v>SET</v>
          </cell>
          <cell r="G250">
            <v>5900000</v>
          </cell>
        </row>
        <row r="251">
          <cell r="A251" t="str">
            <v>전자유량계(25A)</v>
          </cell>
          <cell r="B251" t="str">
            <v>전자유량계(25A)</v>
          </cell>
          <cell r="D251">
            <v>1</v>
          </cell>
          <cell r="E251" t="str">
            <v>SET</v>
          </cell>
          <cell r="G251">
            <v>3600000</v>
          </cell>
        </row>
        <row r="252">
          <cell r="A252" t="str">
            <v>초음파유량계(1000A)</v>
          </cell>
          <cell r="B252" t="str">
            <v>초음파유량계(1000A)</v>
          </cell>
          <cell r="D252">
            <v>1</v>
          </cell>
          <cell r="E252" t="str">
            <v>SET</v>
          </cell>
          <cell r="G252">
            <v>18000000</v>
          </cell>
        </row>
        <row r="253">
          <cell r="A253" t="str">
            <v>초음파유량계(1200A)</v>
          </cell>
          <cell r="B253" t="str">
            <v>초음파유량계(1200A)</v>
          </cell>
          <cell r="D253">
            <v>1</v>
          </cell>
          <cell r="E253" t="str">
            <v>SET</v>
          </cell>
          <cell r="G253">
            <v>18000000</v>
          </cell>
        </row>
        <row r="254">
          <cell r="A254" t="str">
            <v>초음파유량계(800A)</v>
          </cell>
          <cell r="B254" t="str">
            <v>초음파유량계(800A)</v>
          </cell>
          <cell r="D254">
            <v>1</v>
          </cell>
          <cell r="E254" t="str">
            <v>SET</v>
          </cell>
          <cell r="G254">
            <v>18000000</v>
          </cell>
        </row>
        <row r="255">
          <cell r="A255" t="str">
            <v>초음파유량계(700A)</v>
          </cell>
          <cell r="B255" t="str">
            <v>초음파유량계(700A)</v>
          </cell>
          <cell r="D255">
            <v>1</v>
          </cell>
          <cell r="E255" t="str">
            <v>SET</v>
          </cell>
          <cell r="G255">
            <v>21000000</v>
          </cell>
        </row>
        <row r="256">
          <cell r="A256" t="str">
            <v>초음파유량계(600A)</v>
          </cell>
          <cell r="B256" t="str">
            <v>초음파유량계(600A)</v>
          </cell>
          <cell r="D256">
            <v>1</v>
          </cell>
          <cell r="E256" t="str">
            <v>SET</v>
          </cell>
          <cell r="G256">
            <v>18000000</v>
          </cell>
        </row>
        <row r="257">
          <cell r="A257" t="str">
            <v>초음파유량계(500A)</v>
          </cell>
          <cell r="B257" t="str">
            <v>초음파유량계(500A)</v>
          </cell>
          <cell r="D257">
            <v>1</v>
          </cell>
          <cell r="E257" t="str">
            <v>SET</v>
          </cell>
          <cell r="G257">
            <v>15900000</v>
          </cell>
        </row>
        <row r="258">
          <cell r="A258" t="str">
            <v>초음파유량계(450A)</v>
          </cell>
          <cell r="B258" t="str">
            <v>초음파유량계(450A)</v>
          </cell>
          <cell r="D258">
            <v>1</v>
          </cell>
          <cell r="E258" t="str">
            <v>SET</v>
          </cell>
          <cell r="G258">
            <v>15900000</v>
          </cell>
        </row>
        <row r="259">
          <cell r="A259" t="str">
            <v>초음파수위계</v>
          </cell>
          <cell r="B259" t="str">
            <v>초음파수위계</v>
          </cell>
          <cell r="D259">
            <v>1</v>
          </cell>
          <cell r="E259" t="str">
            <v>SET</v>
          </cell>
          <cell r="G259">
            <v>3500000</v>
          </cell>
        </row>
        <row r="260">
          <cell r="A260" t="str">
            <v>투입식수위계</v>
          </cell>
          <cell r="B260" t="str">
            <v>투입식수위계</v>
          </cell>
          <cell r="D260">
            <v>1</v>
          </cell>
          <cell r="E260" t="str">
            <v>SET</v>
          </cell>
          <cell r="G260">
            <v>1365000</v>
          </cell>
        </row>
        <row r="261">
          <cell r="A261" t="str">
            <v>슬러지농도계(200A)</v>
          </cell>
          <cell r="B261" t="str">
            <v>슬러지농도계(200A)</v>
          </cell>
          <cell r="D261">
            <v>1</v>
          </cell>
          <cell r="E261" t="str">
            <v>SET</v>
          </cell>
          <cell r="G261">
            <v>28000000</v>
          </cell>
        </row>
        <row r="262">
          <cell r="A262" t="str">
            <v>슬러지농도계(150A)</v>
          </cell>
          <cell r="B262" t="str">
            <v>슬러지농도계(150A)</v>
          </cell>
          <cell r="D262">
            <v>1</v>
          </cell>
          <cell r="E262" t="str">
            <v>SET</v>
          </cell>
          <cell r="G262">
            <v>26000000</v>
          </cell>
        </row>
        <row r="263">
          <cell r="A263" t="str">
            <v>압력전송기</v>
          </cell>
          <cell r="B263" t="str">
            <v>압력전송기</v>
          </cell>
          <cell r="D263">
            <v>1</v>
          </cell>
          <cell r="E263" t="str">
            <v>SET</v>
          </cell>
          <cell r="G263">
            <v>1523000</v>
          </cell>
        </row>
        <row r="264">
          <cell r="A264" t="str">
            <v>레벨스위치</v>
          </cell>
          <cell r="B264" t="str">
            <v>레벨스위치</v>
          </cell>
          <cell r="D264">
            <v>1</v>
          </cell>
          <cell r="E264" t="str">
            <v>SET</v>
          </cell>
          <cell r="G264">
            <v>250000</v>
          </cell>
        </row>
        <row r="265">
          <cell r="A265" t="str">
            <v>WEIR식유량계</v>
          </cell>
          <cell r="B265" t="str">
            <v>WEIR식유량계</v>
          </cell>
          <cell r="D265">
            <v>1</v>
          </cell>
          <cell r="E265" t="str">
            <v>SET</v>
          </cell>
          <cell r="G265">
            <v>8500000</v>
          </cell>
        </row>
        <row r="266">
          <cell r="A266" t="str">
            <v>전원용 피뢰기</v>
          </cell>
          <cell r="B266" t="str">
            <v>전원용 피뢰기</v>
          </cell>
          <cell r="D266">
            <v>1</v>
          </cell>
          <cell r="E266" t="str">
            <v>개</v>
          </cell>
          <cell r="G266">
            <v>410000</v>
          </cell>
        </row>
        <row r="267">
          <cell r="A267" t="str">
            <v>신호용 피뢰기</v>
          </cell>
          <cell r="B267" t="str">
            <v>신호용 피뢰기</v>
          </cell>
          <cell r="D267">
            <v>1</v>
          </cell>
          <cell r="E267" t="str">
            <v>개</v>
          </cell>
          <cell r="G267">
            <v>213000</v>
          </cell>
        </row>
        <row r="268">
          <cell r="A268" t="str">
            <v>통신용 피뢰기</v>
          </cell>
          <cell r="B268" t="str">
            <v>통신용 피뢰기</v>
          </cell>
          <cell r="D268">
            <v>1</v>
          </cell>
          <cell r="E268" t="str">
            <v>개</v>
          </cell>
          <cell r="G268">
            <v>410000</v>
          </cell>
        </row>
        <row r="269">
          <cell r="A269" t="str">
            <v>신호분배기(ISOLATOR)</v>
          </cell>
          <cell r="B269" t="str">
            <v>신호분배기(ISOLATOR)</v>
          </cell>
          <cell r="D269">
            <v>1</v>
          </cell>
          <cell r="E269" t="str">
            <v>개</v>
          </cell>
          <cell r="G269">
            <v>150000</v>
          </cell>
        </row>
        <row r="270">
          <cell r="A270" t="str">
            <v>파이프 스텐숀</v>
          </cell>
          <cell r="B270" t="str">
            <v>파이프 스텐숀</v>
          </cell>
          <cell r="D270">
            <v>1</v>
          </cell>
          <cell r="E270" t="str">
            <v>개</v>
          </cell>
          <cell r="G270">
            <v>200000</v>
          </cell>
        </row>
        <row r="271">
          <cell r="A271" t="str">
            <v xml:space="preserve"> 7. 수질계측기</v>
          </cell>
          <cell r="B271" t="str">
            <v xml:space="preserve"> 7. 수질계측기</v>
          </cell>
        </row>
        <row r="272">
          <cell r="A272" t="str">
            <v>탁도계</v>
          </cell>
          <cell r="B272" t="str">
            <v>탁도계</v>
          </cell>
          <cell r="D272">
            <v>1</v>
          </cell>
          <cell r="E272" t="str">
            <v>SET</v>
          </cell>
          <cell r="G272">
            <v>11683000</v>
          </cell>
        </row>
        <row r="273">
          <cell r="A273" t="str">
            <v>pH계</v>
          </cell>
          <cell r="B273" t="str">
            <v>pH계</v>
          </cell>
          <cell r="D273">
            <v>1</v>
          </cell>
          <cell r="E273" t="str">
            <v>SET</v>
          </cell>
          <cell r="G273">
            <v>5145000</v>
          </cell>
        </row>
        <row r="274">
          <cell r="A274" t="str">
            <v>잔류염소계(무시약식)</v>
          </cell>
          <cell r="B274" t="str">
            <v>잔류염소계(무시약식)</v>
          </cell>
          <cell r="D274">
            <v>1</v>
          </cell>
          <cell r="E274" t="str">
            <v>SET</v>
          </cell>
          <cell r="G274">
            <v>8571000</v>
          </cell>
        </row>
        <row r="275">
          <cell r="A275" t="str">
            <v>알카리도계</v>
          </cell>
          <cell r="B275" t="str">
            <v>알카리도계</v>
          </cell>
          <cell r="D275">
            <v>1</v>
          </cell>
          <cell r="E275" t="str">
            <v>SET</v>
          </cell>
          <cell r="G275">
            <v>25000000</v>
          </cell>
        </row>
        <row r="276">
          <cell r="A276" t="str">
            <v>전기전도계</v>
          </cell>
          <cell r="B276" t="str">
            <v>전기전도계</v>
          </cell>
          <cell r="D276">
            <v>1</v>
          </cell>
          <cell r="E276" t="str">
            <v>SET</v>
          </cell>
          <cell r="G276">
            <v>3500000</v>
          </cell>
        </row>
        <row r="277">
          <cell r="A277" t="str">
            <v>수온계</v>
          </cell>
          <cell r="B277" t="str">
            <v>수온계</v>
          </cell>
          <cell r="D277">
            <v>1</v>
          </cell>
          <cell r="E277" t="str">
            <v>SET</v>
          </cell>
          <cell r="G277">
            <v>600000</v>
          </cell>
        </row>
        <row r="278">
          <cell r="A278" t="str">
            <v>SS계</v>
          </cell>
          <cell r="B278" t="str">
            <v>SS계</v>
          </cell>
          <cell r="D278">
            <v>1</v>
          </cell>
          <cell r="E278" t="str">
            <v>SET</v>
          </cell>
          <cell r="G278">
            <v>13200000</v>
          </cell>
        </row>
        <row r="279">
          <cell r="A279" t="str">
            <v>UV계</v>
          </cell>
          <cell r="B279" t="str">
            <v>UV계</v>
          </cell>
          <cell r="D279">
            <v>1</v>
          </cell>
          <cell r="E279" t="str">
            <v>SET</v>
          </cell>
          <cell r="G279">
            <v>17525000</v>
          </cell>
        </row>
        <row r="280">
          <cell r="A280" t="str">
            <v>기록계</v>
          </cell>
          <cell r="B280" t="str">
            <v>기록계</v>
          </cell>
          <cell r="D280">
            <v>1</v>
          </cell>
          <cell r="E280" t="str">
            <v>SET</v>
          </cell>
          <cell r="G280">
            <v>1500000</v>
          </cell>
        </row>
        <row r="281">
          <cell r="A281">
            <v>0</v>
          </cell>
        </row>
        <row r="282">
          <cell r="A282" t="str">
            <v xml:space="preserve"> 8. 유지관리 공구 및 예비품</v>
          </cell>
          <cell r="B282" t="str">
            <v xml:space="preserve"> 8. 유지관리 공구 및 예비품</v>
          </cell>
        </row>
        <row r="283">
          <cell r="A283" t="str">
            <v xml:space="preserve">  1) 유지관리용 공구</v>
          </cell>
          <cell r="B283" t="str">
            <v xml:space="preserve">  1) 유지관리용 공구</v>
          </cell>
        </row>
        <row r="284">
          <cell r="A284" t="str">
            <v>접지저항계</v>
          </cell>
          <cell r="B284" t="str">
            <v>접지저항계</v>
          </cell>
          <cell r="D284">
            <v>1</v>
          </cell>
          <cell r="E284" t="str">
            <v>SET</v>
          </cell>
          <cell r="G284">
            <v>480000</v>
          </cell>
        </row>
        <row r="285">
          <cell r="A285" t="str">
            <v>디지털 멀티메타</v>
          </cell>
          <cell r="B285" t="str">
            <v>디지털 멀티메타</v>
          </cell>
          <cell r="D285">
            <v>1</v>
          </cell>
          <cell r="E285" t="str">
            <v>SET</v>
          </cell>
          <cell r="G285">
            <v>1200000</v>
          </cell>
        </row>
        <row r="286">
          <cell r="A286" t="str">
            <v>MODEM TESTER</v>
          </cell>
          <cell r="B286" t="str">
            <v>MODEM TESTER</v>
          </cell>
          <cell r="D286">
            <v>1</v>
          </cell>
          <cell r="E286" t="str">
            <v>SET</v>
          </cell>
          <cell r="G286">
            <v>9450000</v>
          </cell>
        </row>
        <row r="287">
          <cell r="A287" t="str">
            <v>오실로스코프</v>
          </cell>
          <cell r="B287" t="str">
            <v>오실로스코프</v>
          </cell>
          <cell r="D287">
            <v>1</v>
          </cell>
          <cell r="E287" t="str">
            <v>SET</v>
          </cell>
          <cell r="G287">
            <v>1850000</v>
          </cell>
        </row>
        <row r="288">
          <cell r="A288" t="str">
            <v>휴대용 초음파 유량계</v>
          </cell>
          <cell r="B288" t="str">
            <v>휴대용 초음파 유량계</v>
          </cell>
          <cell r="D288">
            <v>1</v>
          </cell>
          <cell r="E288" t="str">
            <v>SET</v>
          </cell>
          <cell r="G288">
            <v>36000000</v>
          </cell>
        </row>
        <row r="289">
          <cell r="A289" t="str">
            <v>레벨메타</v>
          </cell>
          <cell r="B289" t="str">
            <v>레벨메타</v>
          </cell>
          <cell r="D289">
            <v>1</v>
          </cell>
          <cell r="E289" t="str">
            <v>SET</v>
          </cell>
          <cell r="G289">
            <v>2000000</v>
          </cell>
        </row>
        <row r="290">
          <cell r="A290" t="str">
            <v>NOTEBOOK COMPUTER</v>
          </cell>
          <cell r="B290" t="str">
            <v>NOTEBOOK COMPUTER</v>
          </cell>
          <cell r="D290">
            <v>1</v>
          </cell>
          <cell r="E290" t="str">
            <v>SET</v>
          </cell>
          <cell r="G290">
            <v>2500000</v>
          </cell>
        </row>
        <row r="291">
          <cell r="A291" t="str">
            <v>TIMS(NETWORK TESTER)</v>
          </cell>
          <cell r="B291" t="str">
            <v>TIMS(NETWORK TESTER)</v>
          </cell>
          <cell r="D291">
            <v>1</v>
          </cell>
          <cell r="E291" t="str">
            <v>SET</v>
          </cell>
          <cell r="G291">
            <v>16065000</v>
          </cell>
        </row>
        <row r="292">
          <cell r="A292" t="str">
            <v>CIRCUIT DEBUGGER</v>
          </cell>
          <cell r="B292" t="str">
            <v>CIRCUIT DEBUGGER</v>
          </cell>
          <cell r="D292">
            <v>1</v>
          </cell>
          <cell r="E292" t="str">
            <v>SET</v>
          </cell>
          <cell r="G292">
            <v>1800000</v>
          </cell>
        </row>
        <row r="293">
          <cell r="A293" t="str">
            <v>DC VOLTAGE 발생기</v>
          </cell>
          <cell r="B293" t="str">
            <v>DC VOLTAGE 발생기</v>
          </cell>
          <cell r="D293">
            <v>1</v>
          </cell>
          <cell r="E293" t="str">
            <v>SET</v>
          </cell>
          <cell r="G293">
            <v>850000</v>
          </cell>
        </row>
        <row r="294">
          <cell r="A294" t="str">
            <v>LOGIC ANAlYZER</v>
          </cell>
          <cell r="B294" t="str">
            <v>LOGIC ANAlYZER</v>
          </cell>
          <cell r="D294">
            <v>1</v>
          </cell>
          <cell r="E294" t="str">
            <v>SET</v>
          </cell>
          <cell r="G294">
            <v>956000</v>
          </cell>
        </row>
        <row r="295">
          <cell r="A295" t="str">
            <v>일반 공구류</v>
          </cell>
          <cell r="B295" t="str">
            <v>일반 공구류</v>
          </cell>
          <cell r="D295">
            <v>1</v>
          </cell>
          <cell r="E295" t="str">
            <v>SET</v>
          </cell>
          <cell r="G295">
            <v>0</v>
          </cell>
        </row>
        <row r="296">
          <cell r="A296">
            <v>0</v>
          </cell>
        </row>
        <row r="297">
          <cell r="A297" t="str">
            <v xml:space="preserve"> 2) 예비자재</v>
          </cell>
          <cell r="B297" t="str">
            <v xml:space="preserve"> 2) 예비자재</v>
          </cell>
        </row>
        <row r="298">
          <cell r="A298" t="str">
            <v>RCS MAIN PROCESSOR BOARD</v>
          </cell>
          <cell r="B298" t="str">
            <v>RCS MAIN PROCESSOR BOARD</v>
          </cell>
          <cell r="D298">
            <v>1</v>
          </cell>
          <cell r="E298" t="str">
            <v>SET</v>
          </cell>
          <cell r="G298">
            <v>24000000</v>
          </cell>
        </row>
        <row r="299">
          <cell r="A299" t="str">
            <v>RCS NETWORK INTERFACE MODULE</v>
          </cell>
          <cell r="B299" t="str">
            <v>RCS NETWORK INTERFACE MODULE</v>
          </cell>
          <cell r="D299">
            <v>1</v>
          </cell>
          <cell r="E299" t="str">
            <v>SET</v>
          </cell>
          <cell r="G299">
            <v>24000000</v>
          </cell>
        </row>
        <row r="300">
          <cell r="A300" t="str">
            <v>RCS ANALOG INPUT MODULE(16)</v>
          </cell>
          <cell r="B300" t="str">
            <v>RCS ANALOG INPUT MODULE(16)</v>
          </cell>
          <cell r="D300">
            <v>1</v>
          </cell>
          <cell r="E300" t="str">
            <v>SET</v>
          </cell>
          <cell r="G300">
            <v>24000000</v>
          </cell>
        </row>
        <row r="301">
          <cell r="A301" t="str">
            <v>RCS ANALOG OUTPUT MODULE(8)</v>
          </cell>
          <cell r="B301" t="str">
            <v>RCS ANALOG OUTPUT MODULE(8)</v>
          </cell>
          <cell r="D301">
            <v>1</v>
          </cell>
          <cell r="E301" t="str">
            <v>SET</v>
          </cell>
          <cell r="G301">
            <v>24000000</v>
          </cell>
        </row>
        <row r="302">
          <cell r="A302" t="str">
            <v>RCS DIGITALG INPUT MODULE(32)</v>
          </cell>
          <cell r="B302" t="str">
            <v>RCS DIGITALG INPUT MODULE(32)</v>
          </cell>
          <cell r="D302">
            <v>1</v>
          </cell>
          <cell r="E302" t="str">
            <v>SET</v>
          </cell>
          <cell r="G302">
            <v>24000000</v>
          </cell>
        </row>
        <row r="303">
          <cell r="A303" t="str">
            <v>RCS DIGITAL OUTPUT MODULE(32)</v>
          </cell>
          <cell r="B303" t="str">
            <v>RCS DIGITAL OUTPUT MODULE(32)</v>
          </cell>
          <cell r="D303">
            <v>1</v>
          </cell>
          <cell r="E303" t="str">
            <v>SET</v>
          </cell>
          <cell r="G303">
            <v>24000000</v>
          </cell>
        </row>
        <row r="304">
          <cell r="A304" t="str">
            <v>RCS PULSE INPUT PROCESSOR(8)</v>
          </cell>
          <cell r="B304" t="str">
            <v>RCS PULSE INPUT PROCESSOR(8)</v>
          </cell>
          <cell r="D304">
            <v>1</v>
          </cell>
          <cell r="E304" t="str">
            <v>SET</v>
          </cell>
          <cell r="G304">
            <v>24000000</v>
          </cell>
        </row>
        <row r="305">
          <cell r="A305" t="str">
            <v>RCS POWER SUPPLY UNIT</v>
          </cell>
          <cell r="B305" t="str">
            <v>RCS POWER SUPPLY UNIT</v>
          </cell>
          <cell r="D305">
            <v>1</v>
          </cell>
          <cell r="E305" t="str">
            <v>개</v>
          </cell>
          <cell r="G305">
            <v>24000000</v>
          </cell>
        </row>
        <row r="306">
          <cell r="A306" t="str">
            <v>TM/TC MASTER MAIN CONTROL BOARD</v>
          </cell>
          <cell r="B306" t="str">
            <v>TM/TC MASTER MAIN CONTROL BOARD</v>
          </cell>
          <cell r="D306">
            <v>1</v>
          </cell>
          <cell r="E306" t="str">
            <v>SET</v>
          </cell>
          <cell r="G306">
            <v>24000000</v>
          </cell>
        </row>
        <row r="307">
          <cell r="A307" t="str">
            <v>TM/TC MASTER ANALOG INPUT(8CH)</v>
          </cell>
          <cell r="B307" t="str">
            <v>TM/TC MASTER ANALOG INPUT(8CH)</v>
          </cell>
          <cell r="D307">
            <v>1</v>
          </cell>
          <cell r="E307" t="str">
            <v>SET</v>
          </cell>
          <cell r="G307">
            <v>24000000</v>
          </cell>
        </row>
        <row r="308">
          <cell r="A308" t="str">
            <v>TM/TC MASTER DIGITALG INPUT(32P)</v>
          </cell>
          <cell r="B308" t="str">
            <v>TM/TC MASTER DIGITALG INPUT(32P)</v>
          </cell>
          <cell r="D308">
            <v>1</v>
          </cell>
          <cell r="E308" t="str">
            <v>SET</v>
          </cell>
          <cell r="G308">
            <v>24000000</v>
          </cell>
        </row>
        <row r="309">
          <cell r="A309" t="str">
            <v>TM/TC MASTER DIGITAL OUTPUT(32P)</v>
          </cell>
          <cell r="B309" t="str">
            <v>TM/TC MASTER DIGITAL OUTPUT(32P)</v>
          </cell>
          <cell r="D309">
            <v>1</v>
          </cell>
          <cell r="E309" t="str">
            <v>SET</v>
          </cell>
          <cell r="G309">
            <v>24000000</v>
          </cell>
        </row>
        <row r="310">
          <cell r="A310" t="str">
            <v>TM/TC MASTER HIGH SPEED COUNTER(5CH)</v>
          </cell>
          <cell r="B310" t="str">
            <v>TM/TC MASTER HIGH SPEED COUNTER(5CH)</v>
          </cell>
          <cell r="D310">
            <v>1</v>
          </cell>
          <cell r="E310" t="str">
            <v>SET</v>
          </cell>
          <cell r="G310">
            <v>24000000</v>
          </cell>
        </row>
        <row r="311">
          <cell r="A311" t="str">
            <v>PRINTER 용지</v>
          </cell>
          <cell r="B311" t="str">
            <v>PRINTER 용지</v>
          </cell>
          <cell r="D311">
            <v>1</v>
          </cell>
          <cell r="E311" t="str">
            <v>BOX</v>
          </cell>
          <cell r="G311">
            <v>450000</v>
          </cell>
        </row>
        <row r="312">
          <cell r="A312" t="str">
            <v>HARD COPIER 용지</v>
          </cell>
          <cell r="B312" t="str">
            <v>HARD COPIER 용지</v>
          </cell>
          <cell r="D312">
            <v>1</v>
          </cell>
          <cell r="E312" t="str">
            <v>BOX</v>
          </cell>
          <cell r="G312">
            <v>600000</v>
          </cell>
        </row>
        <row r="313">
          <cell r="A313" t="str">
            <v>MODEM</v>
          </cell>
          <cell r="B313" t="str">
            <v>MODEM</v>
          </cell>
          <cell r="D313">
            <v>1</v>
          </cell>
          <cell r="E313" t="str">
            <v>SET</v>
          </cell>
          <cell r="G313">
            <v>2145000</v>
          </cell>
        </row>
        <row r="314">
          <cell r="A314" t="str">
            <v>POWER UNIT</v>
          </cell>
          <cell r="B314" t="str">
            <v>POWER UNIT</v>
          </cell>
          <cell r="D314">
            <v>1</v>
          </cell>
          <cell r="E314" t="str">
            <v>SET</v>
          </cell>
          <cell r="G314">
            <v>864000</v>
          </cell>
        </row>
        <row r="315">
          <cell r="A315" t="str">
            <v>수질계측기기 시약</v>
          </cell>
          <cell r="B315" t="str">
            <v>수질계측기기 시약</v>
          </cell>
          <cell r="D315">
            <v>1</v>
          </cell>
          <cell r="E315" t="str">
            <v>식</v>
          </cell>
          <cell r="G315">
            <v>3000000</v>
          </cell>
        </row>
        <row r="316">
          <cell r="A316" t="str">
            <v>PANEL 부속장치</v>
          </cell>
          <cell r="B316" t="str">
            <v>PANEL 부속장치</v>
          </cell>
          <cell r="D316">
            <v>1</v>
          </cell>
          <cell r="E316" t="str">
            <v>식</v>
          </cell>
          <cell r="G316">
            <v>625000</v>
          </cell>
        </row>
        <row r="317">
          <cell r="A317" t="str">
            <v>각종 보호 및 소모기기</v>
          </cell>
          <cell r="B317" t="str">
            <v>각종 보호 및 소모기기</v>
          </cell>
          <cell r="D317">
            <v>1</v>
          </cell>
          <cell r="E317" t="str">
            <v>식</v>
          </cell>
          <cell r="G317">
            <v>15000</v>
          </cell>
        </row>
        <row r="318">
          <cell r="A318" t="str">
            <v>각종 계기(지시계,지시경보기,스위치,RELAY)</v>
          </cell>
          <cell r="B318" t="str">
            <v>각종 계기(지시계,지시경보기,스위치,RELAY)</v>
          </cell>
          <cell r="D318">
            <v>1</v>
          </cell>
          <cell r="E318" t="str">
            <v>식</v>
          </cell>
          <cell r="G318">
            <v>326000</v>
          </cell>
        </row>
        <row r="325">
          <cell r="A325" t="str">
            <v>Ⅱ.CCTV 설비 기자재</v>
          </cell>
          <cell r="B325" t="str">
            <v>Ⅱ.CCTV 설비 기자재</v>
          </cell>
        </row>
        <row r="326">
          <cell r="A326" t="str">
            <v>CCD COLOR CAMERA0.02LX</v>
          </cell>
          <cell r="B326" t="str">
            <v>CCD COLOR CAMERA</v>
          </cell>
          <cell r="C326" t="str">
            <v>0.02LX</v>
          </cell>
          <cell r="D326">
            <v>1</v>
          </cell>
          <cell r="E326" t="str">
            <v>EA</v>
          </cell>
          <cell r="G326">
            <v>3800000</v>
          </cell>
        </row>
        <row r="327">
          <cell r="A327" t="str">
            <v>ZOOM LENS15-180mm</v>
          </cell>
          <cell r="B327" t="str">
            <v>ZOOM LENS</v>
          </cell>
          <cell r="C327" t="str">
            <v>15-180mm</v>
          </cell>
          <cell r="D327">
            <v>1</v>
          </cell>
          <cell r="E327" t="str">
            <v>EA</v>
          </cell>
          <cell r="G327">
            <v>3200000</v>
          </cell>
        </row>
        <row r="328">
          <cell r="A328" t="str">
            <v>ZOOM LENS8.5-51mm</v>
          </cell>
          <cell r="B328" t="str">
            <v>ZOOM LENS</v>
          </cell>
          <cell r="C328" t="str">
            <v>8.5-51mm</v>
          </cell>
          <cell r="D328">
            <v>1</v>
          </cell>
          <cell r="E328" t="str">
            <v>EA</v>
          </cell>
          <cell r="G328">
            <v>900000</v>
          </cell>
        </row>
        <row r="329">
          <cell r="A329" t="str">
            <v>CAMERA HOUSINGFRP</v>
          </cell>
          <cell r="B329" t="str">
            <v>CAMERA HOUSING</v>
          </cell>
          <cell r="C329" t="str">
            <v>FRP</v>
          </cell>
          <cell r="D329">
            <v>1</v>
          </cell>
          <cell r="E329" t="str">
            <v>EA</v>
          </cell>
          <cell r="G329">
            <v>1270000</v>
          </cell>
        </row>
        <row r="330">
          <cell r="A330" t="str">
            <v>PAN/TILT DRIVEOUTD00R</v>
          </cell>
          <cell r="B330" t="str">
            <v>PAN/TILT DRIVE</v>
          </cell>
          <cell r="C330" t="str">
            <v>OUTD00R</v>
          </cell>
          <cell r="D330">
            <v>1</v>
          </cell>
          <cell r="E330" t="str">
            <v>EA</v>
          </cell>
          <cell r="G330">
            <v>1200000</v>
          </cell>
        </row>
        <row r="331">
          <cell r="A331" t="str">
            <v>PAN/TILT DRIVEINDOOR</v>
          </cell>
          <cell r="B331" t="str">
            <v>PAN/TILT DRIVE</v>
          </cell>
          <cell r="C331" t="str">
            <v>INDOOR</v>
          </cell>
          <cell r="D331">
            <v>1</v>
          </cell>
          <cell r="E331" t="str">
            <v>EA</v>
          </cell>
          <cell r="G331">
            <v>550000</v>
          </cell>
        </row>
        <row r="332">
          <cell r="A332" t="str">
            <v>BEAM LIGHT150WX2</v>
          </cell>
          <cell r="B332" t="str">
            <v>BEAM LIGHT</v>
          </cell>
          <cell r="C332" t="str">
            <v>150WX2</v>
          </cell>
          <cell r="D332">
            <v>1</v>
          </cell>
          <cell r="E332" t="str">
            <v>SET</v>
          </cell>
          <cell r="G332">
            <v>300000</v>
          </cell>
        </row>
        <row r="333">
          <cell r="A333" t="str">
            <v>BEAM LIGHT BRACKETSUS</v>
          </cell>
          <cell r="B333" t="str">
            <v>BEAM LIGHT BRACKET</v>
          </cell>
          <cell r="C333" t="str">
            <v>SUS</v>
          </cell>
          <cell r="D333">
            <v>1</v>
          </cell>
          <cell r="E333" t="str">
            <v>EA</v>
          </cell>
          <cell r="G333">
            <v>100000</v>
          </cell>
        </row>
        <row r="334">
          <cell r="A334" t="str">
            <v>POLE STAND6"X4M(SUS)</v>
          </cell>
          <cell r="B334" t="str">
            <v>POLE STAND</v>
          </cell>
          <cell r="C334" t="str">
            <v>6"X4M(SUS)</v>
          </cell>
          <cell r="D334">
            <v>1</v>
          </cell>
          <cell r="E334" t="str">
            <v>EA</v>
          </cell>
          <cell r="G334">
            <v>800000</v>
          </cell>
        </row>
        <row r="335">
          <cell r="A335" t="str">
            <v>CAMERA BRACKETINDOOR</v>
          </cell>
          <cell r="B335" t="str">
            <v>CAMERA BRACKET</v>
          </cell>
          <cell r="C335" t="str">
            <v>INDOOR</v>
          </cell>
          <cell r="D335">
            <v>1</v>
          </cell>
          <cell r="E335" t="str">
            <v>EA</v>
          </cell>
          <cell r="G335">
            <v>45000</v>
          </cell>
        </row>
        <row r="336">
          <cell r="A336" t="str">
            <v>RECEIVER UNITP/T,ZOOM</v>
          </cell>
          <cell r="B336" t="str">
            <v>RECEIVER UNIT</v>
          </cell>
          <cell r="C336" t="str">
            <v>P/T,ZOOM</v>
          </cell>
          <cell r="D336">
            <v>1</v>
          </cell>
          <cell r="E336" t="str">
            <v>EA</v>
          </cell>
          <cell r="G336">
            <v>850000</v>
          </cell>
        </row>
        <row r="337">
          <cell r="A337" t="str">
            <v>WATER PROOF BOXRECEIVER용(SUS304)</v>
          </cell>
          <cell r="B337" t="str">
            <v>WATER PROOF BOX</v>
          </cell>
          <cell r="C337" t="str">
            <v>RECEIVER용(SUS304)</v>
          </cell>
          <cell r="D337">
            <v>1</v>
          </cell>
          <cell r="E337" t="str">
            <v>EA</v>
          </cell>
          <cell r="G337">
            <v>2350000</v>
          </cell>
        </row>
        <row r="338">
          <cell r="A338" t="str">
            <v>A.I.U</v>
          </cell>
          <cell r="B338" t="str">
            <v>A.I.U</v>
          </cell>
          <cell r="D338">
            <v>1</v>
          </cell>
          <cell r="E338" t="str">
            <v>EA</v>
          </cell>
          <cell r="G338">
            <v>1100000</v>
          </cell>
        </row>
        <row r="339">
          <cell r="A339" t="str">
            <v>C.P.U16 BY 4</v>
          </cell>
          <cell r="B339" t="str">
            <v>C.P.U</v>
          </cell>
          <cell r="C339" t="str">
            <v>16 BY 4</v>
          </cell>
          <cell r="D339">
            <v>1</v>
          </cell>
          <cell r="E339" t="str">
            <v>EA</v>
          </cell>
          <cell r="G339">
            <v>7500000</v>
          </cell>
        </row>
        <row r="340">
          <cell r="A340" t="str">
            <v>D.C.U</v>
          </cell>
          <cell r="B340" t="str">
            <v>D.C.U</v>
          </cell>
          <cell r="D340">
            <v>1</v>
          </cell>
          <cell r="E340" t="str">
            <v>EA</v>
          </cell>
          <cell r="G340">
            <v>1300000</v>
          </cell>
        </row>
        <row r="341">
          <cell r="A341" t="str">
            <v>S.D.U</v>
          </cell>
          <cell r="B341" t="str">
            <v>S.D.U</v>
          </cell>
          <cell r="D341">
            <v>1</v>
          </cell>
          <cell r="E341" t="str">
            <v>EA</v>
          </cell>
          <cell r="G341">
            <v>600000</v>
          </cell>
        </row>
        <row r="342">
          <cell r="A342" t="str">
            <v>VIDEO IN/OUT MOUDLE16CH</v>
          </cell>
          <cell r="B342" t="str">
            <v>VIDEO IN/OUT MOUDLE</v>
          </cell>
          <cell r="C342" t="str">
            <v>16CH</v>
          </cell>
          <cell r="D342">
            <v>1</v>
          </cell>
          <cell r="E342" t="str">
            <v>EA</v>
          </cell>
          <cell r="G342">
            <v>5600000</v>
          </cell>
        </row>
        <row r="343">
          <cell r="A343" t="str">
            <v>VIDEO IN/OUT CARD</v>
          </cell>
          <cell r="B343" t="str">
            <v>VIDEO IN/OUT CARD</v>
          </cell>
          <cell r="D343">
            <v>1</v>
          </cell>
          <cell r="E343" t="str">
            <v>EA</v>
          </cell>
          <cell r="G343">
            <v>400000</v>
          </cell>
        </row>
        <row r="344">
          <cell r="A344" t="str">
            <v>KEY BOARDCPU용(조작탁포함)</v>
          </cell>
          <cell r="B344" t="str">
            <v>KEY BOARD</v>
          </cell>
          <cell r="C344" t="str">
            <v>CPU용(조작탁포함)</v>
          </cell>
          <cell r="D344">
            <v>1</v>
          </cell>
          <cell r="E344" t="str">
            <v>EA</v>
          </cell>
          <cell r="G344">
            <v>2750000</v>
          </cell>
        </row>
        <row r="345">
          <cell r="A345" t="str">
            <v>V.T.R36시간용</v>
          </cell>
          <cell r="B345" t="str">
            <v>V.T.R</v>
          </cell>
          <cell r="C345" t="str">
            <v>36시간용</v>
          </cell>
          <cell r="D345">
            <v>1</v>
          </cell>
          <cell r="E345" t="str">
            <v>EA</v>
          </cell>
          <cell r="G345">
            <v>1400000</v>
          </cell>
        </row>
        <row r="346">
          <cell r="A346" t="str">
            <v>COLOR MONITOR20"</v>
          </cell>
          <cell r="B346" t="str">
            <v>COLOR MONITOR</v>
          </cell>
          <cell r="C346" t="str">
            <v>20"</v>
          </cell>
          <cell r="D346">
            <v>1</v>
          </cell>
          <cell r="E346" t="str">
            <v>EA</v>
          </cell>
          <cell r="G346">
            <v>300000</v>
          </cell>
        </row>
        <row r="347">
          <cell r="A347" t="str">
            <v>적외선 센서50M용</v>
          </cell>
          <cell r="B347" t="str">
            <v>적외선 센서</v>
          </cell>
          <cell r="C347" t="str">
            <v>50M용</v>
          </cell>
          <cell r="D347">
            <v>1</v>
          </cell>
          <cell r="E347" t="str">
            <v>조</v>
          </cell>
          <cell r="G347">
            <v>380000</v>
          </cell>
        </row>
        <row r="348">
          <cell r="A348" t="str">
            <v>MONITOR RACK</v>
          </cell>
          <cell r="B348" t="str">
            <v>MONITOR RACK</v>
          </cell>
          <cell r="D348">
            <v>1</v>
          </cell>
          <cell r="E348" t="str">
            <v>EA</v>
          </cell>
          <cell r="G348">
            <v>400000</v>
          </cell>
        </row>
        <row r="349">
          <cell r="A349" t="str">
            <v>POWER CONTROLLER12CH</v>
          </cell>
          <cell r="B349" t="str">
            <v>POWER CONTROLLER</v>
          </cell>
          <cell r="C349" t="str">
            <v>12CH</v>
          </cell>
          <cell r="D349">
            <v>1</v>
          </cell>
          <cell r="E349" t="str">
            <v>EA</v>
          </cell>
          <cell r="G349">
            <v>200000</v>
          </cell>
        </row>
        <row r="350">
          <cell r="A350" t="str">
            <v>SURGE PROTECTORVIDEO용</v>
          </cell>
          <cell r="B350" t="str">
            <v>SURGE PROTECTOR</v>
          </cell>
          <cell r="C350" t="str">
            <v>VIDEO용</v>
          </cell>
          <cell r="D350">
            <v>1</v>
          </cell>
          <cell r="E350" t="str">
            <v>EA</v>
          </cell>
          <cell r="G350">
            <v>250000</v>
          </cell>
        </row>
        <row r="351">
          <cell r="A351" t="str">
            <v>SURGE PROTECTORCONTROL용</v>
          </cell>
          <cell r="B351" t="str">
            <v>SURGE PROTECTOR</v>
          </cell>
          <cell r="C351" t="str">
            <v>CONTROL용</v>
          </cell>
          <cell r="D351">
            <v>1</v>
          </cell>
          <cell r="E351" t="str">
            <v>EA</v>
          </cell>
          <cell r="G351">
            <v>270000</v>
          </cell>
        </row>
        <row r="352">
          <cell r="A352" t="str">
            <v>SURGE PROTECTORPOWER용</v>
          </cell>
          <cell r="B352" t="str">
            <v>SURGE PROTECTOR</v>
          </cell>
          <cell r="C352" t="str">
            <v>POWER용</v>
          </cell>
          <cell r="D352">
            <v>1</v>
          </cell>
          <cell r="E352" t="str">
            <v>EA</v>
          </cell>
          <cell r="G352">
            <v>220000</v>
          </cell>
        </row>
        <row r="353">
          <cell r="A353" t="str">
            <v>QUAD VIEW4CH</v>
          </cell>
          <cell r="B353" t="str">
            <v>QUAD VIEW</v>
          </cell>
          <cell r="C353" t="str">
            <v>4CH</v>
          </cell>
          <cell r="D353">
            <v>1</v>
          </cell>
          <cell r="E353" t="str">
            <v>EA</v>
          </cell>
          <cell r="G353">
            <v>1800000</v>
          </cell>
        </row>
        <row r="354">
          <cell r="A354" t="str">
            <v>QUAD CONTROLLER1CH</v>
          </cell>
          <cell r="B354" t="str">
            <v>QUAD CONTROLLER</v>
          </cell>
          <cell r="C354" t="str">
            <v>1CH</v>
          </cell>
          <cell r="D354">
            <v>1</v>
          </cell>
          <cell r="E354" t="str">
            <v>SET</v>
          </cell>
          <cell r="G354">
            <v>960000</v>
          </cell>
        </row>
        <row r="355">
          <cell r="A355" t="str">
            <v>SYSTEM RACK</v>
          </cell>
          <cell r="B355" t="str">
            <v>SYSTEM RACK</v>
          </cell>
          <cell r="D355">
            <v>1</v>
          </cell>
          <cell r="E355" t="str">
            <v>EA</v>
          </cell>
          <cell r="G355">
            <v>120000</v>
          </cell>
        </row>
        <row r="356">
          <cell r="A356" t="str">
            <v>CODEC</v>
          </cell>
          <cell r="B356" t="str">
            <v>CODEC</v>
          </cell>
          <cell r="D356">
            <v>1</v>
          </cell>
          <cell r="E356" t="str">
            <v>EA</v>
          </cell>
          <cell r="G356">
            <v>30000000</v>
          </cell>
        </row>
        <row r="358">
          <cell r="A358" t="str">
            <v>Ⅲ. 방송통신 설비</v>
          </cell>
          <cell r="B358" t="str">
            <v>Ⅲ. 방송통신 설비</v>
          </cell>
        </row>
        <row r="359">
          <cell r="A359" t="str">
            <v>밀양 방송용 AMP1200W</v>
          </cell>
          <cell r="B359" t="str">
            <v>밀양 방송용 AMP</v>
          </cell>
          <cell r="C359" t="str">
            <v>1200W</v>
          </cell>
          <cell r="D359">
            <v>1</v>
          </cell>
          <cell r="E359" t="str">
            <v>SET</v>
          </cell>
          <cell r="G359">
            <v>10000000</v>
          </cell>
        </row>
        <row r="360">
          <cell r="A360" t="str">
            <v>양산 방송용 AMP960W</v>
          </cell>
          <cell r="B360" t="str">
            <v>양산 방송용 AMP</v>
          </cell>
          <cell r="C360" t="str">
            <v>960W</v>
          </cell>
          <cell r="D360">
            <v>1</v>
          </cell>
          <cell r="E360" t="str">
            <v>SET</v>
          </cell>
          <cell r="G360">
            <v>10000000</v>
          </cell>
        </row>
        <row r="361">
          <cell r="A361" t="str">
            <v>밀양 전자식 교환기</v>
          </cell>
          <cell r="B361" t="str">
            <v>밀양 전자식 교환기</v>
          </cell>
          <cell r="D361">
            <v>1</v>
          </cell>
          <cell r="E361" t="str">
            <v>SET</v>
          </cell>
          <cell r="G361">
            <v>40000000</v>
          </cell>
        </row>
        <row r="362">
          <cell r="A362" t="str">
            <v>양산 전자식 교환기</v>
          </cell>
          <cell r="B362" t="str">
            <v>양산 전자식 교환기</v>
          </cell>
          <cell r="D362">
            <v>1</v>
          </cell>
          <cell r="E362" t="str">
            <v>SET</v>
          </cell>
          <cell r="G362">
            <v>40000000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8">
          <cell r="A378">
            <v>0</v>
          </cell>
        </row>
      </sheetData>
      <sheetData sheetId="9" refreshError="1">
        <row r="3">
          <cell r="A3" t="str">
            <v>직종명</v>
          </cell>
          <cell r="B3" t="str">
            <v>1999.1.1발표</v>
          </cell>
        </row>
        <row r="4">
          <cell r="A4" t="str">
            <v>갱부</v>
          </cell>
          <cell r="B4">
            <v>46995</v>
          </cell>
        </row>
        <row r="5">
          <cell r="A5" t="str">
            <v>건축목공</v>
          </cell>
          <cell r="B5">
            <v>62310</v>
          </cell>
        </row>
        <row r="6">
          <cell r="A6" t="str">
            <v>형틀목공</v>
          </cell>
          <cell r="B6">
            <v>62603</v>
          </cell>
        </row>
        <row r="7">
          <cell r="A7" t="str">
            <v>창호목공</v>
          </cell>
          <cell r="B7">
            <v>56563</v>
          </cell>
        </row>
        <row r="8">
          <cell r="A8" t="str">
            <v>철공공</v>
          </cell>
          <cell r="B8">
            <v>60500</v>
          </cell>
        </row>
        <row r="9">
          <cell r="A9" t="str">
            <v>철공</v>
          </cell>
          <cell r="B9">
            <v>59797</v>
          </cell>
        </row>
        <row r="10">
          <cell r="A10" t="str">
            <v>철근공</v>
          </cell>
          <cell r="B10">
            <v>65147</v>
          </cell>
        </row>
        <row r="11">
          <cell r="A11" t="str">
            <v>철판공</v>
          </cell>
          <cell r="B11">
            <v>61774</v>
          </cell>
        </row>
        <row r="12">
          <cell r="A12" t="str">
            <v>샷터공</v>
          </cell>
          <cell r="B12">
            <v>69166</v>
          </cell>
        </row>
        <row r="13">
          <cell r="A13" t="str">
            <v>샷시공</v>
          </cell>
          <cell r="B13">
            <v>55318</v>
          </cell>
        </row>
        <row r="14">
          <cell r="A14" t="str">
            <v>절단공</v>
          </cell>
          <cell r="B14">
            <v>59642</v>
          </cell>
        </row>
        <row r="15">
          <cell r="A15" t="str">
            <v>석공</v>
          </cell>
          <cell r="B15">
            <v>69257</v>
          </cell>
        </row>
        <row r="16">
          <cell r="A16" t="str">
            <v>특수비계공</v>
          </cell>
          <cell r="B16">
            <v>78766</v>
          </cell>
        </row>
        <row r="17">
          <cell r="A17" t="str">
            <v>비계공</v>
          </cell>
          <cell r="B17">
            <v>66531</v>
          </cell>
        </row>
        <row r="18">
          <cell r="A18" t="str">
            <v>동발공(터널)</v>
          </cell>
          <cell r="B18">
            <v>61285</v>
          </cell>
        </row>
        <row r="19">
          <cell r="A19" t="str">
            <v>조적공</v>
          </cell>
          <cell r="B19">
            <v>58512</v>
          </cell>
        </row>
        <row r="20">
          <cell r="A20" t="str">
            <v>치장벽돌공</v>
          </cell>
          <cell r="B20">
            <v>61897</v>
          </cell>
        </row>
        <row r="21">
          <cell r="A21" t="str">
            <v>벽돌(블럭)제작공</v>
          </cell>
          <cell r="B21">
            <v>56942</v>
          </cell>
        </row>
        <row r="22">
          <cell r="A22" t="str">
            <v>연돌공</v>
          </cell>
          <cell r="B22">
            <v>64279</v>
          </cell>
        </row>
        <row r="23">
          <cell r="A23" t="str">
            <v>미장공</v>
          </cell>
          <cell r="B23">
            <v>59451</v>
          </cell>
        </row>
        <row r="24">
          <cell r="A24" t="str">
            <v>방수공</v>
          </cell>
          <cell r="B24">
            <v>50866</v>
          </cell>
        </row>
        <row r="25">
          <cell r="A25" t="str">
            <v>타일공</v>
          </cell>
          <cell r="B25">
            <v>58994</v>
          </cell>
        </row>
        <row r="26">
          <cell r="A26" t="str">
            <v>줄눈공</v>
          </cell>
          <cell r="B26">
            <v>58172</v>
          </cell>
        </row>
        <row r="27">
          <cell r="A27" t="str">
            <v>연마공</v>
          </cell>
          <cell r="B27">
            <v>56709</v>
          </cell>
        </row>
        <row r="28">
          <cell r="A28" t="str">
            <v>콘크리트공</v>
          </cell>
          <cell r="B28">
            <v>60596</v>
          </cell>
        </row>
        <row r="29">
          <cell r="A29" t="str">
            <v>바이브레타공</v>
          </cell>
          <cell r="B29">
            <v>63032</v>
          </cell>
        </row>
        <row r="30">
          <cell r="A30" t="str">
            <v>콘크리트공(광의)</v>
          </cell>
          <cell r="B30">
            <v>67371</v>
          </cell>
        </row>
        <row r="31">
          <cell r="A31" t="str">
            <v>보일러공</v>
          </cell>
          <cell r="B31">
            <v>48190</v>
          </cell>
        </row>
        <row r="32">
          <cell r="A32" t="str">
            <v>배관공</v>
          </cell>
          <cell r="B32">
            <v>48833</v>
          </cell>
        </row>
        <row r="33">
          <cell r="A33" t="str">
            <v>온돌공</v>
          </cell>
          <cell r="B33">
            <v>60000</v>
          </cell>
        </row>
        <row r="34">
          <cell r="A34" t="str">
            <v>위생공</v>
          </cell>
          <cell r="B34">
            <v>48855</v>
          </cell>
        </row>
        <row r="35">
          <cell r="A35" t="str">
            <v>보온공</v>
          </cell>
          <cell r="B35">
            <v>49987</v>
          </cell>
        </row>
        <row r="36">
          <cell r="A36" t="str">
            <v>도장공</v>
          </cell>
          <cell r="B36">
            <v>52915</v>
          </cell>
        </row>
        <row r="37">
          <cell r="A37" t="str">
            <v>내장공</v>
          </cell>
          <cell r="B37">
            <v>58768</v>
          </cell>
        </row>
        <row r="38">
          <cell r="A38" t="str">
            <v>도배공</v>
          </cell>
          <cell r="B38">
            <v>51632</v>
          </cell>
        </row>
        <row r="39">
          <cell r="A39" t="str">
            <v>아스타일공</v>
          </cell>
          <cell r="B39">
            <v>67874</v>
          </cell>
        </row>
        <row r="40">
          <cell r="A40" t="str">
            <v>기와공</v>
          </cell>
          <cell r="B40">
            <v>78724</v>
          </cell>
        </row>
        <row r="41">
          <cell r="A41" t="str">
            <v>스레이트공</v>
          </cell>
          <cell r="B41">
            <v>74212</v>
          </cell>
        </row>
        <row r="42">
          <cell r="A42" t="str">
            <v>지붕잇기공</v>
          </cell>
          <cell r="B42">
            <v>68363</v>
          </cell>
        </row>
        <row r="43">
          <cell r="A43" t="str">
            <v>화약취급공</v>
          </cell>
          <cell r="B43">
            <v>67520</v>
          </cell>
        </row>
        <row r="44">
          <cell r="A44" t="str">
            <v>착암공</v>
          </cell>
          <cell r="B44">
            <v>50107</v>
          </cell>
        </row>
        <row r="45">
          <cell r="A45" t="str">
            <v>보안공</v>
          </cell>
          <cell r="B45">
            <v>41224</v>
          </cell>
        </row>
        <row r="46">
          <cell r="A46" t="str">
            <v>포장공</v>
          </cell>
          <cell r="B46">
            <v>59695</v>
          </cell>
        </row>
        <row r="47">
          <cell r="A47" t="str">
            <v>포설공</v>
          </cell>
          <cell r="B47">
            <v>53731</v>
          </cell>
        </row>
        <row r="48">
          <cell r="A48" t="str">
            <v>궤도공</v>
          </cell>
          <cell r="B48">
            <v>53629</v>
          </cell>
        </row>
        <row r="49">
          <cell r="A49" t="str">
            <v>용접공(철도)</v>
          </cell>
          <cell r="B49">
            <v>58661</v>
          </cell>
        </row>
        <row r="50">
          <cell r="A50" t="str">
            <v>잠수부</v>
          </cell>
          <cell r="B50">
            <v>87712</v>
          </cell>
        </row>
        <row r="51">
          <cell r="A51" t="str">
            <v>잠함공</v>
          </cell>
          <cell r="B51" t="str">
            <v>-</v>
          </cell>
        </row>
        <row r="52">
          <cell r="A52" t="str">
            <v>보링공(지질조사)</v>
          </cell>
          <cell r="B52">
            <v>50288</v>
          </cell>
        </row>
        <row r="53">
          <cell r="A53" t="str">
            <v>우물공</v>
          </cell>
          <cell r="B53">
            <v>52316</v>
          </cell>
        </row>
        <row r="54">
          <cell r="A54" t="str">
            <v>영림기사</v>
          </cell>
          <cell r="B54">
            <v>57965</v>
          </cell>
        </row>
        <row r="55">
          <cell r="A55" t="str">
            <v>조경공</v>
          </cell>
          <cell r="B55">
            <v>50250</v>
          </cell>
        </row>
        <row r="56">
          <cell r="A56" t="str">
            <v>벌목공</v>
          </cell>
          <cell r="B56">
            <v>57718</v>
          </cell>
        </row>
        <row r="57">
          <cell r="A57" t="str">
            <v>조림임부</v>
          </cell>
          <cell r="B57">
            <v>43854</v>
          </cell>
        </row>
        <row r="58">
          <cell r="A58" t="str">
            <v>플랜트기기설치공</v>
          </cell>
          <cell r="B58">
            <v>59903</v>
          </cell>
        </row>
        <row r="59">
          <cell r="A59" t="str">
            <v>플랜트특수용접공</v>
          </cell>
          <cell r="B59">
            <v>100475</v>
          </cell>
        </row>
        <row r="60">
          <cell r="A60" t="str">
            <v>플랜트용접공</v>
          </cell>
          <cell r="B60">
            <v>63349</v>
          </cell>
        </row>
        <row r="61">
          <cell r="A61" t="str">
            <v>플랜트배관공</v>
          </cell>
          <cell r="B61">
            <v>66377</v>
          </cell>
        </row>
        <row r="62">
          <cell r="A62" t="str">
            <v>플랜트제판공</v>
          </cell>
          <cell r="B62">
            <v>54813</v>
          </cell>
        </row>
        <row r="63">
          <cell r="A63" t="str">
            <v>시공측량사</v>
          </cell>
          <cell r="B63">
            <v>44848</v>
          </cell>
        </row>
        <row r="64">
          <cell r="A64" t="str">
            <v>시공측량사조수</v>
          </cell>
          <cell r="B64">
            <v>33985</v>
          </cell>
        </row>
        <row r="65">
          <cell r="A65" t="str">
            <v>측부</v>
          </cell>
          <cell r="B65">
            <v>26699</v>
          </cell>
        </row>
        <row r="66">
          <cell r="A66" t="str">
            <v>검조부</v>
          </cell>
          <cell r="B66">
            <v>31220</v>
          </cell>
        </row>
        <row r="67">
          <cell r="A67" t="str">
            <v>송전전공</v>
          </cell>
          <cell r="B67">
            <v>197482</v>
          </cell>
        </row>
        <row r="68">
          <cell r="A68" t="str">
            <v xml:space="preserve">송전활선전공 </v>
          </cell>
          <cell r="B68">
            <v>235109</v>
          </cell>
        </row>
        <row r="69">
          <cell r="A69" t="str">
            <v>배전전공</v>
          </cell>
          <cell r="B69">
            <v>176615</v>
          </cell>
        </row>
        <row r="70">
          <cell r="A70" t="str">
            <v>배전활선전공</v>
          </cell>
          <cell r="B70">
            <v>182772</v>
          </cell>
        </row>
        <row r="71">
          <cell r="A71" t="str">
            <v>플랜트전공</v>
          </cell>
          <cell r="B71">
            <v>52369</v>
          </cell>
        </row>
        <row r="72">
          <cell r="A72" t="str">
            <v>내선전공</v>
          </cell>
          <cell r="B72">
            <v>47911</v>
          </cell>
        </row>
        <row r="73">
          <cell r="A73" t="str">
            <v>특고압케이블공</v>
          </cell>
          <cell r="B73">
            <v>97565</v>
          </cell>
        </row>
        <row r="74">
          <cell r="A74" t="str">
            <v>고압케이블공</v>
          </cell>
          <cell r="B74">
            <v>66547</v>
          </cell>
        </row>
        <row r="75">
          <cell r="A75" t="str">
            <v>저압케이블공</v>
          </cell>
          <cell r="B75">
            <v>59146</v>
          </cell>
        </row>
        <row r="76">
          <cell r="A76" t="str">
            <v>철도신호공</v>
          </cell>
          <cell r="B76">
            <v>79766</v>
          </cell>
        </row>
        <row r="77">
          <cell r="A77" t="str">
            <v>계장공</v>
          </cell>
          <cell r="B77">
            <v>50009</v>
          </cell>
        </row>
        <row r="78">
          <cell r="A78" t="str">
            <v>통신외선공</v>
          </cell>
          <cell r="B78">
            <v>73980</v>
          </cell>
        </row>
        <row r="79">
          <cell r="A79" t="str">
            <v>통신설비공</v>
          </cell>
          <cell r="B79">
            <v>64758</v>
          </cell>
        </row>
        <row r="80">
          <cell r="A80" t="str">
            <v>통신내선공</v>
          </cell>
          <cell r="B80">
            <v>60168</v>
          </cell>
        </row>
        <row r="81">
          <cell r="A81" t="str">
            <v>통신케이블공</v>
          </cell>
          <cell r="B81">
            <v>75788</v>
          </cell>
        </row>
        <row r="82">
          <cell r="A82" t="str">
            <v>무선안테나공</v>
          </cell>
          <cell r="B82">
            <v>91475</v>
          </cell>
        </row>
        <row r="83">
          <cell r="A83" t="str">
            <v>수작업반장</v>
          </cell>
          <cell r="B83">
            <v>76012</v>
          </cell>
        </row>
        <row r="84">
          <cell r="A84" t="str">
            <v>작업반장</v>
          </cell>
          <cell r="B84">
            <v>57364</v>
          </cell>
        </row>
        <row r="85">
          <cell r="A85" t="str">
            <v>목도공</v>
          </cell>
          <cell r="B85">
            <v>64408</v>
          </cell>
        </row>
        <row r="86">
          <cell r="A86" t="str">
            <v>조력공</v>
          </cell>
          <cell r="B86">
            <v>39371</v>
          </cell>
        </row>
        <row r="87">
          <cell r="A87" t="str">
            <v>특별인부</v>
          </cell>
          <cell r="B87">
            <v>48674</v>
          </cell>
        </row>
        <row r="88">
          <cell r="A88" t="str">
            <v>보통인부</v>
          </cell>
          <cell r="B88">
            <v>33755</v>
          </cell>
        </row>
        <row r="89">
          <cell r="A89" t="str">
            <v>중기운전기사</v>
          </cell>
          <cell r="B89">
            <v>53715</v>
          </cell>
        </row>
        <row r="90">
          <cell r="A90" t="str">
            <v>중기조장</v>
          </cell>
          <cell r="B90">
            <v>64260</v>
          </cell>
        </row>
        <row r="91">
          <cell r="A91" t="str">
            <v>운전사(운반차)</v>
          </cell>
          <cell r="B91">
            <v>49633</v>
          </cell>
        </row>
        <row r="92">
          <cell r="A92" t="str">
            <v>운전사(기계)</v>
          </cell>
          <cell r="B92">
            <v>45575</v>
          </cell>
        </row>
        <row r="93">
          <cell r="A93" t="str">
            <v>중기운전조수</v>
          </cell>
          <cell r="B93">
            <v>40706</v>
          </cell>
        </row>
        <row r="94">
          <cell r="A94" t="str">
            <v>고급선원</v>
          </cell>
          <cell r="B94">
            <v>67380</v>
          </cell>
        </row>
        <row r="95">
          <cell r="A95" t="str">
            <v>보통선원</v>
          </cell>
          <cell r="B95">
            <v>52274</v>
          </cell>
        </row>
        <row r="96">
          <cell r="A96" t="str">
            <v>선부</v>
          </cell>
          <cell r="B96">
            <v>41303</v>
          </cell>
        </row>
        <row r="97">
          <cell r="A97" t="str">
            <v>준설선선장</v>
          </cell>
          <cell r="B97">
            <v>77084</v>
          </cell>
        </row>
        <row r="98">
          <cell r="A98" t="str">
            <v>준설선기관장</v>
          </cell>
          <cell r="B98">
            <v>65732</v>
          </cell>
        </row>
        <row r="99">
          <cell r="A99" t="str">
            <v>준설선기관사</v>
          </cell>
          <cell r="B99">
            <v>62000</v>
          </cell>
        </row>
        <row r="100">
          <cell r="A100" t="str">
            <v>준설선운전사</v>
          </cell>
          <cell r="B100">
            <v>64200</v>
          </cell>
        </row>
        <row r="101">
          <cell r="A101" t="str">
            <v>준설선전기사</v>
          </cell>
          <cell r="B101">
            <v>66400</v>
          </cell>
        </row>
        <row r="102">
          <cell r="A102" t="str">
            <v>기계설치공</v>
          </cell>
          <cell r="B102">
            <v>56925</v>
          </cell>
        </row>
        <row r="103">
          <cell r="A103" t="str">
            <v>기계공</v>
          </cell>
          <cell r="B103">
            <v>49611</v>
          </cell>
        </row>
        <row r="104">
          <cell r="A104" t="str">
            <v>선반공</v>
          </cell>
          <cell r="B104" t="str">
            <v>-</v>
          </cell>
        </row>
        <row r="105">
          <cell r="A105" t="str">
            <v>정비공</v>
          </cell>
          <cell r="B105">
            <v>54258</v>
          </cell>
        </row>
        <row r="106">
          <cell r="A106" t="str">
            <v>벨트콘베어작업공</v>
          </cell>
          <cell r="B106" t="str">
            <v>-</v>
          </cell>
        </row>
        <row r="107">
          <cell r="A107" t="str">
            <v>현도사</v>
          </cell>
          <cell r="B107">
            <v>66579</v>
          </cell>
        </row>
        <row r="108">
          <cell r="A108" t="str">
            <v>제도사</v>
          </cell>
          <cell r="B108">
            <v>42366</v>
          </cell>
        </row>
        <row r="109">
          <cell r="A109" t="str">
            <v>시험사1급</v>
          </cell>
          <cell r="B109">
            <v>48017</v>
          </cell>
        </row>
        <row r="110">
          <cell r="A110" t="str">
            <v>시험사2 급</v>
          </cell>
          <cell r="B110">
            <v>36857</v>
          </cell>
        </row>
        <row r="111">
          <cell r="A111" t="str">
            <v>시험사3급</v>
          </cell>
          <cell r="B111">
            <v>37439</v>
          </cell>
        </row>
        <row r="112">
          <cell r="A112" t="str">
            <v>시험사4급</v>
          </cell>
          <cell r="B112">
            <v>32399</v>
          </cell>
        </row>
        <row r="113">
          <cell r="A113" t="str">
            <v>시험보조수</v>
          </cell>
          <cell r="B113">
            <v>29231</v>
          </cell>
        </row>
        <row r="114">
          <cell r="A114" t="str">
            <v>유리공</v>
          </cell>
          <cell r="B114">
            <v>57574</v>
          </cell>
        </row>
        <row r="115">
          <cell r="A115" t="str">
            <v>함석공</v>
          </cell>
          <cell r="B115">
            <v>56248</v>
          </cell>
        </row>
        <row r="116">
          <cell r="A116" t="str">
            <v>용접공(일반)</v>
          </cell>
          <cell r="B116">
            <v>60784</v>
          </cell>
        </row>
        <row r="117">
          <cell r="A117" t="str">
            <v>리벳공</v>
          </cell>
          <cell r="B117">
            <v>70070</v>
          </cell>
        </row>
        <row r="118">
          <cell r="A118" t="str">
            <v>루핑공</v>
          </cell>
          <cell r="B118">
            <v>61818</v>
          </cell>
        </row>
        <row r="119">
          <cell r="A119" t="str">
            <v>닥트공</v>
          </cell>
          <cell r="B119">
            <v>48478</v>
          </cell>
        </row>
        <row r="120">
          <cell r="A120" t="str">
            <v>할석공</v>
          </cell>
          <cell r="B120">
            <v>63951</v>
          </cell>
        </row>
        <row r="121">
          <cell r="A121" t="str">
            <v>제철축로공</v>
          </cell>
          <cell r="B121">
            <v>92419</v>
          </cell>
        </row>
        <row r="122">
          <cell r="A122" t="str">
            <v>양생공</v>
          </cell>
          <cell r="B122">
            <v>45929</v>
          </cell>
        </row>
        <row r="123">
          <cell r="A123" t="str">
            <v>모래분시공</v>
          </cell>
          <cell r="B123">
            <v>70247</v>
          </cell>
        </row>
        <row r="124">
          <cell r="A124" t="str">
            <v>철도궤도공</v>
          </cell>
          <cell r="B124">
            <v>61518</v>
          </cell>
        </row>
        <row r="125">
          <cell r="A125" t="str">
            <v>기사1급</v>
          </cell>
          <cell r="B125">
            <v>91687</v>
          </cell>
        </row>
        <row r="126">
          <cell r="A126" t="str">
            <v>기사2급</v>
          </cell>
          <cell r="B126">
            <v>69173</v>
          </cell>
        </row>
        <row r="127">
          <cell r="A127" t="str">
            <v>지적기능사1급</v>
          </cell>
          <cell r="B127">
            <v>48878</v>
          </cell>
        </row>
        <row r="128">
          <cell r="A128" t="str">
            <v>지적기능사2급</v>
          </cell>
          <cell r="B128">
            <v>35131</v>
          </cell>
        </row>
        <row r="129">
          <cell r="A129" t="str">
            <v>H/W설치기사</v>
          </cell>
          <cell r="B129">
            <v>83297</v>
          </cell>
        </row>
        <row r="130">
          <cell r="A130" t="str">
            <v>H/W시험기사</v>
          </cell>
          <cell r="B130">
            <v>85165</v>
          </cell>
        </row>
        <row r="131">
          <cell r="A131" t="str">
            <v>S/W시험기사</v>
          </cell>
          <cell r="B131">
            <v>86583</v>
          </cell>
        </row>
        <row r="132">
          <cell r="A132" t="str">
            <v>CPU시험기사</v>
          </cell>
          <cell r="B132">
            <v>81182</v>
          </cell>
        </row>
        <row r="133">
          <cell r="A133" t="str">
            <v>광통신기사</v>
          </cell>
          <cell r="B133">
            <v>108175</v>
          </cell>
        </row>
        <row r="134">
          <cell r="A134" t="str">
            <v>광케이블기사</v>
          </cell>
          <cell r="B134">
            <v>90147</v>
          </cell>
        </row>
        <row r="135">
          <cell r="A135" t="str">
            <v>통신기사1급</v>
          </cell>
          <cell r="B135">
            <v>84229</v>
          </cell>
        </row>
        <row r="136">
          <cell r="A136" t="str">
            <v>통신기사2급</v>
          </cell>
          <cell r="B136">
            <v>79642</v>
          </cell>
        </row>
        <row r="137">
          <cell r="A137" t="str">
            <v>통신기능사</v>
          </cell>
          <cell r="B137">
            <v>67759</v>
          </cell>
        </row>
        <row r="138">
          <cell r="A138" t="str">
            <v>비파계시험공</v>
          </cell>
          <cell r="B138">
            <v>89172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목차"/>
      <sheetName val="Tender Summary"/>
      <sheetName val="Project Brief"/>
      <sheetName val="PC&amp;PS Sum"/>
      <sheetName val="Milestone(33)"/>
      <sheetName val="Milestone(40)"/>
      <sheetName val="견적기준"/>
      <sheetName val="Org Chart"/>
      <sheetName val="Manning Schedule"/>
      <sheetName val="Salary-adjusted"/>
      <sheetName val="간접비"/>
      <sheetName val="STAFF COST"/>
      <sheetName val="Site Expenses"/>
      <sheetName val="Temporary Work"/>
      <sheetName val="금융비용"/>
      <sheetName val="금융비용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P2">
            <v>1.8</v>
          </cell>
        </row>
      </sheetData>
      <sheetData sheetId="14" refreshError="1"/>
      <sheetData sheetId="15" refreshError="1"/>
      <sheetData sheetId="16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상효1"/>
      <sheetName val="2"/>
      <sheetName val="▶판매량Trend(수정안)"/>
      <sheetName val="▶판가Trend(수정안)"/>
      <sheetName val="07DATA"/>
      <sheetName val="비용"/>
      <sheetName val="TNC(1안)"/>
      <sheetName val="ÀÎ»óÈ¿1"/>
      <sheetName val="¢ºÆÇ¸Å·®Trend(¼öÁ¤¾È)"/>
      <sheetName val="¢ºÆÇ°¡Trend(¼öÁ¤¾È)"/>
      <sheetName val="수주잔"/>
      <sheetName val="ºñ¿ë"/>
      <sheetName val="TNC(1¾È)"/>
      <sheetName val="노임단가"/>
      <sheetName val="단가조사"/>
      <sheetName val="판매추이"/>
      <sheetName val="대구"/>
      <sheetName val="1-12월"/>
      <sheetName val="태광"/>
      <sheetName val="CODE표"/>
      <sheetName val="한빛은행_종합2001"/>
      <sheetName val="울산"/>
      <sheetName val="▷손익실적"/>
      <sheetName val="매출이익011h"/>
      <sheetName val="Chi Tiet"/>
      <sheetName val="일위대가표"/>
      <sheetName val="내역"/>
      <sheetName val="내역서"/>
      <sheetName val="125PIECE"/>
      <sheetName val="세부(종합)"/>
      <sheetName val="전체지분도"/>
      <sheetName val="예산내역서"/>
      <sheetName val="시산표"/>
      <sheetName val="Base"/>
      <sheetName val="중량CV% "/>
      <sheetName val="1-7 Dec"/>
      <sheetName val="22-31 Dec"/>
      <sheetName val="1-7 Nov"/>
      <sheetName val="Dec"/>
      <sheetName val="Jan 03"/>
      <sheetName val="22-30 Nov"/>
      <sheetName val="TH-XL"/>
      <sheetName val="총집계표"/>
      <sheetName val="???1"/>
      <sheetName val="원가분석"/>
      <sheetName val="설치"/>
      <sheetName val="T&amp;C"/>
      <sheetName val="인상안"/>
      <sheetName val="9609Aß"/>
      <sheetName val="직급실적"/>
      <sheetName val="8호기TEST"/>
      <sheetName val="GR1"/>
      <sheetName val="--"/>
      <sheetName val="HVAC"/>
      <sheetName val="쌍체T"/>
      <sheetName val="2sampleT"/>
      <sheetName val="선형회귀"/>
      <sheetName val="1_05고객별 담당자"/>
      <sheetName val="1_05수익성대비표"/>
      <sheetName val="진천"/>
      <sheetName val="SUS배관단가"/>
      <sheetName val="건축내역"/>
      <sheetName val="건축원가계산서"/>
      <sheetName val="요약"/>
      <sheetName val="생산량"/>
      <sheetName val="IN2"/>
      <sheetName val="구미"/>
      <sheetName val="99계획대비실적"/>
      <sheetName val="현금예금"/>
      <sheetName val="___1"/>
      <sheetName val="Macro1"/>
      <sheetName val="#REF"/>
      <sheetName val="불량율현황"/>
      <sheetName val="용연"/>
      <sheetName val="광주"/>
      <sheetName val="언양"/>
      <sheetName val="중연"/>
      <sheetName val="본부장"/>
      <sheetName val="단독"/>
      <sheetName val="아림"/>
      <sheetName val="유첨3)상세 고장유형"/>
      <sheetName val="JUYO"/>
      <sheetName val="문산_제품-브라스와이어_소요량"/>
      <sheetName val="3월"/>
      <sheetName val="일급제인원실적"/>
      <sheetName val="산자강선PU(배부후)"/>
      <sheetName val="버튼"/>
      <sheetName val="Macro(전기)"/>
      <sheetName val="완성차 미수금"/>
      <sheetName val="상품입고집계"/>
      <sheetName val="추정"/>
      <sheetName val="220 (2)"/>
      <sheetName val="단가산출"/>
      <sheetName val="고합"/>
      <sheetName val="WorkPLM"/>
      <sheetName val="Chi_Tiet"/>
      <sheetName val="중량CV%_"/>
      <sheetName val="1-7_Dec"/>
      <sheetName val="22-31_Dec"/>
      <sheetName val="1-7_Nov"/>
      <sheetName val="Jan_03"/>
      <sheetName val="22-30_Nov"/>
      <sheetName val="1_05고객별_담당자"/>
      <sheetName val="유첨3)상세_고장유형"/>
      <sheetName val="이름"/>
      <sheetName val="总"/>
      <sheetName val="산자사 운전용품"/>
      <sheetName val="교수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인상효1"/>
      <sheetName val="본사인상전"/>
      <sheetName val="seting MP"/>
      <sheetName val="간접"/>
      <sheetName val="C1"/>
    </sheetNames>
    <sheetDataSet>
      <sheetData sheetId="0" refreshError="1">
        <row r="2">
          <cell r="K2" t="str">
            <v xml:space="preserve">  1U$=\750</v>
          </cell>
        </row>
        <row r="4">
          <cell r="A4" t="str">
            <v xml:space="preserve">      項     目</v>
          </cell>
          <cell r="D4" t="str">
            <v xml:space="preserve">   算        出        根        據</v>
          </cell>
          <cell r="K4" t="str">
            <v xml:space="preserve">    備    考</v>
          </cell>
        </row>
        <row r="9">
          <cell r="A9">
            <v>0</v>
          </cell>
          <cell r="C9" t="str">
            <v xml:space="preserve">         區     分</v>
          </cell>
          <cell r="D9" t="str">
            <v xml:space="preserve">     分</v>
          </cell>
          <cell r="E9" t="str">
            <v xml:space="preserve"> 單 價</v>
          </cell>
          <cell r="G9" t="str">
            <v>내  역</v>
          </cell>
          <cell r="I9" t="str">
            <v xml:space="preserve">  合  計</v>
          </cell>
        </row>
        <row r="10">
          <cell r="E10" t="str">
            <v xml:space="preserve"> (USD)</v>
          </cell>
          <cell r="F10" t="str">
            <v xml:space="preserve"> 人員</v>
          </cell>
          <cell r="G10" t="str">
            <v xml:space="preserve"> 回數</v>
          </cell>
          <cell r="H10" t="str">
            <v xml:space="preserve"> 日數</v>
          </cell>
          <cell r="I10" t="str">
            <v xml:space="preserve">  (USD)</v>
          </cell>
        </row>
        <row r="11">
          <cell r="A11" t="str">
            <v xml:space="preserve"> 1. TEST WITNESS</v>
          </cell>
          <cell r="C11">
            <v>0</v>
          </cell>
          <cell r="D11" t="str">
            <v xml:space="preserve">   항  공  료</v>
          </cell>
          <cell r="I11">
            <v>0</v>
          </cell>
        </row>
        <row r="12">
          <cell r="C12" t="str">
            <v xml:space="preserve">    韓  國</v>
          </cell>
          <cell r="D12" t="str">
            <v xml:space="preserve">   숙  박  비</v>
          </cell>
          <cell r="I12">
            <v>0</v>
          </cell>
        </row>
        <row r="13">
          <cell r="D13" t="str">
            <v xml:space="preserve">   식      비</v>
          </cell>
          <cell r="I13">
            <v>0</v>
          </cell>
        </row>
        <row r="14">
          <cell r="D14" t="str">
            <v xml:space="preserve">   기      타</v>
          </cell>
          <cell r="I14">
            <v>0</v>
          </cell>
        </row>
        <row r="15">
          <cell r="C15">
            <v>0</v>
          </cell>
          <cell r="I15">
            <v>0</v>
          </cell>
        </row>
        <row r="16">
          <cell r="C16">
            <v>0</v>
          </cell>
          <cell r="D16" t="str">
            <v>TEST WITNESS   計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 xml:space="preserve"> 2. SUPERVISION</v>
          </cell>
          <cell r="C17" t="str">
            <v xml:space="preserve">   RELAY</v>
          </cell>
          <cell r="D17" t="str">
            <v xml:space="preserve">   항  공  료</v>
          </cell>
          <cell r="I17">
            <v>0</v>
          </cell>
        </row>
        <row r="18">
          <cell r="C18">
            <v>0</v>
          </cell>
          <cell r="D18" t="str">
            <v xml:space="preserve">   감  리  비</v>
          </cell>
          <cell r="I18">
            <v>0</v>
          </cell>
        </row>
        <row r="20">
          <cell r="C20">
            <v>0</v>
          </cell>
          <cell r="I20">
            <v>0</v>
          </cell>
        </row>
        <row r="21">
          <cell r="C21" t="str">
            <v xml:space="preserve">            SUPERVISION    計</v>
          </cell>
          <cell r="I21">
            <v>0</v>
          </cell>
        </row>
        <row r="22">
          <cell r="A22" t="str">
            <v xml:space="preserve"> 3. COMPUTER SYSTEM</v>
          </cell>
          <cell r="D22" t="str">
            <v xml:space="preserve">   교  육  비</v>
          </cell>
          <cell r="I22">
            <v>0</v>
          </cell>
        </row>
        <row r="23">
          <cell r="D23" t="str">
            <v xml:space="preserve">  MAINTENANCE</v>
          </cell>
          <cell r="I23">
            <v>0</v>
          </cell>
        </row>
        <row r="24">
          <cell r="D24" t="str">
            <v xml:space="preserve">  SOFTWARE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            COMPUTER SYSTEM 計</v>
          </cell>
          <cell r="I26">
            <v>0</v>
          </cell>
        </row>
        <row r="28">
          <cell r="D28" t="str">
            <v>合      計</v>
          </cell>
          <cell r="I28">
            <v>0</v>
          </cell>
        </row>
        <row r="30">
          <cell r="I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생산량"/>
      <sheetName val="가동율,Waste"/>
      <sheetName val="사절수"/>
      <sheetName val="AA,공정사고"/>
      <sheetName val="인원,공수"/>
      <sheetName val="생산성"/>
      <sheetName val="SERVICE"/>
      <sheetName val="한성교회 신축공사(050713)_CheckList"/>
      <sheetName val="손익총괄"/>
      <sheetName val="광주"/>
      <sheetName val="#REF"/>
      <sheetName val="중연"/>
      <sheetName val="울산"/>
      <sheetName val="인상효1"/>
      <sheetName val="집계표"/>
      <sheetName val="DATA"/>
      <sheetName val="기준Data"/>
      <sheetName val="구미"/>
      <sheetName val="Macro"/>
      <sheetName val="용연"/>
      <sheetName val="노임단가"/>
      <sheetName val="단가조사"/>
      <sheetName val="4.IDEA관리시트"/>
      <sheetName val="연령현황"/>
      <sheetName val="요약"/>
      <sheetName val="실행단가철(ems코드적용)"/>
      <sheetName val="태광"/>
      <sheetName val="실행내역서 "/>
      <sheetName val="판매추이"/>
      <sheetName val="본사인상전"/>
      <sheetName val="증감대비"/>
      <sheetName val="HGAN9702"/>
      <sheetName val="언양"/>
      <sheetName val="07DATA"/>
      <sheetName val="SCord"/>
      <sheetName val="예산내역서"/>
      <sheetName val="Sheet1"/>
      <sheetName val="신우"/>
      <sheetName val="한빛은행_종합2001"/>
      <sheetName val="总"/>
      <sheetName val="진천"/>
      <sheetName val="중량CV% "/>
      <sheetName val="businessplan"/>
      <sheetName val="JUYO"/>
      <sheetName val="내역"/>
      <sheetName val="참조"/>
      <sheetName val="쌍체T"/>
      <sheetName val="2sampleT"/>
      <sheetName val="선형회귀"/>
      <sheetName val="WORK"/>
      <sheetName val="1.수인터널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인상전"/>
      <sheetName val="표지"/>
      <sheetName val="인상효과"/>
      <sheetName val="Ⅱ"/>
      <sheetName val="Ⅲ"/>
      <sheetName val="요약"/>
      <sheetName val="전후대비(본봉)"/>
      <sheetName val="전후대비(월정급) "/>
      <sheetName val="전후대비(연봉)"/>
      <sheetName val="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수설계"/>
      <sheetName val="중연"/>
      <sheetName val="판매12월"/>
      <sheetName val="본사인상전"/>
      <sheetName val="JUYO"/>
      <sheetName val="CHAB"/>
      <sheetName val="EX-R"/>
      <sheetName val="준공정산"/>
      <sheetName val="비용"/>
      <sheetName val="공정외주"/>
      <sheetName val="04고객별 담당자"/>
      <sheetName val="구미2월"/>
      <sheetName val="안양2월"/>
      <sheetName val="울산"/>
      <sheetName val="내역"/>
      <sheetName val="Sheet1"/>
      <sheetName val="1_05고객별 담당자"/>
      <sheetName val="1_05수익성대비표"/>
      <sheetName val="이론&amp;가동"/>
      <sheetName val="101동"/>
      <sheetName val="설계서"/>
      <sheetName val="薬品リスト"/>
      <sheetName val="풍량"/>
      <sheetName val="CHAB'00기준"/>
      <sheetName val="TNC(1안)"/>
      <sheetName val="복사표"/>
      <sheetName val="Waste Recovery 일보"/>
      <sheetName val="광주"/>
      <sheetName val="태광"/>
      <sheetName val="생_판매월"/>
      <sheetName val="Macro(MCC)"/>
      <sheetName val="철근량"/>
      <sheetName val="조명율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명"/>
      <sheetName val="213명"/>
      <sheetName val="220 (2)"/>
      <sheetName val="203명 (2)"/>
      <sheetName val="인원현황"/>
      <sheetName val="개요"/>
      <sheetName val="특강요지"/>
      <sheetName val="교수설계"/>
    </sheetNames>
    <sheetDataSet>
      <sheetData sheetId="0" refreshError="1"/>
      <sheetData sheetId="1" refreshError="1"/>
      <sheetData sheetId="2" refreshError="1">
        <row r="7">
          <cell r="A7">
            <v>199</v>
          </cell>
          <cell r="B7" t="str">
            <v>김영은</v>
          </cell>
          <cell r="C7" t="str">
            <v>연세대</v>
          </cell>
          <cell r="D7" t="str">
            <v>건축공</v>
          </cell>
          <cell r="G7">
            <v>1</v>
          </cell>
          <cell r="H7" t="str">
            <v>02-3443-3534</v>
          </cell>
          <cell r="I7" t="str">
            <v>011-245-0259</v>
          </cell>
          <cell r="J7">
            <v>167</v>
          </cell>
          <cell r="K7">
            <v>54</v>
          </cell>
          <cell r="L7">
            <v>95</v>
          </cell>
        </row>
        <row r="8">
          <cell r="A8">
            <v>75</v>
          </cell>
          <cell r="B8" t="str">
            <v>송현주</v>
          </cell>
          <cell r="C8" t="str">
            <v>숙명여대</v>
          </cell>
          <cell r="D8" t="str">
            <v>국어(국문)</v>
          </cell>
          <cell r="G8">
            <v>2</v>
          </cell>
          <cell r="H8" t="str">
            <v>02-374-5561</v>
          </cell>
          <cell r="I8" t="str">
            <v>016-598-5032</v>
          </cell>
          <cell r="J8">
            <v>164</v>
          </cell>
          <cell r="K8">
            <v>50</v>
          </cell>
          <cell r="L8">
            <v>90</v>
          </cell>
        </row>
        <row r="9">
          <cell r="A9">
            <v>176</v>
          </cell>
          <cell r="B9" t="str">
            <v>최영혜</v>
          </cell>
          <cell r="C9" t="str">
            <v>연세대</v>
          </cell>
          <cell r="D9" t="str">
            <v>국어(국문)</v>
          </cell>
          <cell r="G9">
            <v>3</v>
          </cell>
          <cell r="H9" t="str">
            <v>02-386-1122</v>
          </cell>
          <cell r="I9" t="str">
            <v>011-9789-0076</v>
          </cell>
          <cell r="J9">
            <v>160</v>
          </cell>
          <cell r="K9">
            <v>45</v>
          </cell>
          <cell r="L9">
            <v>90</v>
          </cell>
        </row>
        <row r="10">
          <cell r="A10">
            <v>139</v>
          </cell>
          <cell r="B10" t="str">
            <v>임승신</v>
          </cell>
          <cell r="C10" t="str">
            <v>연세대</v>
          </cell>
          <cell r="D10" t="str">
            <v>독어(독문)</v>
          </cell>
          <cell r="G10">
            <v>4</v>
          </cell>
          <cell r="H10" t="str">
            <v>02-2646-4249</v>
          </cell>
          <cell r="I10" t="str">
            <v>019-688-0918</v>
          </cell>
          <cell r="J10">
            <v>160</v>
          </cell>
          <cell r="K10">
            <v>50</v>
          </cell>
          <cell r="L10">
            <v>90</v>
          </cell>
        </row>
        <row r="11">
          <cell r="A11">
            <v>116</v>
          </cell>
          <cell r="B11" t="str">
            <v>이상원</v>
          </cell>
          <cell r="C11" t="str">
            <v>서울대</v>
          </cell>
          <cell r="D11" t="str">
            <v>동양사학</v>
          </cell>
          <cell r="G11">
            <v>5</v>
          </cell>
          <cell r="H11" t="str">
            <v>02-871-1680</v>
          </cell>
          <cell r="I11" t="str">
            <v>017-390-1680</v>
          </cell>
          <cell r="J11">
            <v>170</v>
          </cell>
          <cell r="K11">
            <v>64</v>
          </cell>
          <cell r="L11">
            <v>95</v>
          </cell>
        </row>
        <row r="12">
          <cell r="A12">
            <v>147</v>
          </cell>
          <cell r="B12" t="str">
            <v>전주연</v>
          </cell>
          <cell r="C12" t="str">
            <v>연세대</v>
          </cell>
          <cell r="D12" t="str">
            <v>문헌정보</v>
          </cell>
          <cell r="G12">
            <v>6</v>
          </cell>
          <cell r="H12" t="str">
            <v>02-677-0118</v>
          </cell>
          <cell r="I12" t="str">
            <v>016-311-4701</v>
          </cell>
          <cell r="J12">
            <v>156</v>
          </cell>
          <cell r="K12">
            <v>53</v>
          </cell>
          <cell r="L12">
            <v>90</v>
          </cell>
        </row>
        <row r="13">
          <cell r="A13">
            <v>92</v>
          </cell>
          <cell r="B13" t="str">
            <v>오은영</v>
          </cell>
          <cell r="C13" t="str">
            <v>미국]Rutgers대</v>
          </cell>
          <cell r="D13" t="str">
            <v>불어</v>
          </cell>
          <cell r="G13">
            <v>7</v>
          </cell>
          <cell r="H13" t="str">
            <v>02-569-3631</v>
          </cell>
          <cell r="I13" t="str">
            <v>011-9744-3345</v>
          </cell>
          <cell r="J13">
            <v>163</v>
          </cell>
          <cell r="K13">
            <v>65</v>
          </cell>
          <cell r="L13">
            <v>90</v>
          </cell>
        </row>
        <row r="14">
          <cell r="A14">
            <v>73</v>
          </cell>
          <cell r="B14" t="str">
            <v>손지흔</v>
          </cell>
          <cell r="C14" t="str">
            <v>이화여대</v>
          </cell>
          <cell r="D14" t="str">
            <v>불어</v>
          </cell>
          <cell r="G14">
            <v>8</v>
          </cell>
          <cell r="H14" t="str">
            <v>02-449-4779</v>
          </cell>
          <cell r="I14" t="str">
            <v>011-303-4779</v>
          </cell>
          <cell r="J14">
            <v>155</v>
          </cell>
          <cell r="K14">
            <v>47</v>
          </cell>
          <cell r="L14">
            <v>90</v>
          </cell>
        </row>
        <row r="15">
          <cell r="A15">
            <v>32</v>
          </cell>
          <cell r="B15" t="str">
            <v>김지영</v>
          </cell>
          <cell r="C15" t="str">
            <v>이화여대</v>
          </cell>
          <cell r="D15" t="str">
            <v>불어</v>
          </cell>
          <cell r="G15">
            <v>9</v>
          </cell>
          <cell r="H15" t="str">
            <v>02-3461-7679</v>
          </cell>
          <cell r="I15" t="str">
            <v>015-8474-0737</v>
          </cell>
          <cell r="J15">
            <v>163</v>
          </cell>
          <cell r="K15">
            <v>53</v>
          </cell>
          <cell r="L15">
            <v>90</v>
          </cell>
        </row>
        <row r="16">
          <cell r="A16">
            <v>76</v>
          </cell>
          <cell r="B16" t="str">
            <v>신서현</v>
          </cell>
          <cell r="C16" t="str">
            <v>연세대</v>
          </cell>
          <cell r="D16" t="str">
            <v>사회복지</v>
          </cell>
          <cell r="G16">
            <v>10</v>
          </cell>
          <cell r="H16" t="str">
            <v>0343-381-9721</v>
          </cell>
          <cell r="I16" t="str">
            <v>011-248-8520</v>
          </cell>
          <cell r="J16">
            <v>168</v>
          </cell>
          <cell r="K16">
            <v>57</v>
          </cell>
          <cell r="L16">
            <v>95</v>
          </cell>
        </row>
        <row r="17">
          <cell r="A17">
            <v>44</v>
          </cell>
          <cell r="B17" t="str">
            <v>민병희</v>
          </cell>
          <cell r="C17" t="str">
            <v>이화여대</v>
          </cell>
          <cell r="D17" t="str">
            <v>사회복지</v>
          </cell>
          <cell r="G17">
            <v>11</v>
          </cell>
          <cell r="H17" t="str">
            <v>02-537-4257</v>
          </cell>
          <cell r="I17" t="str">
            <v>018-214-9501</v>
          </cell>
          <cell r="J17">
            <v>161</v>
          </cell>
          <cell r="K17">
            <v>51</v>
          </cell>
          <cell r="L17">
            <v>90</v>
          </cell>
        </row>
        <row r="18">
          <cell r="A18">
            <v>20</v>
          </cell>
          <cell r="B18" t="str">
            <v>남경우</v>
          </cell>
          <cell r="C18" t="str">
            <v>성균관대</v>
          </cell>
          <cell r="D18" t="str">
            <v>섬유</v>
          </cell>
          <cell r="E18" t="str">
            <v>성균관대</v>
          </cell>
          <cell r="F18" t="str">
            <v>섬유</v>
          </cell>
          <cell r="G18">
            <v>12</v>
          </cell>
          <cell r="I18" t="str">
            <v>017-267-2824</v>
          </cell>
          <cell r="M18" t="str">
            <v>연구소 채용자</v>
          </cell>
        </row>
        <row r="19">
          <cell r="A19">
            <v>163</v>
          </cell>
          <cell r="B19" t="str">
            <v>조장은</v>
          </cell>
          <cell r="C19" t="str">
            <v>고려대</v>
          </cell>
          <cell r="D19" t="str">
            <v>영어(영문)</v>
          </cell>
          <cell r="G19">
            <v>13</v>
          </cell>
          <cell r="H19" t="str">
            <v>02-2612-8498</v>
          </cell>
          <cell r="I19" t="str">
            <v>019-383-1485</v>
          </cell>
          <cell r="J19">
            <v>165</v>
          </cell>
          <cell r="K19">
            <v>53</v>
          </cell>
          <cell r="L19">
            <v>95</v>
          </cell>
        </row>
        <row r="20">
          <cell r="A20">
            <v>85</v>
          </cell>
          <cell r="B20" t="str">
            <v>양선이</v>
          </cell>
          <cell r="C20" t="str">
            <v>성균관대</v>
          </cell>
          <cell r="D20" t="str">
            <v>영어(영문)</v>
          </cell>
          <cell r="G20">
            <v>14</v>
          </cell>
          <cell r="H20" t="str">
            <v>0344-973-2930</v>
          </cell>
          <cell r="I20" t="str">
            <v>019-216-7623</v>
          </cell>
          <cell r="J20">
            <v>170</v>
          </cell>
          <cell r="K20">
            <v>55</v>
          </cell>
          <cell r="L20">
            <v>95</v>
          </cell>
        </row>
        <row r="21">
          <cell r="A21">
            <v>185</v>
          </cell>
          <cell r="B21" t="str">
            <v>한혜리</v>
          </cell>
          <cell r="C21" t="str">
            <v>숙명여대</v>
          </cell>
          <cell r="D21" t="str">
            <v>영어(영문)</v>
          </cell>
          <cell r="G21">
            <v>15</v>
          </cell>
          <cell r="H21" t="str">
            <v>0344-915-3744</v>
          </cell>
          <cell r="I21" t="str">
            <v>019-263-3744</v>
          </cell>
          <cell r="J21">
            <v>162</v>
          </cell>
          <cell r="K21">
            <v>47</v>
          </cell>
          <cell r="L21">
            <v>90</v>
          </cell>
        </row>
        <row r="22">
          <cell r="A22">
            <v>168</v>
          </cell>
          <cell r="B22" t="str">
            <v>지민선</v>
          </cell>
          <cell r="C22" t="str">
            <v>연세대</v>
          </cell>
          <cell r="D22" t="str">
            <v>영어(영문)</v>
          </cell>
          <cell r="G22">
            <v>16</v>
          </cell>
          <cell r="H22" t="str">
            <v>02-354-3900</v>
          </cell>
          <cell r="I22" t="str">
            <v>016-236-4802</v>
          </cell>
          <cell r="J22">
            <v>163</v>
          </cell>
          <cell r="K22">
            <v>48</v>
          </cell>
          <cell r="L22">
            <v>90</v>
          </cell>
        </row>
        <row r="23">
          <cell r="A23">
            <v>1</v>
          </cell>
          <cell r="B23" t="str">
            <v>권정교</v>
          </cell>
          <cell r="C23" t="str">
            <v>연세대</v>
          </cell>
          <cell r="D23" t="str">
            <v>영어(영문)</v>
          </cell>
          <cell r="G23">
            <v>17</v>
          </cell>
          <cell r="H23" t="str">
            <v>02-515-9011</v>
          </cell>
          <cell r="I23" t="str">
            <v>019-397-0325</v>
          </cell>
          <cell r="J23">
            <v>164</v>
          </cell>
          <cell r="K23">
            <v>47</v>
          </cell>
          <cell r="L23">
            <v>90</v>
          </cell>
          <cell r="M23" t="str">
            <v>추가자</v>
          </cell>
        </row>
        <row r="24">
          <cell r="A24">
            <v>82</v>
          </cell>
          <cell r="B24" t="str">
            <v>안지혜</v>
          </cell>
          <cell r="C24" t="str">
            <v>이화여대</v>
          </cell>
          <cell r="D24" t="str">
            <v>영어(영문)</v>
          </cell>
          <cell r="G24">
            <v>18</v>
          </cell>
          <cell r="H24" t="str">
            <v>02-2646-2927</v>
          </cell>
          <cell r="I24" t="str">
            <v>017-704-2927</v>
          </cell>
          <cell r="J24">
            <v>160</v>
          </cell>
          <cell r="K24">
            <v>45</v>
          </cell>
          <cell r="L24">
            <v>90</v>
          </cell>
        </row>
        <row r="25">
          <cell r="A25">
            <v>155</v>
          </cell>
          <cell r="B25" t="str">
            <v>정원원</v>
          </cell>
          <cell r="C25" t="str">
            <v>북경제2외국어대학</v>
          </cell>
          <cell r="D25" t="str">
            <v>외국어학</v>
          </cell>
          <cell r="G25">
            <v>19</v>
          </cell>
          <cell r="H25" t="str">
            <v>02-2299-7532</v>
          </cell>
          <cell r="I25" t="str">
            <v>019-301-9168</v>
          </cell>
          <cell r="J25">
            <v>161</v>
          </cell>
          <cell r="K25">
            <v>48</v>
          </cell>
          <cell r="L25">
            <v>90</v>
          </cell>
        </row>
        <row r="26">
          <cell r="A26">
            <v>69</v>
          </cell>
          <cell r="B26" t="str">
            <v>서연진</v>
          </cell>
          <cell r="C26" t="str">
            <v>서울대</v>
          </cell>
          <cell r="D26" t="str">
            <v>자원공</v>
          </cell>
          <cell r="G26">
            <v>20</v>
          </cell>
          <cell r="H26" t="str">
            <v>0344-916-0425</v>
          </cell>
          <cell r="I26" t="str">
            <v>011-9088-4894</v>
          </cell>
          <cell r="J26">
            <v>165</v>
          </cell>
          <cell r="K26">
            <v>76</v>
          </cell>
          <cell r="L26">
            <v>95</v>
          </cell>
        </row>
        <row r="27">
          <cell r="A27">
            <v>171</v>
          </cell>
          <cell r="B27" t="str">
            <v>최경향</v>
          </cell>
          <cell r="C27" t="str">
            <v>부산대</v>
          </cell>
          <cell r="D27" t="str">
            <v>전자계산</v>
          </cell>
          <cell r="G27">
            <v>21</v>
          </cell>
          <cell r="H27" t="str">
            <v>0561-772-1265</v>
          </cell>
          <cell r="I27" t="str">
            <v>016-568-1265</v>
          </cell>
          <cell r="J27">
            <v>160</v>
          </cell>
          <cell r="K27">
            <v>48</v>
          </cell>
          <cell r="L27">
            <v>90</v>
          </cell>
        </row>
        <row r="28">
          <cell r="A28">
            <v>149</v>
          </cell>
          <cell r="B28" t="str">
            <v>전혜윤</v>
          </cell>
          <cell r="C28" t="str">
            <v>이화여대</v>
          </cell>
          <cell r="D28" t="str">
            <v>전자계산</v>
          </cell>
          <cell r="G28">
            <v>22</v>
          </cell>
          <cell r="H28" t="str">
            <v>032-867-2189</v>
          </cell>
          <cell r="I28" t="str">
            <v>017-327-2189</v>
          </cell>
          <cell r="J28">
            <v>160</v>
          </cell>
          <cell r="K28">
            <v>57</v>
          </cell>
          <cell r="L28">
            <v>90</v>
          </cell>
        </row>
        <row r="29">
          <cell r="A29">
            <v>143</v>
          </cell>
          <cell r="B29" t="str">
            <v>장진경</v>
          </cell>
          <cell r="C29" t="str">
            <v>이화여대</v>
          </cell>
          <cell r="D29" t="str">
            <v>정보디자인</v>
          </cell>
          <cell r="G29">
            <v>23</v>
          </cell>
          <cell r="H29" t="str">
            <v>02-839-4765</v>
          </cell>
          <cell r="I29" t="str">
            <v>016-230-4765</v>
          </cell>
          <cell r="J29">
            <v>161</v>
          </cell>
          <cell r="K29">
            <v>45</v>
          </cell>
          <cell r="L29">
            <v>90</v>
          </cell>
        </row>
        <row r="30">
          <cell r="A30">
            <v>74</v>
          </cell>
          <cell r="B30" t="str">
            <v>송연승</v>
          </cell>
          <cell r="C30" t="str">
            <v>중국] 북경대</v>
          </cell>
          <cell r="D30" t="str">
            <v>중문과</v>
          </cell>
          <cell r="G30">
            <v>24</v>
          </cell>
          <cell r="H30" t="str">
            <v>02-3431-9483</v>
          </cell>
          <cell r="J30">
            <v>163</v>
          </cell>
          <cell r="K30">
            <v>48</v>
          </cell>
          <cell r="L30">
            <v>90</v>
          </cell>
        </row>
        <row r="31">
          <cell r="A31">
            <v>66</v>
          </cell>
          <cell r="B31" t="str">
            <v>백소영</v>
          </cell>
          <cell r="C31" t="str">
            <v>고려대</v>
          </cell>
          <cell r="D31" t="str">
            <v>철학</v>
          </cell>
          <cell r="G31">
            <v>25</v>
          </cell>
          <cell r="H31" t="str">
            <v>02-479-2520</v>
          </cell>
          <cell r="I31" t="str">
            <v>017-206-0629</v>
          </cell>
          <cell r="J31">
            <v>154</v>
          </cell>
          <cell r="K31">
            <v>43</v>
          </cell>
          <cell r="L31">
            <v>90</v>
          </cell>
        </row>
        <row r="32">
          <cell r="A32">
            <v>14</v>
          </cell>
          <cell r="B32" t="str">
            <v>김미지</v>
          </cell>
          <cell r="C32" t="str">
            <v>고려대</v>
          </cell>
          <cell r="D32" t="str">
            <v>철학</v>
          </cell>
          <cell r="G32">
            <v>26</v>
          </cell>
          <cell r="H32" t="str">
            <v>0344-912-3070</v>
          </cell>
          <cell r="I32" t="str">
            <v>017-254-1977</v>
          </cell>
          <cell r="J32">
            <v>155</v>
          </cell>
          <cell r="K32">
            <v>47</v>
          </cell>
          <cell r="L32">
            <v>90</v>
          </cell>
          <cell r="M32" t="str">
            <v>추가될 가능</v>
          </cell>
        </row>
        <row r="33">
          <cell r="A33">
            <v>174</v>
          </cell>
          <cell r="B33" t="str">
            <v>최선경</v>
          </cell>
          <cell r="C33" t="str">
            <v>한양대</v>
          </cell>
          <cell r="D33" t="str">
            <v>컴퓨터</v>
          </cell>
          <cell r="G33">
            <v>27</v>
          </cell>
          <cell r="H33" t="str">
            <v>032-348-5103</v>
          </cell>
          <cell r="I33" t="str">
            <v>017-347-2611</v>
          </cell>
          <cell r="J33">
            <v>160</v>
          </cell>
          <cell r="K33">
            <v>46</v>
          </cell>
          <cell r="L33">
            <v>90</v>
          </cell>
        </row>
        <row r="34">
          <cell r="A34">
            <v>19</v>
          </cell>
          <cell r="B34" t="str">
            <v>김승영</v>
          </cell>
          <cell r="C34" t="str">
            <v>연세대</v>
          </cell>
          <cell r="D34" t="str">
            <v>행정</v>
          </cell>
          <cell r="G34">
            <v>28</v>
          </cell>
          <cell r="H34" t="str">
            <v>02-3272-5609</v>
          </cell>
          <cell r="I34" t="str">
            <v>017-238-5609</v>
          </cell>
          <cell r="J34">
            <v>164</v>
          </cell>
          <cell r="K34">
            <v>48</v>
          </cell>
          <cell r="L34">
            <v>90</v>
          </cell>
        </row>
        <row r="35">
          <cell r="A35">
            <v>56</v>
          </cell>
          <cell r="B35" t="str">
            <v>박윤아</v>
          </cell>
          <cell r="C35" t="str">
            <v>중앙대</v>
          </cell>
          <cell r="D35" t="str">
            <v>화공</v>
          </cell>
          <cell r="G35">
            <v>29</v>
          </cell>
          <cell r="H35" t="str">
            <v>017-205-4741</v>
          </cell>
          <cell r="I35" t="str">
            <v>017-205-4741</v>
          </cell>
          <cell r="J35">
            <v>157</v>
          </cell>
          <cell r="K35">
            <v>45</v>
          </cell>
          <cell r="L35">
            <v>90</v>
          </cell>
        </row>
        <row r="36">
          <cell r="A36">
            <v>25</v>
          </cell>
          <cell r="B36" t="str">
            <v>김유란</v>
          </cell>
          <cell r="C36" t="str">
            <v>연세대</v>
          </cell>
          <cell r="D36" t="str">
            <v>화학</v>
          </cell>
          <cell r="G36">
            <v>30</v>
          </cell>
          <cell r="H36" t="str">
            <v>02-394-9215</v>
          </cell>
          <cell r="I36" t="str">
            <v>016-215-9215</v>
          </cell>
          <cell r="J36">
            <v>168</v>
          </cell>
          <cell r="K36">
            <v>50</v>
          </cell>
          <cell r="L36">
            <v>95</v>
          </cell>
        </row>
        <row r="37">
          <cell r="A37">
            <v>188</v>
          </cell>
          <cell r="B37" t="str">
            <v>홍수진</v>
          </cell>
          <cell r="C37" t="str">
            <v>연세대</v>
          </cell>
          <cell r="D37" t="str">
            <v>화학</v>
          </cell>
          <cell r="E37" t="str">
            <v>포항공대</v>
          </cell>
          <cell r="F37" t="str">
            <v>환경공학</v>
          </cell>
          <cell r="G37">
            <v>31</v>
          </cell>
          <cell r="H37" t="str">
            <v>0562-279-8318</v>
          </cell>
          <cell r="I37" t="str">
            <v>017-293-0702</v>
          </cell>
          <cell r="J37">
            <v>165</v>
          </cell>
          <cell r="K37">
            <v>59</v>
          </cell>
          <cell r="L37">
            <v>95</v>
          </cell>
        </row>
        <row r="38">
          <cell r="A38">
            <v>81</v>
          </cell>
          <cell r="B38" t="str">
            <v>안덕준</v>
          </cell>
          <cell r="C38" t="str">
            <v>한양대</v>
          </cell>
          <cell r="D38" t="str">
            <v>건축공</v>
          </cell>
          <cell r="H38" t="str">
            <v>0344-905-2758</v>
          </cell>
          <cell r="I38" t="str">
            <v>011-765-2758</v>
          </cell>
          <cell r="J38">
            <v>175</v>
          </cell>
          <cell r="K38">
            <v>65</v>
          </cell>
          <cell r="L38">
            <v>100</v>
          </cell>
        </row>
        <row r="39">
          <cell r="A39">
            <v>65</v>
          </cell>
          <cell r="B39" t="str">
            <v>백성원</v>
          </cell>
          <cell r="C39" t="str">
            <v>고려대</v>
          </cell>
          <cell r="D39" t="str">
            <v>건축공</v>
          </cell>
          <cell r="H39" t="str">
            <v>02-658-0335</v>
          </cell>
          <cell r="I39" t="str">
            <v>012-1891-8859</v>
          </cell>
          <cell r="J39">
            <v>173</v>
          </cell>
          <cell r="K39">
            <v>65</v>
          </cell>
          <cell r="L39">
            <v>100</v>
          </cell>
        </row>
        <row r="40">
          <cell r="A40">
            <v>165</v>
          </cell>
          <cell r="B40" t="str">
            <v>조준성</v>
          </cell>
          <cell r="C40" t="str">
            <v>연세대</v>
          </cell>
          <cell r="D40" t="str">
            <v>건축공</v>
          </cell>
          <cell r="H40" t="str">
            <v>02-685-1381</v>
          </cell>
          <cell r="I40" t="str">
            <v>011-356-1381</v>
          </cell>
          <cell r="J40">
            <v>180</v>
          </cell>
          <cell r="K40">
            <v>65</v>
          </cell>
          <cell r="L40">
            <v>105</v>
          </cell>
        </row>
        <row r="41">
          <cell r="A41">
            <v>18</v>
          </cell>
          <cell r="B41" t="str">
            <v>김세창</v>
          </cell>
          <cell r="C41" t="str">
            <v>한양대</v>
          </cell>
          <cell r="D41" t="str">
            <v>건축공</v>
          </cell>
          <cell r="H41" t="str">
            <v>02-941-7690</v>
          </cell>
          <cell r="I41" t="str">
            <v>016-730-7690</v>
          </cell>
          <cell r="J41">
            <v>168</v>
          </cell>
          <cell r="K41">
            <v>60</v>
          </cell>
          <cell r="L41">
            <v>95</v>
          </cell>
        </row>
        <row r="42">
          <cell r="A42">
            <v>53</v>
          </cell>
          <cell r="B42" t="str">
            <v>박영서</v>
          </cell>
          <cell r="C42" t="str">
            <v>한양대</v>
          </cell>
          <cell r="D42" t="str">
            <v>건축공</v>
          </cell>
          <cell r="H42" t="str">
            <v>032-463-1271</v>
          </cell>
          <cell r="I42" t="str">
            <v>019-361-9294</v>
          </cell>
          <cell r="J42">
            <v>178</v>
          </cell>
          <cell r="K42">
            <v>69</v>
          </cell>
          <cell r="L42">
            <v>105</v>
          </cell>
        </row>
        <row r="43">
          <cell r="A43">
            <v>156</v>
          </cell>
          <cell r="B43" t="str">
            <v>정철인</v>
          </cell>
          <cell r="C43" t="str">
            <v>한양대</v>
          </cell>
          <cell r="D43" t="str">
            <v>건축공</v>
          </cell>
          <cell r="H43" t="str">
            <v>02-2275-1066</v>
          </cell>
          <cell r="I43" t="str">
            <v>011-9003-1066</v>
          </cell>
          <cell r="J43">
            <v>178</v>
          </cell>
          <cell r="K43">
            <v>68</v>
          </cell>
          <cell r="L43">
            <v>105</v>
          </cell>
        </row>
        <row r="44">
          <cell r="A44">
            <v>145</v>
          </cell>
          <cell r="B44" t="str">
            <v>전상원</v>
          </cell>
          <cell r="C44" t="str">
            <v>건국대</v>
          </cell>
          <cell r="D44" t="str">
            <v>경영</v>
          </cell>
          <cell r="H44" t="str">
            <v>0342-714-1026</v>
          </cell>
          <cell r="I44" t="str">
            <v>017-286-2792</v>
          </cell>
          <cell r="J44">
            <v>176</v>
          </cell>
          <cell r="K44">
            <v>74</v>
          </cell>
          <cell r="L44">
            <v>105</v>
          </cell>
        </row>
        <row r="45">
          <cell r="A45">
            <v>16</v>
          </cell>
          <cell r="B45" t="str">
            <v>김성중</v>
          </cell>
          <cell r="C45" t="str">
            <v>고려대</v>
          </cell>
          <cell r="D45" t="str">
            <v>경영</v>
          </cell>
          <cell r="H45" t="str">
            <v>02-763-2150</v>
          </cell>
          <cell r="I45" t="str">
            <v>016-599-2150</v>
          </cell>
          <cell r="J45">
            <v>173</v>
          </cell>
          <cell r="K45">
            <v>68</v>
          </cell>
          <cell r="L45">
            <v>100</v>
          </cell>
        </row>
        <row r="46">
          <cell r="A46">
            <v>140</v>
          </cell>
          <cell r="B46" t="str">
            <v>장경필</v>
          </cell>
          <cell r="C46" t="str">
            <v>고려대</v>
          </cell>
          <cell r="D46" t="str">
            <v>경영</v>
          </cell>
          <cell r="H46" t="str">
            <v>02-2612-3920</v>
          </cell>
          <cell r="I46" t="str">
            <v>019-254-3920</v>
          </cell>
          <cell r="J46">
            <v>178</v>
          </cell>
          <cell r="K46">
            <v>76</v>
          </cell>
          <cell r="L46">
            <v>105</v>
          </cell>
        </row>
        <row r="47">
          <cell r="A47">
            <v>62</v>
          </cell>
          <cell r="B47" t="str">
            <v>배성필</v>
          </cell>
          <cell r="C47" t="str">
            <v>고려대</v>
          </cell>
          <cell r="D47" t="str">
            <v>경영</v>
          </cell>
          <cell r="H47" t="str">
            <v>0334-962-8152</v>
          </cell>
          <cell r="I47" t="str">
            <v>019-296-8152</v>
          </cell>
          <cell r="J47">
            <v>186</v>
          </cell>
          <cell r="K47">
            <v>66</v>
          </cell>
          <cell r="L47">
            <v>110</v>
          </cell>
        </row>
        <row r="48">
          <cell r="A48">
            <v>129</v>
          </cell>
          <cell r="B48" t="str">
            <v>이정훈</v>
          </cell>
          <cell r="C48" t="str">
            <v>부산대</v>
          </cell>
          <cell r="D48" t="str">
            <v>경영</v>
          </cell>
          <cell r="E48" t="str">
            <v>부산대</v>
          </cell>
          <cell r="F48" t="str">
            <v>경영</v>
          </cell>
          <cell r="H48" t="str">
            <v>051-754-2281</v>
          </cell>
          <cell r="I48" t="str">
            <v>016-852-2281</v>
          </cell>
          <cell r="J48">
            <v>175</v>
          </cell>
          <cell r="K48">
            <v>60</v>
          </cell>
          <cell r="L48">
            <v>100</v>
          </cell>
        </row>
        <row r="49">
          <cell r="A49">
            <v>5</v>
          </cell>
          <cell r="B49" t="str">
            <v>강성철</v>
          </cell>
          <cell r="C49" t="str">
            <v>서울대</v>
          </cell>
          <cell r="D49" t="str">
            <v>경영</v>
          </cell>
          <cell r="H49" t="str">
            <v>032-435-5986</v>
          </cell>
          <cell r="J49">
            <v>170</v>
          </cell>
          <cell r="K49">
            <v>74</v>
          </cell>
          <cell r="L49">
            <v>100</v>
          </cell>
        </row>
        <row r="50">
          <cell r="A50">
            <v>86</v>
          </cell>
          <cell r="B50" t="str">
            <v>양정모</v>
          </cell>
          <cell r="C50" t="str">
            <v>연세대</v>
          </cell>
          <cell r="D50" t="str">
            <v>경영</v>
          </cell>
          <cell r="H50" t="str">
            <v>0342-748-0799</v>
          </cell>
          <cell r="I50" t="str">
            <v>019-317-0799</v>
          </cell>
          <cell r="J50">
            <v>170</v>
          </cell>
          <cell r="K50">
            <v>62</v>
          </cell>
          <cell r="L50">
            <v>95</v>
          </cell>
        </row>
        <row r="51">
          <cell r="A51">
            <v>22</v>
          </cell>
          <cell r="B51" t="str">
            <v>김연수</v>
          </cell>
          <cell r="C51" t="str">
            <v>연세대</v>
          </cell>
          <cell r="D51" t="str">
            <v>경영</v>
          </cell>
          <cell r="E51" t="str">
            <v>연세대</v>
          </cell>
          <cell r="F51" t="str">
            <v>경영</v>
          </cell>
          <cell r="H51" t="str">
            <v>0342-716-4796</v>
          </cell>
          <cell r="I51" t="str">
            <v>011-247-4796</v>
          </cell>
          <cell r="J51">
            <v>173</v>
          </cell>
          <cell r="K51">
            <v>76</v>
          </cell>
          <cell r="L51">
            <v>100</v>
          </cell>
        </row>
        <row r="52">
          <cell r="A52">
            <v>33</v>
          </cell>
          <cell r="B52" t="str">
            <v>김진욱</v>
          </cell>
          <cell r="C52" t="str">
            <v>연세대</v>
          </cell>
          <cell r="D52" t="str">
            <v>경영</v>
          </cell>
          <cell r="E52" t="str">
            <v>연세대</v>
          </cell>
          <cell r="F52" t="str">
            <v>경영</v>
          </cell>
          <cell r="H52" t="str">
            <v>514-7471</v>
          </cell>
          <cell r="I52" t="str">
            <v>011-738-2280</v>
          </cell>
          <cell r="J52">
            <v>174</v>
          </cell>
          <cell r="K52">
            <v>61</v>
          </cell>
          <cell r="L52">
            <v>100</v>
          </cell>
        </row>
        <row r="53">
          <cell r="A53">
            <v>45</v>
          </cell>
          <cell r="B53" t="str">
            <v>박건욱</v>
          </cell>
          <cell r="C53" t="str">
            <v>연세대</v>
          </cell>
          <cell r="D53" t="str">
            <v>경영</v>
          </cell>
          <cell r="H53" t="str">
            <v>02-3141-4284</v>
          </cell>
          <cell r="I53" t="str">
            <v>016-334-4284</v>
          </cell>
          <cell r="J53">
            <v>174</v>
          </cell>
          <cell r="K53">
            <v>77</v>
          </cell>
          <cell r="L53">
            <v>100</v>
          </cell>
        </row>
        <row r="54">
          <cell r="A54">
            <v>60</v>
          </cell>
          <cell r="B54" t="str">
            <v>박창현</v>
          </cell>
          <cell r="C54" t="str">
            <v>연세대</v>
          </cell>
          <cell r="D54" t="str">
            <v>경영</v>
          </cell>
          <cell r="H54" t="str">
            <v>02-359-3992</v>
          </cell>
          <cell r="I54" t="str">
            <v>016-711-6994</v>
          </cell>
          <cell r="J54">
            <v>173</v>
          </cell>
          <cell r="K54">
            <v>68</v>
          </cell>
          <cell r="L54">
            <v>100</v>
          </cell>
        </row>
        <row r="55">
          <cell r="A55">
            <v>107</v>
          </cell>
          <cell r="B55" t="str">
            <v>윤종문</v>
          </cell>
          <cell r="C55" t="str">
            <v>연세대</v>
          </cell>
          <cell r="D55" t="str">
            <v>경영</v>
          </cell>
          <cell r="E55" t="str">
            <v>연세대</v>
          </cell>
          <cell r="H55" t="str">
            <v>0343-382-1677</v>
          </cell>
          <cell r="I55" t="str">
            <v>011-259-1677</v>
          </cell>
          <cell r="J55">
            <v>173</v>
          </cell>
          <cell r="K55">
            <v>88</v>
          </cell>
          <cell r="L55">
            <v>100</v>
          </cell>
        </row>
        <row r="56">
          <cell r="A56">
            <v>187</v>
          </cell>
          <cell r="B56" t="str">
            <v>홍관석</v>
          </cell>
          <cell r="C56" t="str">
            <v>연세대</v>
          </cell>
          <cell r="D56" t="str">
            <v>경영</v>
          </cell>
          <cell r="H56" t="str">
            <v>02-537-2871</v>
          </cell>
          <cell r="I56" t="str">
            <v>019-350-2871</v>
          </cell>
          <cell r="J56">
            <v>173</v>
          </cell>
          <cell r="K56">
            <v>70</v>
          </cell>
          <cell r="L56">
            <v>100</v>
          </cell>
        </row>
        <row r="57">
          <cell r="A57">
            <v>112</v>
          </cell>
          <cell r="B57" t="str">
            <v>이광호</v>
          </cell>
          <cell r="C57" t="str">
            <v>연세대</v>
          </cell>
          <cell r="D57" t="str">
            <v>경영</v>
          </cell>
          <cell r="E57" t="str">
            <v>연세대</v>
          </cell>
          <cell r="F57" t="str">
            <v>경영</v>
          </cell>
          <cell r="H57" t="str">
            <v>0343-452-4271</v>
          </cell>
          <cell r="I57" t="str">
            <v>017-744-1312</v>
          </cell>
          <cell r="J57">
            <v>177</v>
          </cell>
          <cell r="K57">
            <v>72</v>
          </cell>
          <cell r="L57">
            <v>105</v>
          </cell>
        </row>
        <row r="58">
          <cell r="A58">
            <v>178</v>
          </cell>
          <cell r="B58" t="str">
            <v>최윤창</v>
          </cell>
          <cell r="C58" t="str">
            <v>연세대</v>
          </cell>
          <cell r="D58" t="str">
            <v>경영</v>
          </cell>
          <cell r="I58" t="str">
            <v>011-9610-3721</v>
          </cell>
          <cell r="J58">
            <v>178</v>
          </cell>
          <cell r="K58">
            <v>67</v>
          </cell>
          <cell r="L58">
            <v>105</v>
          </cell>
        </row>
        <row r="59">
          <cell r="A59">
            <v>2</v>
          </cell>
          <cell r="B59" t="str">
            <v>김재훈</v>
          </cell>
          <cell r="C59" t="str">
            <v>연세대</v>
          </cell>
          <cell r="D59" t="str">
            <v>경영</v>
          </cell>
          <cell r="H59" t="str">
            <v>0371-764-0415</v>
          </cell>
          <cell r="I59" t="str">
            <v>011-229-8005</v>
          </cell>
          <cell r="J59">
            <v>180</v>
          </cell>
          <cell r="K59">
            <v>78</v>
          </cell>
          <cell r="L59">
            <v>105</v>
          </cell>
          <cell r="M59" t="str">
            <v>추가자</v>
          </cell>
        </row>
        <row r="60">
          <cell r="A60">
            <v>84</v>
          </cell>
          <cell r="B60" t="str">
            <v>양대규</v>
          </cell>
          <cell r="C60" t="str">
            <v>연세대</v>
          </cell>
          <cell r="D60" t="str">
            <v>경영</v>
          </cell>
          <cell r="H60" t="str">
            <v>051-893-3457</v>
          </cell>
          <cell r="I60" t="str">
            <v>011-248-1794</v>
          </cell>
          <cell r="J60">
            <v>186</v>
          </cell>
          <cell r="K60">
            <v>85</v>
          </cell>
          <cell r="L60">
            <v>110</v>
          </cell>
        </row>
        <row r="61">
          <cell r="A61">
            <v>87</v>
          </cell>
          <cell r="B61" t="str">
            <v>양흥규</v>
          </cell>
          <cell r="C61" t="str">
            <v>연세대</v>
          </cell>
          <cell r="D61" t="str">
            <v>경영</v>
          </cell>
          <cell r="H61" t="str">
            <v>0371-766-4524</v>
          </cell>
          <cell r="I61" t="str">
            <v>017-503-5845</v>
          </cell>
          <cell r="J61">
            <v>183</v>
          </cell>
          <cell r="K61">
            <v>88</v>
          </cell>
          <cell r="L61">
            <v>110</v>
          </cell>
        </row>
        <row r="62">
          <cell r="A62">
            <v>6</v>
          </cell>
          <cell r="B62" t="str">
            <v>정성진</v>
          </cell>
          <cell r="C62" t="str">
            <v>고려대</v>
          </cell>
          <cell r="D62" t="str">
            <v>경영</v>
          </cell>
          <cell r="I62" t="str">
            <v>011-326-2624</v>
          </cell>
          <cell r="J62">
            <v>170</v>
          </cell>
          <cell r="K62">
            <v>74</v>
          </cell>
          <cell r="L62">
            <v>95</v>
          </cell>
          <cell r="M62" t="str">
            <v>추가자</v>
          </cell>
        </row>
        <row r="63">
          <cell r="A63">
            <v>58</v>
          </cell>
          <cell r="B63" t="str">
            <v>박재혁</v>
          </cell>
          <cell r="C63" t="str">
            <v>고려대(분교)</v>
          </cell>
          <cell r="D63" t="str">
            <v>경영</v>
          </cell>
          <cell r="H63" t="str">
            <v>051-701-9190</v>
          </cell>
          <cell r="I63" t="str">
            <v>016-561-9091</v>
          </cell>
          <cell r="J63">
            <v>181</v>
          </cell>
          <cell r="K63">
            <v>70</v>
          </cell>
          <cell r="L63">
            <v>110</v>
          </cell>
        </row>
        <row r="64">
          <cell r="A64">
            <v>91</v>
          </cell>
          <cell r="B64" t="str">
            <v>오영우</v>
          </cell>
          <cell r="C64" t="str">
            <v>경희대</v>
          </cell>
          <cell r="D64" t="str">
            <v>경제</v>
          </cell>
          <cell r="H64" t="str">
            <v>0331-241-6962</v>
          </cell>
          <cell r="I64" t="str">
            <v>017-342-6962</v>
          </cell>
          <cell r="J64">
            <v>176</v>
          </cell>
          <cell r="K64">
            <v>69</v>
          </cell>
          <cell r="L64">
            <v>105</v>
          </cell>
        </row>
        <row r="65">
          <cell r="A65">
            <v>16</v>
          </cell>
          <cell r="B65" t="str">
            <v>염동성</v>
          </cell>
          <cell r="C65" t="str">
            <v>경희대</v>
          </cell>
          <cell r="D65" t="str">
            <v>경제</v>
          </cell>
          <cell r="H65" t="str">
            <v>02-584-7997</v>
          </cell>
          <cell r="I65" t="str">
            <v>019-211-5499</v>
          </cell>
          <cell r="M65" t="str">
            <v>추가될 가능</v>
          </cell>
        </row>
        <row r="66">
          <cell r="A66">
            <v>47</v>
          </cell>
          <cell r="B66" t="str">
            <v>박광수</v>
          </cell>
          <cell r="C66" t="str">
            <v>성균관대</v>
          </cell>
          <cell r="D66" t="str">
            <v>경제</v>
          </cell>
          <cell r="H66" t="str">
            <v>02-2637-6600</v>
          </cell>
          <cell r="I66" t="str">
            <v>017-420-2298</v>
          </cell>
          <cell r="J66">
            <v>172</v>
          </cell>
          <cell r="K66">
            <v>62</v>
          </cell>
          <cell r="L66">
            <v>100</v>
          </cell>
        </row>
        <row r="67">
          <cell r="A67">
            <v>20</v>
          </cell>
          <cell r="B67" t="str">
            <v>김승욱</v>
          </cell>
          <cell r="C67" t="str">
            <v>연세대</v>
          </cell>
          <cell r="D67" t="str">
            <v>경제</v>
          </cell>
          <cell r="H67" t="str">
            <v>02-778-2460</v>
          </cell>
          <cell r="I67" t="str">
            <v>017-287-2460</v>
          </cell>
          <cell r="J67">
            <v>175</v>
          </cell>
          <cell r="K67">
            <v>56</v>
          </cell>
          <cell r="L67">
            <v>100</v>
          </cell>
        </row>
        <row r="68">
          <cell r="A68">
            <v>57</v>
          </cell>
          <cell r="B68" t="str">
            <v>박재병</v>
          </cell>
          <cell r="C68" t="str">
            <v>연세대</v>
          </cell>
          <cell r="D68" t="str">
            <v>경제</v>
          </cell>
          <cell r="H68" t="str">
            <v>02-3481-1378</v>
          </cell>
          <cell r="I68" t="str">
            <v>011-9754-3470</v>
          </cell>
          <cell r="J68">
            <v>182</v>
          </cell>
          <cell r="K68">
            <v>65</v>
          </cell>
          <cell r="L68">
            <v>110</v>
          </cell>
        </row>
        <row r="69">
          <cell r="A69">
            <v>136</v>
          </cell>
          <cell r="B69" t="str">
            <v>이형주</v>
          </cell>
          <cell r="C69" t="str">
            <v>인하대</v>
          </cell>
          <cell r="D69" t="str">
            <v>고분자</v>
          </cell>
          <cell r="E69" t="str">
            <v>인하대</v>
          </cell>
          <cell r="F69" t="str">
            <v>고분자</v>
          </cell>
          <cell r="H69" t="str">
            <v>032-860-7484</v>
          </cell>
          <cell r="I69" t="str">
            <v>017-207-6013</v>
          </cell>
          <cell r="J69">
            <v>168</v>
          </cell>
          <cell r="K69">
            <v>68</v>
          </cell>
          <cell r="L69">
            <v>95</v>
          </cell>
        </row>
        <row r="70">
          <cell r="A70">
            <v>119</v>
          </cell>
          <cell r="B70" t="str">
            <v>이송길</v>
          </cell>
          <cell r="C70" t="str">
            <v>한양대</v>
          </cell>
          <cell r="D70" t="str">
            <v>공업화학</v>
          </cell>
          <cell r="E70" t="str">
            <v>서울대</v>
          </cell>
          <cell r="F70" t="str">
            <v>화학</v>
          </cell>
          <cell r="H70" t="str">
            <v>02-2607-7918</v>
          </cell>
          <cell r="I70" t="str">
            <v>-</v>
          </cell>
          <cell r="J70">
            <v>166</v>
          </cell>
          <cell r="K70">
            <v>58</v>
          </cell>
          <cell r="L70">
            <v>95</v>
          </cell>
        </row>
        <row r="71">
          <cell r="A71">
            <v>130</v>
          </cell>
          <cell r="B71" t="str">
            <v>이준석</v>
          </cell>
          <cell r="C71" t="str">
            <v>한양대</v>
          </cell>
          <cell r="D71" t="str">
            <v>공업화학</v>
          </cell>
          <cell r="E71" t="str">
            <v>한양대</v>
          </cell>
          <cell r="F71" t="str">
            <v>공업화학</v>
          </cell>
          <cell r="H71" t="str">
            <v>02-2290-0526</v>
          </cell>
          <cell r="I71" t="str">
            <v>016-284-6903</v>
          </cell>
          <cell r="J71">
            <v>176</v>
          </cell>
          <cell r="K71">
            <v>76</v>
          </cell>
          <cell r="L71">
            <v>105</v>
          </cell>
        </row>
        <row r="72">
          <cell r="A72">
            <v>152</v>
          </cell>
          <cell r="B72" t="str">
            <v>정석균</v>
          </cell>
          <cell r="C72" t="str">
            <v>한양대</v>
          </cell>
          <cell r="D72" t="str">
            <v>공업화학</v>
          </cell>
          <cell r="E72" t="str">
            <v>한양대</v>
          </cell>
          <cell r="F72" t="str">
            <v>공업화학</v>
          </cell>
          <cell r="H72" t="str">
            <v>0344-973-6326</v>
          </cell>
          <cell r="I72" t="str">
            <v>016-371-5503</v>
          </cell>
          <cell r="J72">
            <v>178</v>
          </cell>
          <cell r="K72">
            <v>80</v>
          </cell>
          <cell r="L72">
            <v>105</v>
          </cell>
        </row>
        <row r="73">
          <cell r="A73">
            <v>123</v>
          </cell>
          <cell r="B73" t="str">
            <v>이용환</v>
          </cell>
          <cell r="C73" t="str">
            <v>서울대</v>
          </cell>
          <cell r="D73" t="str">
            <v>국사</v>
          </cell>
          <cell r="H73" t="str">
            <v>02-872-8749</v>
          </cell>
          <cell r="I73" t="str">
            <v>011-9009-0506</v>
          </cell>
          <cell r="J73">
            <v>172</v>
          </cell>
          <cell r="K73">
            <v>75</v>
          </cell>
          <cell r="L73">
            <v>105</v>
          </cell>
        </row>
        <row r="74">
          <cell r="A74">
            <v>4</v>
          </cell>
          <cell r="B74" t="str">
            <v>이병득</v>
          </cell>
          <cell r="C74" t="str">
            <v>서울대</v>
          </cell>
          <cell r="D74" t="str">
            <v>국사</v>
          </cell>
          <cell r="H74" t="str">
            <v>(02)2602-8732</v>
          </cell>
          <cell r="I74" t="str">
            <v>015-7707-8732</v>
          </cell>
          <cell r="J74">
            <v>185</v>
          </cell>
          <cell r="K74">
            <v>97</v>
          </cell>
          <cell r="L74">
            <v>110</v>
          </cell>
          <cell r="M74" t="str">
            <v>추가자</v>
          </cell>
        </row>
        <row r="75">
          <cell r="A75">
            <v>101</v>
          </cell>
          <cell r="B75" t="str">
            <v>유종순</v>
          </cell>
          <cell r="C75" t="str">
            <v>고려대</v>
          </cell>
          <cell r="D75" t="str">
            <v>국어교육</v>
          </cell>
          <cell r="H75" t="str">
            <v>0351-875-8201</v>
          </cell>
          <cell r="I75" t="str">
            <v>019-389-2532</v>
          </cell>
          <cell r="J75">
            <v>170</v>
          </cell>
          <cell r="K75">
            <v>62</v>
          </cell>
          <cell r="L75">
            <v>95</v>
          </cell>
        </row>
        <row r="76">
          <cell r="A76">
            <v>111</v>
          </cell>
          <cell r="B76" t="str">
            <v>이관훈</v>
          </cell>
          <cell r="C76" t="str">
            <v>고려대</v>
          </cell>
          <cell r="D76" t="str">
            <v>금속공</v>
          </cell>
          <cell r="H76" t="str">
            <v>0343-394-0708</v>
          </cell>
          <cell r="I76" t="str">
            <v>017-280-6433</v>
          </cell>
          <cell r="J76">
            <v>180</v>
          </cell>
          <cell r="K76">
            <v>90</v>
          </cell>
          <cell r="L76">
            <v>105</v>
          </cell>
        </row>
        <row r="77">
          <cell r="A77">
            <v>133</v>
          </cell>
          <cell r="B77" t="str">
            <v>이충열</v>
          </cell>
          <cell r="C77" t="str">
            <v>성균관대</v>
          </cell>
          <cell r="D77" t="str">
            <v>금속공</v>
          </cell>
          <cell r="E77" t="str">
            <v>포항공대</v>
          </cell>
          <cell r="F77" t="str">
            <v>재료금속공학</v>
          </cell>
          <cell r="H77" t="str">
            <v>0562-279-2810</v>
          </cell>
          <cell r="I77" t="str">
            <v>017-577-2060</v>
          </cell>
          <cell r="J77">
            <v>179</v>
          </cell>
          <cell r="K77">
            <v>70</v>
          </cell>
          <cell r="L77">
            <v>105</v>
          </cell>
        </row>
        <row r="78">
          <cell r="A78">
            <v>118</v>
          </cell>
          <cell r="B78" t="str">
            <v>이성민</v>
          </cell>
          <cell r="C78" t="str">
            <v>연세대</v>
          </cell>
          <cell r="D78" t="str">
            <v>금속공</v>
          </cell>
          <cell r="H78" t="str">
            <v>02-882-4108</v>
          </cell>
          <cell r="I78" t="str">
            <v>011-440-4108</v>
          </cell>
          <cell r="J78">
            <v>173</v>
          </cell>
          <cell r="K78">
            <v>56</v>
          </cell>
          <cell r="L78">
            <v>100</v>
          </cell>
        </row>
        <row r="79">
          <cell r="A79">
            <v>94</v>
          </cell>
          <cell r="B79" t="str">
            <v>오창혁</v>
          </cell>
          <cell r="C79" t="str">
            <v>한양대</v>
          </cell>
          <cell r="D79" t="str">
            <v>금속재료</v>
          </cell>
          <cell r="E79" t="str">
            <v>포항공대</v>
          </cell>
          <cell r="F79" t="str">
            <v>금속공학</v>
          </cell>
          <cell r="H79" t="str">
            <v>0561-749-3508</v>
          </cell>
          <cell r="I79" t="str">
            <v>017-803-3508</v>
          </cell>
          <cell r="J79">
            <v>177</v>
          </cell>
          <cell r="K79">
            <v>76</v>
          </cell>
          <cell r="L79">
            <v>105</v>
          </cell>
        </row>
        <row r="80">
          <cell r="A80">
            <v>21</v>
          </cell>
          <cell r="B80" t="str">
            <v>김양근</v>
          </cell>
          <cell r="C80" t="str">
            <v>고려대</v>
          </cell>
          <cell r="D80" t="str">
            <v>기계</v>
          </cell>
          <cell r="H80" t="str">
            <v>02-313-5918</v>
          </cell>
          <cell r="I80" t="str">
            <v>017-747-5918</v>
          </cell>
          <cell r="J80">
            <v>174</v>
          </cell>
          <cell r="K80">
            <v>60</v>
          </cell>
          <cell r="L80">
            <v>100</v>
          </cell>
        </row>
        <row r="81">
          <cell r="A81">
            <v>70</v>
          </cell>
          <cell r="B81" t="str">
            <v>서은국</v>
          </cell>
          <cell r="C81" t="str">
            <v>금오공대</v>
          </cell>
          <cell r="D81" t="str">
            <v>기계</v>
          </cell>
          <cell r="H81" t="str">
            <v>(0546)461-2596</v>
          </cell>
          <cell r="I81" t="str">
            <v>019-501-2596</v>
          </cell>
          <cell r="J81">
            <v>168</v>
          </cell>
          <cell r="K81">
            <v>65</v>
          </cell>
          <cell r="L81">
            <v>95</v>
          </cell>
        </row>
        <row r="82">
          <cell r="A82">
            <v>35</v>
          </cell>
          <cell r="B82" t="str">
            <v>김현경</v>
          </cell>
          <cell r="C82" t="str">
            <v>단국대</v>
          </cell>
          <cell r="D82" t="str">
            <v>기계</v>
          </cell>
          <cell r="E82" t="str">
            <v>중앙대</v>
          </cell>
          <cell r="F82" t="str">
            <v>기계</v>
          </cell>
          <cell r="H82" t="str">
            <v>02-521-2103</v>
          </cell>
          <cell r="I82" t="str">
            <v>017-657-2103</v>
          </cell>
          <cell r="J82">
            <v>171</v>
          </cell>
          <cell r="K82">
            <v>62</v>
          </cell>
          <cell r="L82">
            <v>100</v>
          </cell>
        </row>
        <row r="83">
          <cell r="A83">
            <v>151</v>
          </cell>
          <cell r="B83" t="str">
            <v>정상훈</v>
          </cell>
          <cell r="C83" t="str">
            <v>부산대</v>
          </cell>
          <cell r="D83" t="str">
            <v>기계</v>
          </cell>
          <cell r="H83" t="str">
            <v>051-623-6520</v>
          </cell>
          <cell r="I83" t="str">
            <v>018-214-6520</v>
          </cell>
          <cell r="J83">
            <v>174</v>
          </cell>
          <cell r="K83">
            <v>72</v>
          </cell>
          <cell r="L83">
            <v>100</v>
          </cell>
        </row>
        <row r="84">
          <cell r="A84">
            <v>124</v>
          </cell>
          <cell r="B84" t="str">
            <v>이원용</v>
          </cell>
          <cell r="C84" t="str">
            <v>부산대</v>
          </cell>
          <cell r="D84" t="str">
            <v>기계</v>
          </cell>
          <cell r="H84" t="str">
            <v>051-524-8744</v>
          </cell>
          <cell r="I84" t="str">
            <v>011-869-8744</v>
          </cell>
          <cell r="J84">
            <v>175</v>
          </cell>
          <cell r="K84">
            <v>82</v>
          </cell>
          <cell r="L84">
            <v>105</v>
          </cell>
        </row>
        <row r="85">
          <cell r="A85">
            <v>166</v>
          </cell>
          <cell r="B85" t="str">
            <v>조현우</v>
          </cell>
          <cell r="C85" t="str">
            <v>서강대</v>
          </cell>
          <cell r="D85" t="str">
            <v>기계</v>
          </cell>
          <cell r="H85" t="str">
            <v>02-557-5539</v>
          </cell>
          <cell r="I85" t="str">
            <v>016-706-5036</v>
          </cell>
          <cell r="J85">
            <v>175</v>
          </cell>
          <cell r="K85">
            <v>60</v>
          </cell>
          <cell r="L85">
            <v>100</v>
          </cell>
        </row>
        <row r="86">
          <cell r="A86">
            <v>150</v>
          </cell>
          <cell r="B86" t="str">
            <v>정병모</v>
          </cell>
          <cell r="C86" t="str">
            <v>성균관대</v>
          </cell>
          <cell r="D86" t="str">
            <v>기계</v>
          </cell>
          <cell r="H86" t="str">
            <v>02-833-0843</v>
          </cell>
          <cell r="I86" t="str">
            <v>017-218-0843</v>
          </cell>
          <cell r="J86">
            <v>178</v>
          </cell>
          <cell r="K86">
            <v>83</v>
          </cell>
          <cell r="L86">
            <v>105</v>
          </cell>
        </row>
        <row r="87">
          <cell r="A87">
            <v>159</v>
          </cell>
          <cell r="B87" t="str">
            <v>조낙근</v>
          </cell>
          <cell r="C87" t="str">
            <v>연세대</v>
          </cell>
          <cell r="D87" t="str">
            <v>기계</v>
          </cell>
          <cell r="H87" t="str">
            <v>032-471-1622</v>
          </cell>
          <cell r="I87" t="str">
            <v>012-1156-1622</v>
          </cell>
          <cell r="J87">
            <v>163</v>
          </cell>
          <cell r="K87">
            <v>57</v>
          </cell>
          <cell r="L87">
            <v>90</v>
          </cell>
        </row>
        <row r="88">
          <cell r="A88">
            <v>134</v>
          </cell>
          <cell r="B88" t="str">
            <v>이현주</v>
          </cell>
          <cell r="C88" t="str">
            <v>연세대</v>
          </cell>
          <cell r="D88" t="str">
            <v>기계</v>
          </cell>
          <cell r="E88" t="str">
            <v>연세대</v>
          </cell>
          <cell r="F88" t="str">
            <v>기계</v>
          </cell>
          <cell r="H88" t="str">
            <v>02-361-4811</v>
          </cell>
          <cell r="I88" t="str">
            <v>012-1839-1821</v>
          </cell>
          <cell r="J88">
            <v>170</v>
          </cell>
          <cell r="K88">
            <v>61</v>
          </cell>
          <cell r="L88">
            <v>95</v>
          </cell>
        </row>
        <row r="89">
          <cell r="A89">
            <v>162</v>
          </cell>
          <cell r="B89" t="str">
            <v>조아라</v>
          </cell>
          <cell r="C89" t="str">
            <v>연세대</v>
          </cell>
          <cell r="D89" t="str">
            <v>기계</v>
          </cell>
          <cell r="H89" t="str">
            <v>02-3463-4960</v>
          </cell>
          <cell r="I89" t="str">
            <v>017-693-7029</v>
          </cell>
          <cell r="J89">
            <v>175</v>
          </cell>
          <cell r="K89">
            <v>77</v>
          </cell>
          <cell r="L89">
            <v>100</v>
          </cell>
        </row>
        <row r="90">
          <cell r="A90">
            <v>182</v>
          </cell>
          <cell r="B90" t="str">
            <v>한동우</v>
          </cell>
          <cell r="C90" t="str">
            <v>영남대</v>
          </cell>
          <cell r="D90" t="str">
            <v>기계</v>
          </cell>
          <cell r="H90" t="str">
            <v>053-781-3741</v>
          </cell>
          <cell r="I90" t="str">
            <v>011-9595-3226</v>
          </cell>
          <cell r="J90">
            <v>173</v>
          </cell>
          <cell r="K90">
            <v>65</v>
          </cell>
          <cell r="L90">
            <v>100</v>
          </cell>
        </row>
        <row r="91">
          <cell r="A91">
            <v>96</v>
          </cell>
          <cell r="B91" t="str">
            <v>왕대성</v>
          </cell>
          <cell r="C91" t="str">
            <v>인하대</v>
          </cell>
          <cell r="D91" t="str">
            <v>기계</v>
          </cell>
          <cell r="H91" t="str">
            <v>032-612-1777</v>
          </cell>
          <cell r="I91" t="str">
            <v>015-8324-2438</v>
          </cell>
          <cell r="J91">
            <v>178</v>
          </cell>
          <cell r="K91">
            <v>62</v>
          </cell>
          <cell r="L91">
            <v>105</v>
          </cell>
        </row>
        <row r="92">
          <cell r="A92">
            <v>46</v>
          </cell>
          <cell r="B92" t="str">
            <v>박경수</v>
          </cell>
          <cell r="C92" t="str">
            <v>한양대</v>
          </cell>
          <cell r="D92" t="str">
            <v>기계</v>
          </cell>
          <cell r="H92" t="str">
            <v>02-435-7326</v>
          </cell>
          <cell r="I92" t="str">
            <v>016-299-7326</v>
          </cell>
          <cell r="J92">
            <v>170</v>
          </cell>
          <cell r="K92">
            <v>60</v>
          </cell>
          <cell r="L92">
            <v>95</v>
          </cell>
        </row>
        <row r="93">
          <cell r="A93">
            <v>80</v>
          </cell>
          <cell r="B93" t="str">
            <v>심태웅</v>
          </cell>
          <cell r="C93" t="str">
            <v>한양대</v>
          </cell>
          <cell r="D93" t="str">
            <v>기계</v>
          </cell>
          <cell r="E93" t="str">
            <v>한양대</v>
          </cell>
          <cell r="F93" t="str">
            <v>정밀기계공학</v>
          </cell>
          <cell r="H93" t="str">
            <v>02-857-0035</v>
          </cell>
          <cell r="I93" t="str">
            <v>011-9702-9746</v>
          </cell>
          <cell r="J93">
            <v>165</v>
          </cell>
          <cell r="K93">
            <v>67</v>
          </cell>
          <cell r="L93">
            <v>95</v>
          </cell>
        </row>
        <row r="94">
          <cell r="A94">
            <v>98</v>
          </cell>
          <cell r="B94" t="str">
            <v>우길제</v>
          </cell>
          <cell r="C94" t="str">
            <v>한양대</v>
          </cell>
          <cell r="D94" t="str">
            <v>기계</v>
          </cell>
          <cell r="H94" t="str">
            <v>0416-881-5005</v>
          </cell>
          <cell r="I94" t="str">
            <v>012-443-0124</v>
          </cell>
          <cell r="J94">
            <v>175</v>
          </cell>
          <cell r="K94">
            <v>65</v>
          </cell>
          <cell r="L94">
            <v>100</v>
          </cell>
        </row>
        <row r="95">
          <cell r="A95">
            <v>127</v>
          </cell>
          <cell r="B95" t="str">
            <v>이정규</v>
          </cell>
          <cell r="C95" t="str">
            <v>한양대</v>
          </cell>
          <cell r="D95" t="str">
            <v>기계</v>
          </cell>
          <cell r="H95" t="str">
            <v>02-579-8653</v>
          </cell>
          <cell r="I95" t="str">
            <v>011-203-2365</v>
          </cell>
          <cell r="J95">
            <v>177</v>
          </cell>
          <cell r="K95">
            <v>63</v>
          </cell>
          <cell r="L95">
            <v>100</v>
          </cell>
        </row>
        <row r="96">
          <cell r="A96">
            <v>186</v>
          </cell>
          <cell r="B96" t="str">
            <v>홍건식</v>
          </cell>
          <cell r="C96" t="str">
            <v>한양대</v>
          </cell>
          <cell r="D96" t="str">
            <v>기계</v>
          </cell>
          <cell r="H96" t="str">
            <v>0341-988-7027</v>
          </cell>
          <cell r="I96" t="str">
            <v>019-384-9027</v>
          </cell>
          <cell r="J96">
            <v>176</v>
          </cell>
          <cell r="K96">
            <v>55</v>
          </cell>
          <cell r="L96">
            <v>105</v>
          </cell>
        </row>
        <row r="97">
          <cell r="A97">
            <v>158</v>
          </cell>
          <cell r="B97" t="str">
            <v>조근호</v>
          </cell>
          <cell r="C97" t="str">
            <v>한양대</v>
          </cell>
          <cell r="D97" t="str">
            <v>기계</v>
          </cell>
          <cell r="H97" t="str">
            <v>053-962-4865</v>
          </cell>
          <cell r="I97" t="str">
            <v>016-657-9335</v>
          </cell>
          <cell r="J97">
            <v>185</v>
          </cell>
          <cell r="K97">
            <v>71</v>
          </cell>
          <cell r="L97">
            <v>110</v>
          </cell>
        </row>
        <row r="98">
          <cell r="A98">
            <v>169</v>
          </cell>
          <cell r="B98" t="str">
            <v>지상우</v>
          </cell>
          <cell r="C98" t="str">
            <v>홍익대</v>
          </cell>
          <cell r="D98" t="str">
            <v>기계</v>
          </cell>
          <cell r="H98" t="str">
            <v>0344-968-2500</v>
          </cell>
          <cell r="I98" t="str">
            <v>018-233-1206</v>
          </cell>
          <cell r="J98">
            <v>174</v>
          </cell>
          <cell r="K98">
            <v>64</v>
          </cell>
          <cell r="L98">
            <v>100</v>
          </cell>
        </row>
        <row r="99">
          <cell r="A99">
            <v>197</v>
          </cell>
          <cell r="B99" t="str">
            <v>서종우</v>
          </cell>
          <cell r="C99" t="str">
            <v>KIST</v>
          </cell>
          <cell r="D99" t="str">
            <v>기계</v>
          </cell>
          <cell r="E99" t="str">
            <v>KIST</v>
          </cell>
          <cell r="F99" t="str">
            <v>기계</v>
          </cell>
          <cell r="H99" t="str">
            <v>02-3493-8353</v>
          </cell>
          <cell r="I99" t="str">
            <v>017-270-7561</v>
          </cell>
          <cell r="J99">
            <v>180</v>
          </cell>
          <cell r="K99">
            <v>64</v>
          </cell>
          <cell r="L99">
            <v>105</v>
          </cell>
        </row>
        <row r="100">
          <cell r="A100">
            <v>24</v>
          </cell>
          <cell r="B100" t="str">
            <v>김용철</v>
          </cell>
          <cell r="C100" t="str">
            <v>부산대</v>
          </cell>
          <cell r="D100" t="str">
            <v>기계</v>
          </cell>
          <cell r="E100" t="str">
            <v>부산대</v>
          </cell>
          <cell r="F100" t="str">
            <v>정밀기계공학</v>
          </cell>
          <cell r="H100" t="str">
            <v>051-502-5153</v>
          </cell>
          <cell r="I100" t="str">
            <v>011-830-5157</v>
          </cell>
          <cell r="J100">
            <v>174</v>
          </cell>
          <cell r="K100">
            <v>67</v>
          </cell>
          <cell r="L100">
            <v>100</v>
          </cell>
        </row>
        <row r="101">
          <cell r="A101">
            <v>43</v>
          </cell>
          <cell r="B101" t="str">
            <v>류지훈</v>
          </cell>
          <cell r="C101" t="str">
            <v>중앙대</v>
          </cell>
          <cell r="D101" t="str">
            <v>기계</v>
          </cell>
          <cell r="H101" t="str">
            <v>0342-711-8896</v>
          </cell>
          <cell r="I101" t="str">
            <v>017-391-8896</v>
          </cell>
          <cell r="J101">
            <v>172</v>
          </cell>
          <cell r="K101">
            <v>62</v>
          </cell>
          <cell r="L101">
            <v>100</v>
          </cell>
        </row>
        <row r="102">
          <cell r="A102">
            <v>93</v>
          </cell>
          <cell r="B102" t="str">
            <v>오준혁</v>
          </cell>
          <cell r="C102" t="str">
            <v>한양대</v>
          </cell>
          <cell r="D102" t="str">
            <v>기계</v>
          </cell>
          <cell r="H102" t="str">
            <v>02-2296-1048</v>
          </cell>
          <cell r="I102" t="str">
            <v>011-9599-1048</v>
          </cell>
          <cell r="J102">
            <v>178</v>
          </cell>
          <cell r="K102">
            <v>78</v>
          </cell>
          <cell r="L102">
            <v>105</v>
          </cell>
        </row>
        <row r="103">
          <cell r="A103">
            <v>10</v>
          </cell>
          <cell r="B103" t="str">
            <v>정동준</v>
          </cell>
          <cell r="C103" t="str">
            <v>서울대</v>
          </cell>
          <cell r="D103" t="str">
            <v>기계</v>
          </cell>
          <cell r="E103" t="str">
            <v>과기대학원</v>
          </cell>
          <cell r="F103" t="str">
            <v>기계공학</v>
          </cell>
          <cell r="H103" t="str">
            <v>02-869-3269</v>
          </cell>
          <cell r="I103" t="str">
            <v>015-4414-3269</v>
          </cell>
          <cell r="M103" t="str">
            <v>산학장학생</v>
          </cell>
        </row>
        <row r="104">
          <cell r="A104">
            <v>95</v>
          </cell>
          <cell r="B104" t="str">
            <v>오태성</v>
          </cell>
          <cell r="C104" t="str">
            <v>연세대</v>
          </cell>
          <cell r="D104" t="str">
            <v>기계</v>
          </cell>
          <cell r="H104" t="str">
            <v>0342-701-1666</v>
          </cell>
          <cell r="I104" t="str">
            <v>016-267-4375</v>
          </cell>
          <cell r="J104">
            <v>164</v>
          </cell>
          <cell r="K104">
            <v>65</v>
          </cell>
          <cell r="L104">
            <v>90</v>
          </cell>
        </row>
        <row r="105">
          <cell r="A105">
            <v>5</v>
          </cell>
          <cell r="B105" t="str">
            <v>임용진</v>
          </cell>
          <cell r="C105" t="str">
            <v>국민대</v>
          </cell>
          <cell r="D105" t="str">
            <v>기계</v>
          </cell>
          <cell r="E105" t="str">
            <v>기타대</v>
          </cell>
          <cell r="F105" t="str">
            <v>공학계열기타</v>
          </cell>
          <cell r="H105" t="str">
            <v>02-430-7477</v>
          </cell>
          <cell r="I105" t="str">
            <v>017-427-7477</v>
          </cell>
          <cell r="M105" t="str">
            <v>추가자</v>
          </cell>
        </row>
        <row r="106">
          <cell r="A106">
            <v>15</v>
          </cell>
          <cell r="B106" t="str">
            <v>박정근</v>
          </cell>
          <cell r="C106" t="str">
            <v>서울대</v>
          </cell>
          <cell r="D106" t="str">
            <v>노어(노문)</v>
          </cell>
          <cell r="H106" t="str">
            <v>02-877-5907</v>
          </cell>
          <cell r="I106" t="str">
            <v>015-8333-5901</v>
          </cell>
          <cell r="J106">
            <v>168</v>
          </cell>
          <cell r="K106">
            <v>56</v>
          </cell>
          <cell r="L106">
            <v>95</v>
          </cell>
          <cell r="M106" t="str">
            <v>추가될 가능</v>
          </cell>
        </row>
        <row r="107">
          <cell r="A107">
            <v>125</v>
          </cell>
          <cell r="B107" t="str">
            <v>이일부</v>
          </cell>
          <cell r="C107" t="str">
            <v>서울대</v>
          </cell>
          <cell r="D107" t="str">
            <v>농업경제</v>
          </cell>
          <cell r="E107" t="str">
            <v>서울대</v>
          </cell>
          <cell r="F107" t="str">
            <v>농업경제</v>
          </cell>
          <cell r="H107" t="str">
            <v>0343-396-7477</v>
          </cell>
          <cell r="I107" t="str">
            <v>016-658-4551</v>
          </cell>
          <cell r="J107">
            <v>175</v>
          </cell>
          <cell r="K107">
            <v>65</v>
          </cell>
          <cell r="L107">
            <v>105</v>
          </cell>
        </row>
        <row r="108">
          <cell r="A108">
            <v>195</v>
          </cell>
          <cell r="B108" t="str">
            <v>장성주</v>
          </cell>
          <cell r="C108" t="str">
            <v>서울대</v>
          </cell>
          <cell r="D108" t="str">
            <v>농업기계공</v>
          </cell>
          <cell r="E108" t="str">
            <v>서울대</v>
          </cell>
          <cell r="F108" t="str">
            <v>농업기계공학</v>
          </cell>
          <cell r="H108" t="str">
            <v>0331-290-2394</v>
          </cell>
          <cell r="I108" t="str">
            <v>016-727-1042</v>
          </cell>
          <cell r="J108">
            <v>168</v>
          </cell>
          <cell r="K108">
            <v>55</v>
          </cell>
          <cell r="L108">
            <v>95</v>
          </cell>
        </row>
        <row r="109">
          <cell r="A109">
            <v>141</v>
          </cell>
          <cell r="B109" t="str">
            <v>장성만</v>
          </cell>
          <cell r="C109" t="str">
            <v>서울대</v>
          </cell>
          <cell r="D109" t="str">
            <v>농업기계공</v>
          </cell>
          <cell r="H109" t="str">
            <v>0331-290-0843</v>
          </cell>
          <cell r="I109" t="str">
            <v>011-9748-7809</v>
          </cell>
          <cell r="J109">
            <v>173</v>
          </cell>
          <cell r="K109">
            <v>63</v>
          </cell>
          <cell r="L109">
            <v>100</v>
          </cell>
        </row>
        <row r="110">
          <cell r="A110">
            <v>15</v>
          </cell>
          <cell r="B110" t="str">
            <v>김성욱</v>
          </cell>
          <cell r="C110" t="str">
            <v>서울대</v>
          </cell>
          <cell r="D110" t="str">
            <v>농업기계공</v>
          </cell>
          <cell r="H110" t="str">
            <v>0658-544-5286</v>
          </cell>
          <cell r="I110" t="str">
            <v>017-292-5286</v>
          </cell>
          <cell r="J110">
            <v>180</v>
          </cell>
          <cell r="K110">
            <v>76</v>
          </cell>
          <cell r="L110">
            <v>105</v>
          </cell>
        </row>
        <row r="111">
          <cell r="A111">
            <v>28</v>
          </cell>
          <cell r="B111" t="str">
            <v>김재영</v>
          </cell>
          <cell r="C111" t="str">
            <v>서울대</v>
          </cell>
          <cell r="D111" t="str">
            <v>농업기계공</v>
          </cell>
          <cell r="H111" t="str">
            <v>0331-290-0870</v>
          </cell>
          <cell r="I111" t="str">
            <v>016-760-0343</v>
          </cell>
          <cell r="J111">
            <v>175</v>
          </cell>
          <cell r="K111">
            <v>68</v>
          </cell>
          <cell r="L111">
            <v>105</v>
          </cell>
        </row>
        <row r="112">
          <cell r="A112">
            <v>13</v>
          </cell>
          <cell r="B112" t="str">
            <v>정영훈</v>
          </cell>
          <cell r="C112" t="str">
            <v>서울대</v>
          </cell>
          <cell r="D112" t="str">
            <v>농화학</v>
          </cell>
          <cell r="H112" t="str">
            <v>02-884-9609</v>
          </cell>
          <cell r="I112" t="str">
            <v>011-311-3987</v>
          </cell>
          <cell r="J112">
            <v>177</v>
          </cell>
          <cell r="K112">
            <v>72</v>
          </cell>
          <cell r="L112">
            <v>105</v>
          </cell>
          <cell r="M112" t="str">
            <v>신검탈락 검증자</v>
          </cell>
        </row>
        <row r="113">
          <cell r="A113">
            <v>99</v>
          </cell>
          <cell r="B113" t="str">
            <v>유동솔</v>
          </cell>
          <cell r="C113" t="str">
            <v>고려대</v>
          </cell>
          <cell r="D113" t="str">
            <v>독어(독문)</v>
          </cell>
          <cell r="H113" t="str">
            <v>0342-703-5857</v>
          </cell>
          <cell r="I113" t="str">
            <v>016-283-5307</v>
          </cell>
          <cell r="J113">
            <v>176</v>
          </cell>
          <cell r="K113">
            <v>85</v>
          </cell>
          <cell r="L113">
            <v>105</v>
          </cell>
        </row>
        <row r="114">
          <cell r="A114">
            <v>27</v>
          </cell>
          <cell r="B114" t="str">
            <v>김재영</v>
          </cell>
          <cell r="C114" t="str">
            <v>고려대</v>
          </cell>
          <cell r="D114" t="str">
            <v>동양사학</v>
          </cell>
          <cell r="H114" t="str">
            <v>02-911-5259</v>
          </cell>
          <cell r="I114" t="str">
            <v>017-711-5259</v>
          </cell>
          <cell r="J114">
            <v>178</v>
          </cell>
          <cell r="K114">
            <v>69</v>
          </cell>
          <cell r="L114">
            <v>105</v>
          </cell>
        </row>
        <row r="115">
          <cell r="A115">
            <v>4</v>
          </cell>
          <cell r="B115" t="str">
            <v>강성근</v>
          </cell>
          <cell r="C115" t="str">
            <v>고려대</v>
          </cell>
          <cell r="D115" t="str">
            <v>무역</v>
          </cell>
          <cell r="H115" t="str">
            <v>0345-492-7401</v>
          </cell>
          <cell r="I115" t="str">
            <v>016-555-0011</v>
          </cell>
          <cell r="J115">
            <v>172</v>
          </cell>
          <cell r="K115">
            <v>63</v>
          </cell>
          <cell r="L115">
            <v>100</v>
          </cell>
        </row>
        <row r="116">
          <cell r="A116">
            <v>88</v>
          </cell>
          <cell r="B116" t="str">
            <v>양희성</v>
          </cell>
          <cell r="C116" t="str">
            <v>고려대</v>
          </cell>
          <cell r="D116" t="str">
            <v>무역</v>
          </cell>
          <cell r="H116" t="str">
            <v>02-925-1841</v>
          </cell>
          <cell r="I116" t="str">
            <v>019-320-2569</v>
          </cell>
          <cell r="J116">
            <v>174</v>
          </cell>
          <cell r="K116">
            <v>67</v>
          </cell>
          <cell r="L116">
            <v>100</v>
          </cell>
        </row>
        <row r="117">
          <cell r="A117">
            <v>146</v>
          </cell>
          <cell r="B117" t="str">
            <v>전영식</v>
          </cell>
          <cell r="C117" t="str">
            <v>연세대</v>
          </cell>
          <cell r="D117" t="str">
            <v>물리학</v>
          </cell>
          <cell r="H117" t="str">
            <v>032-671-4102</v>
          </cell>
          <cell r="I117" t="str">
            <v>016-385-4102</v>
          </cell>
          <cell r="J117">
            <v>180</v>
          </cell>
          <cell r="K117">
            <v>75</v>
          </cell>
          <cell r="L117">
            <v>105</v>
          </cell>
        </row>
        <row r="118">
          <cell r="A118">
            <v>71</v>
          </cell>
          <cell r="B118" t="str">
            <v>성정훈</v>
          </cell>
          <cell r="C118" t="str">
            <v>고려대</v>
          </cell>
          <cell r="D118" t="str">
            <v>사회학</v>
          </cell>
          <cell r="H118" t="str">
            <v>02-927-4767</v>
          </cell>
          <cell r="I118" t="str">
            <v>016-376-5874</v>
          </cell>
          <cell r="J118">
            <v>172</v>
          </cell>
          <cell r="K118">
            <v>75</v>
          </cell>
          <cell r="L118">
            <v>100</v>
          </cell>
        </row>
        <row r="119">
          <cell r="A119">
            <v>167</v>
          </cell>
          <cell r="B119" t="str">
            <v>조현홍</v>
          </cell>
          <cell r="C119" t="str">
            <v>경성대</v>
          </cell>
          <cell r="D119" t="str">
            <v>산업공학</v>
          </cell>
          <cell r="H119" t="str">
            <v>052-272-7598</v>
          </cell>
          <cell r="I119" t="str">
            <v>016-582-7598</v>
          </cell>
          <cell r="J119">
            <v>180</v>
          </cell>
          <cell r="K119">
            <v>75</v>
          </cell>
          <cell r="L119">
            <v>105</v>
          </cell>
        </row>
        <row r="120">
          <cell r="A120">
            <v>131</v>
          </cell>
          <cell r="B120" t="str">
            <v>이진호</v>
          </cell>
          <cell r="C120" t="str">
            <v>일본] 와세다</v>
          </cell>
          <cell r="D120" t="str">
            <v>상학</v>
          </cell>
          <cell r="H120" t="str">
            <v>0342-713-3512</v>
          </cell>
          <cell r="I120" t="str">
            <v>011-9075-2939</v>
          </cell>
          <cell r="J120">
            <v>173</v>
          </cell>
          <cell r="K120">
            <v>70</v>
          </cell>
          <cell r="L120">
            <v>100</v>
          </cell>
        </row>
        <row r="121">
          <cell r="A121">
            <v>148</v>
          </cell>
          <cell r="B121" t="str">
            <v>전주열</v>
          </cell>
          <cell r="C121" t="str">
            <v>고려대</v>
          </cell>
          <cell r="D121" t="str">
            <v>서어(서문)</v>
          </cell>
          <cell r="H121" t="str">
            <v>02-3290-2153</v>
          </cell>
          <cell r="I121" t="str">
            <v>016-246-5091</v>
          </cell>
          <cell r="J121">
            <v>168</v>
          </cell>
          <cell r="K121">
            <v>64</v>
          </cell>
          <cell r="L121">
            <v>95</v>
          </cell>
        </row>
        <row r="122">
          <cell r="A122">
            <v>177</v>
          </cell>
          <cell r="B122" t="str">
            <v>최용득</v>
          </cell>
          <cell r="C122" t="str">
            <v>고려대</v>
          </cell>
          <cell r="D122" t="str">
            <v>서어(서문)</v>
          </cell>
          <cell r="H122" t="str">
            <v>02-964-7068</v>
          </cell>
          <cell r="I122" t="str">
            <v>017-723-0218</v>
          </cell>
          <cell r="J122">
            <v>168</v>
          </cell>
          <cell r="K122">
            <v>60</v>
          </cell>
          <cell r="L122">
            <v>95</v>
          </cell>
        </row>
        <row r="123">
          <cell r="A123">
            <v>38</v>
          </cell>
          <cell r="B123" t="str">
            <v>나유석</v>
          </cell>
          <cell r="C123" t="str">
            <v>고려대</v>
          </cell>
          <cell r="D123" t="str">
            <v>서어(서문)</v>
          </cell>
          <cell r="H123" t="str">
            <v>02-591-3813</v>
          </cell>
          <cell r="I123" t="str">
            <v>017-396-1937</v>
          </cell>
          <cell r="J123">
            <v>173</v>
          </cell>
          <cell r="K123">
            <v>67</v>
          </cell>
          <cell r="L123">
            <v>100</v>
          </cell>
        </row>
        <row r="124">
          <cell r="A124">
            <v>193</v>
          </cell>
          <cell r="B124" t="str">
            <v>황차연</v>
          </cell>
          <cell r="C124" t="str">
            <v>경희대</v>
          </cell>
          <cell r="D124" t="str">
            <v>섬유</v>
          </cell>
          <cell r="H124" t="str">
            <v>0331-246-4134</v>
          </cell>
          <cell r="I124" t="str">
            <v>017-280-6517</v>
          </cell>
          <cell r="J124">
            <v>174</v>
          </cell>
          <cell r="K124">
            <v>60</v>
          </cell>
          <cell r="L124">
            <v>100</v>
          </cell>
        </row>
        <row r="125">
          <cell r="A125">
            <v>153</v>
          </cell>
          <cell r="B125" t="str">
            <v>정성갑</v>
          </cell>
          <cell r="C125" t="str">
            <v>경희대</v>
          </cell>
          <cell r="D125" t="str">
            <v>섬유</v>
          </cell>
          <cell r="H125" t="str">
            <v>02-908-4952</v>
          </cell>
          <cell r="I125" t="str">
            <v>016-267-4956</v>
          </cell>
          <cell r="J125">
            <v>177</v>
          </cell>
          <cell r="K125">
            <v>66</v>
          </cell>
          <cell r="L125">
            <v>105</v>
          </cell>
        </row>
        <row r="126">
          <cell r="A126">
            <v>26</v>
          </cell>
          <cell r="B126" t="str">
            <v>김응수</v>
          </cell>
          <cell r="C126" t="str">
            <v>서울대</v>
          </cell>
          <cell r="D126" t="str">
            <v>섬유</v>
          </cell>
          <cell r="E126" t="str">
            <v>서울대</v>
          </cell>
          <cell r="F126" t="str">
            <v>섬유공학</v>
          </cell>
          <cell r="H126" t="str">
            <v>02-880-8736</v>
          </cell>
          <cell r="J126">
            <v>172</v>
          </cell>
          <cell r="K126">
            <v>68</v>
          </cell>
          <cell r="L126">
            <v>100</v>
          </cell>
        </row>
        <row r="127">
          <cell r="A127">
            <v>11</v>
          </cell>
          <cell r="B127" t="str">
            <v>김정선</v>
          </cell>
          <cell r="C127" t="str">
            <v>서울대</v>
          </cell>
          <cell r="D127" t="str">
            <v>섬유</v>
          </cell>
          <cell r="E127" t="str">
            <v>서울대</v>
          </cell>
          <cell r="F127" t="str">
            <v>섬유공학</v>
          </cell>
          <cell r="H127" t="str">
            <v>032-86-7375</v>
          </cell>
          <cell r="I127" t="str">
            <v>880-7195</v>
          </cell>
          <cell r="M127" t="str">
            <v>산학장학생</v>
          </cell>
        </row>
        <row r="128">
          <cell r="A128">
            <v>48</v>
          </cell>
          <cell r="B128" t="str">
            <v>박광환</v>
          </cell>
          <cell r="C128" t="str">
            <v>성균관대</v>
          </cell>
          <cell r="D128" t="str">
            <v>섬유</v>
          </cell>
          <cell r="H128" t="str">
            <v>233912182</v>
          </cell>
          <cell r="I128" t="str">
            <v>019-234-2182</v>
          </cell>
          <cell r="J128">
            <v>168</v>
          </cell>
          <cell r="K128">
            <v>55</v>
          </cell>
          <cell r="L128">
            <v>95</v>
          </cell>
        </row>
        <row r="129">
          <cell r="A129">
            <v>113</v>
          </cell>
          <cell r="B129" t="str">
            <v>이동훈</v>
          </cell>
          <cell r="C129" t="str">
            <v>성균관대</v>
          </cell>
          <cell r="D129" t="str">
            <v>섬유</v>
          </cell>
          <cell r="H129" t="str">
            <v>0331-294-3447</v>
          </cell>
          <cell r="I129" t="str">
            <v>016-211-2972</v>
          </cell>
          <cell r="J129">
            <v>168</v>
          </cell>
          <cell r="K129">
            <v>61</v>
          </cell>
          <cell r="L129">
            <v>95</v>
          </cell>
        </row>
        <row r="130">
          <cell r="A130">
            <v>9</v>
          </cell>
          <cell r="B130" t="str">
            <v>곽경훈</v>
          </cell>
          <cell r="C130" t="str">
            <v>성균관대</v>
          </cell>
          <cell r="D130" t="str">
            <v>섬유</v>
          </cell>
          <cell r="H130" t="str">
            <v>02-713-7936</v>
          </cell>
          <cell r="I130" t="str">
            <v>016-282-7936</v>
          </cell>
          <cell r="J130">
            <v>175</v>
          </cell>
          <cell r="K130">
            <v>72</v>
          </cell>
          <cell r="L130">
            <v>100</v>
          </cell>
        </row>
        <row r="131">
          <cell r="A131">
            <v>42</v>
          </cell>
          <cell r="B131" t="str">
            <v>류순주</v>
          </cell>
          <cell r="C131" t="str">
            <v>성균관대</v>
          </cell>
          <cell r="D131" t="str">
            <v>섬유</v>
          </cell>
          <cell r="H131" t="str">
            <v>0343-425-9468</v>
          </cell>
          <cell r="I131" t="str">
            <v>018-251-9468</v>
          </cell>
          <cell r="J131">
            <v>174</v>
          </cell>
          <cell r="K131">
            <v>66</v>
          </cell>
          <cell r="L131">
            <v>100</v>
          </cell>
        </row>
        <row r="132">
          <cell r="A132">
            <v>50</v>
          </cell>
          <cell r="B132" t="str">
            <v>박대희</v>
          </cell>
          <cell r="C132" t="str">
            <v>성균관대</v>
          </cell>
          <cell r="D132" t="str">
            <v>섬유</v>
          </cell>
          <cell r="H132" t="str">
            <v>02-548-6228</v>
          </cell>
          <cell r="I132" t="str">
            <v>018-329-6228</v>
          </cell>
          <cell r="J132">
            <v>173</v>
          </cell>
          <cell r="K132">
            <v>58</v>
          </cell>
          <cell r="L132">
            <v>100</v>
          </cell>
        </row>
        <row r="133">
          <cell r="A133">
            <v>132</v>
          </cell>
          <cell r="B133" t="str">
            <v>이창재</v>
          </cell>
          <cell r="C133" t="str">
            <v>성균관대</v>
          </cell>
          <cell r="D133" t="str">
            <v>섬유</v>
          </cell>
          <cell r="H133" t="str">
            <v>0591-742-2432</v>
          </cell>
          <cell r="I133" t="str">
            <v>017-544-8256</v>
          </cell>
          <cell r="J133">
            <v>173</v>
          </cell>
          <cell r="K133">
            <v>75</v>
          </cell>
          <cell r="L133">
            <v>100</v>
          </cell>
        </row>
        <row r="134">
          <cell r="A134">
            <v>135</v>
          </cell>
          <cell r="B134" t="str">
            <v>이현호</v>
          </cell>
          <cell r="C134" t="str">
            <v>성균관대</v>
          </cell>
          <cell r="D134" t="str">
            <v>섬유</v>
          </cell>
          <cell r="H134" t="str">
            <v>0342-731-9898</v>
          </cell>
          <cell r="I134" t="str">
            <v>017-286-6198</v>
          </cell>
          <cell r="J134">
            <v>180</v>
          </cell>
          <cell r="K134">
            <v>75</v>
          </cell>
          <cell r="L134">
            <v>100</v>
          </cell>
        </row>
        <row r="135">
          <cell r="A135">
            <v>102</v>
          </cell>
          <cell r="B135" t="str">
            <v>유지욱</v>
          </cell>
          <cell r="C135" t="str">
            <v>성균관대</v>
          </cell>
          <cell r="D135" t="str">
            <v>섬유</v>
          </cell>
          <cell r="H135" t="str">
            <v>0342-706-9449</v>
          </cell>
          <cell r="I135" t="str">
            <v>017-357-9449</v>
          </cell>
          <cell r="J135">
            <v>178</v>
          </cell>
          <cell r="K135">
            <v>95</v>
          </cell>
          <cell r="L135">
            <v>105</v>
          </cell>
        </row>
        <row r="136">
          <cell r="A136">
            <v>41</v>
          </cell>
          <cell r="B136" t="str">
            <v>류광택</v>
          </cell>
          <cell r="C136" t="str">
            <v>영남대</v>
          </cell>
          <cell r="D136" t="str">
            <v>섬유</v>
          </cell>
          <cell r="H136" t="str">
            <v>053-651-2224</v>
          </cell>
          <cell r="I136" t="str">
            <v>016-720-2224</v>
          </cell>
          <cell r="J136">
            <v>168</v>
          </cell>
          <cell r="K136">
            <v>80</v>
          </cell>
          <cell r="L136">
            <v>95</v>
          </cell>
        </row>
        <row r="137">
          <cell r="A137">
            <v>7</v>
          </cell>
          <cell r="B137" t="str">
            <v>강재익</v>
          </cell>
          <cell r="C137" t="str">
            <v>인하대</v>
          </cell>
          <cell r="D137" t="str">
            <v>섬유</v>
          </cell>
          <cell r="E137" t="str">
            <v>인하대</v>
          </cell>
          <cell r="F137" t="str">
            <v>섬유공학</v>
          </cell>
          <cell r="H137" t="str">
            <v>0417-555-0476</v>
          </cell>
          <cell r="I137" t="str">
            <v>018-422-9919</v>
          </cell>
          <cell r="J137">
            <v>175</v>
          </cell>
          <cell r="K137">
            <v>76</v>
          </cell>
          <cell r="L137">
            <v>100</v>
          </cell>
        </row>
        <row r="138">
          <cell r="A138">
            <v>40</v>
          </cell>
          <cell r="B138" t="str">
            <v>라규일</v>
          </cell>
          <cell r="C138" t="str">
            <v>인하대</v>
          </cell>
          <cell r="D138" t="str">
            <v>섬유</v>
          </cell>
          <cell r="E138" t="str">
            <v>인하대</v>
          </cell>
          <cell r="F138" t="str">
            <v>섬유공학</v>
          </cell>
          <cell r="H138" t="str">
            <v>3312978864</v>
          </cell>
          <cell r="I138" t="str">
            <v>016-306-8864</v>
          </cell>
          <cell r="J138">
            <v>172</v>
          </cell>
          <cell r="K138">
            <v>60</v>
          </cell>
          <cell r="L138">
            <v>100</v>
          </cell>
        </row>
        <row r="139">
          <cell r="A139">
            <v>181</v>
          </cell>
          <cell r="B139" t="str">
            <v>편도균</v>
          </cell>
          <cell r="C139" t="str">
            <v>충남대</v>
          </cell>
          <cell r="D139" t="str">
            <v>섬유</v>
          </cell>
          <cell r="H139" t="str">
            <v>042-283-3958</v>
          </cell>
          <cell r="I139" t="str">
            <v>019-428-9124</v>
          </cell>
          <cell r="J139">
            <v>173</v>
          </cell>
          <cell r="K139">
            <v>66</v>
          </cell>
          <cell r="L139">
            <v>100</v>
          </cell>
        </row>
        <row r="140">
          <cell r="A140">
            <v>154</v>
          </cell>
          <cell r="B140" t="str">
            <v>정우진</v>
          </cell>
          <cell r="C140" t="str">
            <v>충남대</v>
          </cell>
          <cell r="D140" t="str">
            <v>섬유</v>
          </cell>
          <cell r="H140" t="str">
            <v>042-533-0578</v>
          </cell>
          <cell r="I140" t="str">
            <v>017-402-0578</v>
          </cell>
          <cell r="J140">
            <v>176</v>
          </cell>
          <cell r="K140">
            <v>65</v>
          </cell>
          <cell r="L140">
            <v>105</v>
          </cell>
        </row>
        <row r="141">
          <cell r="A141">
            <v>121</v>
          </cell>
          <cell r="B141" t="str">
            <v>이승훈</v>
          </cell>
          <cell r="C141" t="str">
            <v>한양대</v>
          </cell>
          <cell r="D141" t="str">
            <v>섬유</v>
          </cell>
          <cell r="H141" t="str">
            <v>052-292-1028</v>
          </cell>
          <cell r="I141" t="str">
            <v>019-388-5370</v>
          </cell>
          <cell r="J141">
            <v>173</v>
          </cell>
          <cell r="K141">
            <v>70</v>
          </cell>
          <cell r="L141">
            <v>100</v>
          </cell>
        </row>
        <row r="142">
          <cell r="A142">
            <v>68</v>
          </cell>
          <cell r="B142" t="str">
            <v>백형원</v>
          </cell>
          <cell r="C142" t="str">
            <v>한양대</v>
          </cell>
          <cell r="D142" t="str">
            <v>섬유</v>
          </cell>
          <cell r="H142" t="str">
            <v>02-387-4714</v>
          </cell>
          <cell r="I142" t="str">
            <v>018-256-4714</v>
          </cell>
          <cell r="J142">
            <v>178</v>
          </cell>
          <cell r="K142">
            <v>72</v>
          </cell>
          <cell r="L142">
            <v>105</v>
          </cell>
        </row>
        <row r="143">
          <cell r="A143">
            <v>7</v>
          </cell>
          <cell r="B143" t="str">
            <v>허종태</v>
          </cell>
          <cell r="C143" t="str">
            <v>한양대</v>
          </cell>
          <cell r="D143" t="str">
            <v>섬유</v>
          </cell>
          <cell r="E143" t="str">
            <v>한양대</v>
          </cell>
          <cell r="F143" t="str">
            <v>섬유공학</v>
          </cell>
          <cell r="H143" t="str">
            <v>02-421-2938</v>
          </cell>
          <cell r="I143" t="str">
            <v>011-585-2938</v>
          </cell>
          <cell r="M143" t="str">
            <v>산학장학생</v>
          </cell>
        </row>
        <row r="144">
          <cell r="A144">
            <v>18</v>
          </cell>
          <cell r="B144" t="str">
            <v>최승우</v>
          </cell>
          <cell r="C144" t="str">
            <v>한양대</v>
          </cell>
          <cell r="D144" t="str">
            <v>섬유</v>
          </cell>
          <cell r="E144" t="str">
            <v>한양대</v>
          </cell>
          <cell r="F144" t="str">
            <v>섬유</v>
          </cell>
          <cell r="I144" t="str">
            <v>018-226-5634</v>
          </cell>
          <cell r="M144" t="str">
            <v>연구소 채용자</v>
          </cell>
        </row>
        <row r="145">
          <cell r="A145">
            <v>19</v>
          </cell>
          <cell r="B145" t="str">
            <v>유상훈</v>
          </cell>
          <cell r="C145" t="str">
            <v>부산대</v>
          </cell>
          <cell r="D145" t="str">
            <v>섬유</v>
          </cell>
          <cell r="E145" t="str">
            <v>부산대</v>
          </cell>
          <cell r="F145" t="str">
            <v>섬유</v>
          </cell>
          <cell r="I145" t="str">
            <v>016-555-3055</v>
          </cell>
          <cell r="M145" t="str">
            <v>연구소 채용자</v>
          </cell>
        </row>
        <row r="146">
          <cell r="A146">
            <v>21</v>
          </cell>
          <cell r="B146" t="str">
            <v>강민성</v>
          </cell>
          <cell r="C146" t="str">
            <v>서울대</v>
          </cell>
          <cell r="D146" t="str">
            <v>섬유</v>
          </cell>
          <cell r="E146" t="str">
            <v>서울대</v>
          </cell>
          <cell r="F146" t="str">
            <v>섬유고분자공학</v>
          </cell>
          <cell r="H146" t="str">
            <v>0344-963-2724</v>
          </cell>
          <cell r="M146" t="str">
            <v>연구소 채용자</v>
          </cell>
        </row>
        <row r="147">
          <cell r="A147">
            <v>77</v>
          </cell>
          <cell r="B147" t="str">
            <v>신용선</v>
          </cell>
          <cell r="C147" t="str">
            <v>부산대</v>
          </cell>
          <cell r="D147" t="str">
            <v>섬유</v>
          </cell>
          <cell r="H147" t="str">
            <v>051-514-9661</v>
          </cell>
          <cell r="I147" t="str">
            <v>019-356-9661</v>
          </cell>
          <cell r="J147">
            <v>169</v>
          </cell>
          <cell r="K147">
            <v>61</v>
          </cell>
          <cell r="L147">
            <v>95</v>
          </cell>
        </row>
        <row r="148">
          <cell r="A148">
            <v>17</v>
          </cell>
          <cell r="B148" t="str">
            <v>김성훈</v>
          </cell>
          <cell r="C148" t="str">
            <v>한양대</v>
          </cell>
          <cell r="D148" t="str">
            <v>섬유</v>
          </cell>
          <cell r="H148" t="str">
            <v>02-581-7399</v>
          </cell>
          <cell r="I148" t="str">
            <v>019-308-3329</v>
          </cell>
          <cell r="J148">
            <v>177</v>
          </cell>
          <cell r="K148">
            <v>78</v>
          </cell>
          <cell r="L148">
            <v>105</v>
          </cell>
        </row>
        <row r="149">
          <cell r="A149">
            <v>36</v>
          </cell>
          <cell r="B149" t="str">
            <v>김형수</v>
          </cell>
          <cell r="C149" t="str">
            <v>서강대</v>
          </cell>
          <cell r="D149" t="str">
            <v>수학</v>
          </cell>
          <cell r="E149" t="str">
            <v>서강대</v>
          </cell>
          <cell r="F149" t="str">
            <v>공학계열기타</v>
          </cell>
          <cell r="H149" t="str">
            <v>28610068</v>
          </cell>
          <cell r="I149" t="str">
            <v>019-261-1068</v>
          </cell>
          <cell r="J149">
            <v>181</v>
          </cell>
          <cell r="K149">
            <v>70</v>
          </cell>
          <cell r="L149">
            <v>110</v>
          </cell>
        </row>
        <row r="150">
          <cell r="A150">
            <v>105</v>
          </cell>
          <cell r="B150" t="str">
            <v>윤성현</v>
          </cell>
          <cell r="C150" t="str">
            <v>경북대</v>
          </cell>
          <cell r="D150" t="str">
            <v>염색공학</v>
          </cell>
          <cell r="H150" t="str">
            <v>053-471-6131</v>
          </cell>
          <cell r="I150" t="str">
            <v>011-826-6131</v>
          </cell>
          <cell r="J150">
            <v>175</v>
          </cell>
          <cell r="K150">
            <v>80</v>
          </cell>
          <cell r="L150">
            <v>100</v>
          </cell>
        </row>
        <row r="151">
          <cell r="A151">
            <v>179</v>
          </cell>
          <cell r="B151" t="str">
            <v>최재원</v>
          </cell>
          <cell r="C151" t="str">
            <v>경북대</v>
          </cell>
          <cell r="D151" t="str">
            <v>염색공학</v>
          </cell>
          <cell r="H151" t="str">
            <v>053-763-5348</v>
          </cell>
          <cell r="I151" t="str">
            <v>011-9578-5724</v>
          </cell>
          <cell r="J151">
            <v>175</v>
          </cell>
          <cell r="K151">
            <v>74</v>
          </cell>
          <cell r="L151">
            <v>100</v>
          </cell>
        </row>
        <row r="152">
          <cell r="A152">
            <v>17</v>
          </cell>
          <cell r="B152" t="str">
            <v>김동윤</v>
          </cell>
          <cell r="C152" t="str">
            <v>경북대</v>
          </cell>
          <cell r="D152" t="str">
            <v>염색공학</v>
          </cell>
          <cell r="E152" t="str">
            <v>경북대</v>
          </cell>
          <cell r="F152" t="str">
            <v>염색공학</v>
          </cell>
          <cell r="H152" t="str">
            <v>053-950-5638</v>
          </cell>
          <cell r="M152" t="str">
            <v>연구소 채용자</v>
          </cell>
        </row>
        <row r="153">
          <cell r="A153">
            <v>194</v>
          </cell>
          <cell r="B153" t="str">
            <v>황희태</v>
          </cell>
          <cell r="C153" t="str">
            <v>고려대</v>
          </cell>
          <cell r="D153" t="str">
            <v>영어(영문)</v>
          </cell>
          <cell r="H153" t="str">
            <v>02-928-2795</v>
          </cell>
          <cell r="I153" t="str">
            <v>011-748-5496</v>
          </cell>
          <cell r="J153">
            <v>174.8</v>
          </cell>
          <cell r="K153">
            <v>71</v>
          </cell>
          <cell r="L153">
            <v>100</v>
          </cell>
        </row>
        <row r="154">
          <cell r="A154">
            <v>128</v>
          </cell>
          <cell r="B154" t="str">
            <v>이정주</v>
          </cell>
          <cell r="C154" t="str">
            <v>성균관대</v>
          </cell>
          <cell r="D154" t="str">
            <v>영어(영문)</v>
          </cell>
          <cell r="H154" t="str">
            <v>0357-542-7743</v>
          </cell>
          <cell r="I154" t="str">
            <v>011-447-5114</v>
          </cell>
          <cell r="J154">
            <v>168</v>
          </cell>
          <cell r="K154">
            <v>64</v>
          </cell>
          <cell r="L154">
            <v>95</v>
          </cell>
        </row>
        <row r="155">
          <cell r="A155">
            <v>189</v>
          </cell>
          <cell r="B155" t="str">
            <v>홍진태</v>
          </cell>
          <cell r="C155" t="str">
            <v>한국외대</v>
          </cell>
          <cell r="D155" t="str">
            <v>영어(영문)</v>
          </cell>
          <cell r="E155" t="str">
            <v>한국외대</v>
          </cell>
          <cell r="F155" t="str">
            <v>상경계열기타</v>
          </cell>
          <cell r="H155" t="str">
            <v>02-537-8881</v>
          </cell>
          <cell r="I155" t="str">
            <v>019-408-8881</v>
          </cell>
          <cell r="J155">
            <v>176.5</v>
          </cell>
          <cell r="K155">
            <v>65</v>
          </cell>
          <cell r="L155">
            <v>105</v>
          </cell>
        </row>
        <row r="156">
          <cell r="A156">
            <v>30</v>
          </cell>
          <cell r="B156" t="str">
            <v>김종완</v>
          </cell>
          <cell r="C156" t="str">
            <v>고려대</v>
          </cell>
          <cell r="D156" t="str">
            <v>유전공</v>
          </cell>
          <cell r="H156" t="str">
            <v>02-929-3286</v>
          </cell>
          <cell r="I156" t="str">
            <v>015-8344-3286</v>
          </cell>
          <cell r="J156">
            <v>167</v>
          </cell>
          <cell r="K156">
            <v>60</v>
          </cell>
          <cell r="L156">
            <v>95</v>
          </cell>
        </row>
        <row r="157">
          <cell r="A157">
            <v>126</v>
          </cell>
          <cell r="B157" t="str">
            <v>이재선</v>
          </cell>
          <cell r="C157" t="str">
            <v>고려대</v>
          </cell>
          <cell r="D157" t="str">
            <v>응용전자공학과</v>
          </cell>
          <cell r="H157" t="str">
            <v>0344-978-0122</v>
          </cell>
          <cell r="I157" t="str">
            <v>019-221-0517</v>
          </cell>
          <cell r="J157">
            <v>180</v>
          </cell>
          <cell r="K157">
            <v>72</v>
          </cell>
          <cell r="L157">
            <v>105</v>
          </cell>
        </row>
        <row r="158">
          <cell r="A158">
            <v>109</v>
          </cell>
          <cell r="B158" t="str">
            <v>이강준</v>
          </cell>
          <cell r="C158" t="str">
            <v>서울대</v>
          </cell>
          <cell r="D158" t="str">
            <v>이학계열</v>
          </cell>
          <cell r="H158" t="str">
            <v>032-873-1668</v>
          </cell>
          <cell r="I158" t="str">
            <v>011-319-3818</v>
          </cell>
          <cell r="J158">
            <v>175</v>
          </cell>
          <cell r="K158">
            <v>65</v>
          </cell>
          <cell r="L158">
            <v>100</v>
          </cell>
        </row>
        <row r="159">
          <cell r="A159">
            <v>108</v>
          </cell>
          <cell r="B159" t="str">
            <v>윤진영</v>
          </cell>
          <cell r="C159" t="str">
            <v>세종대</v>
          </cell>
          <cell r="D159" t="str">
            <v>일어(일문)</v>
          </cell>
          <cell r="H159" t="str">
            <v>02-446-3310</v>
          </cell>
          <cell r="I159" t="str">
            <v>017-327-3311</v>
          </cell>
          <cell r="J159">
            <v>171</v>
          </cell>
          <cell r="K159">
            <v>63</v>
          </cell>
          <cell r="L159">
            <v>100</v>
          </cell>
        </row>
        <row r="160">
          <cell r="A160">
            <v>120</v>
          </cell>
          <cell r="B160" t="str">
            <v>이수열</v>
          </cell>
          <cell r="C160" t="str">
            <v>서울대</v>
          </cell>
          <cell r="D160" t="str">
            <v>자원공</v>
          </cell>
          <cell r="H160" t="str">
            <v>02-874-9750</v>
          </cell>
          <cell r="I160" t="str">
            <v>019-372-9750</v>
          </cell>
          <cell r="J160">
            <v>177</v>
          </cell>
          <cell r="K160">
            <v>72</v>
          </cell>
          <cell r="L160">
            <v>105</v>
          </cell>
        </row>
        <row r="161">
          <cell r="A161">
            <v>78</v>
          </cell>
          <cell r="B161" t="str">
            <v>신용필</v>
          </cell>
          <cell r="C161" t="str">
            <v>서울대</v>
          </cell>
          <cell r="D161" t="str">
            <v>재료공</v>
          </cell>
          <cell r="H161" t="str">
            <v>0344-976-2212</v>
          </cell>
          <cell r="I161" t="str">
            <v>017-244-2295</v>
          </cell>
          <cell r="J161">
            <v>177</v>
          </cell>
          <cell r="K161">
            <v>68</v>
          </cell>
          <cell r="L161">
            <v>105</v>
          </cell>
        </row>
        <row r="162">
          <cell r="A162">
            <v>39</v>
          </cell>
          <cell r="B162" t="str">
            <v>나준</v>
          </cell>
          <cell r="C162" t="str">
            <v>건국대</v>
          </cell>
          <cell r="D162" t="str">
            <v>전기</v>
          </cell>
          <cell r="H162" t="str">
            <v>02-467-3694</v>
          </cell>
          <cell r="I162" t="str">
            <v>017-280-6963</v>
          </cell>
          <cell r="J162">
            <v>170</v>
          </cell>
          <cell r="K162">
            <v>63</v>
          </cell>
          <cell r="L162">
            <v>95</v>
          </cell>
        </row>
        <row r="163">
          <cell r="A163">
            <v>51</v>
          </cell>
          <cell r="B163" t="str">
            <v>박성원</v>
          </cell>
          <cell r="C163" t="str">
            <v>건국대</v>
          </cell>
          <cell r="D163" t="str">
            <v>전기</v>
          </cell>
          <cell r="H163" t="str">
            <v>02-499-0942</v>
          </cell>
          <cell r="I163" t="str">
            <v>018-217-0942</v>
          </cell>
          <cell r="J163">
            <v>173</v>
          </cell>
          <cell r="K163">
            <v>77</v>
          </cell>
          <cell r="L163">
            <v>100</v>
          </cell>
        </row>
        <row r="164">
          <cell r="A164">
            <v>115</v>
          </cell>
          <cell r="B164" t="str">
            <v>이상원</v>
          </cell>
          <cell r="C164" t="str">
            <v>건국대</v>
          </cell>
          <cell r="D164" t="str">
            <v>전기</v>
          </cell>
          <cell r="H164" t="str">
            <v>02) 355-1250</v>
          </cell>
          <cell r="I164" t="str">
            <v>012-838-1250</v>
          </cell>
          <cell r="J164">
            <v>176</v>
          </cell>
          <cell r="K164">
            <v>63</v>
          </cell>
          <cell r="L164">
            <v>105</v>
          </cell>
        </row>
        <row r="165">
          <cell r="A165">
            <v>173</v>
          </cell>
          <cell r="B165" t="str">
            <v>최보수</v>
          </cell>
          <cell r="C165" t="str">
            <v>건국대</v>
          </cell>
          <cell r="D165" t="str">
            <v>전기</v>
          </cell>
          <cell r="H165" t="str">
            <v>02-446-1205</v>
          </cell>
          <cell r="I165" t="str">
            <v>019-312-4506</v>
          </cell>
          <cell r="J165">
            <v>181</v>
          </cell>
          <cell r="K165">
            <v>63</v>
          </cell>
          <cell r="L165">
            <v>110</v>
          </cell>
        </row>
        <row r="166">
          <cell r="A166">
            <v>183</v>
          </cell>
          <cell r="B166" t="str">
            <v>한창음</v>
          </cell>
          <cell r="C166" t="str">
            <v>경북대</v>
          </cell>
          <cell r="D166" t="str">
            <v>전기</v>
          </cell>
          <cell r="E166" t="str">
            <v>경북대</v>
          </cell>
          <cell r="F166" t="str">
            <v>전기공학</v>
          </cell>
          <cell r="H166" t="str">
            <v>533523079</v>
          </cell>
          <cell r="I166" t="str">
            <v>017-515-4428</v>
          </cell>
          <cell r="J166">
            <v>169</v>
          </cell>
          <cell r="K166">
            <v>54</v>
          </cell>
          <cell r="L166">
            <v>95</v>
          </cell>
        </row>
        <row r="167">
          <cell r="A167">
            <v>103</v>
          </cell>
          <cell r="B167" t="str">
            <v>유현오</v>
          </cell>
          <cell r="C167" t="str">
            <v>경북대</v>
          </cell>
          <cell r="D167" t="str">
            <v>전기</v>
          </cell>
          <cell r="E167" t="str">
            <v>경북대</v>
          </cell>
          <cell r="F167" t="str">
            <v>전기공학</v>
          </cell>
          <cell r="H167" t="str">
            <v>053)940-8746</v>
          </cell>
          <cell r="I167" t="str">
            <v>017-511-2844</v>
          </cell>
          <cell r="J167">
            <v>172</v>
          </cell>
          <cell r="K167">
            <v>77</v>
          </cell>
          <cell r="L167">
            <v>100</v>
          </cell>
        </row>
        <row r="168">
          <cell r="A168">
            <v>180</v>
          </cell>
          <cell r="B168" t="str">
            <v>최진만</v>
          </cell>
          <cell r="C168" t="str">
            <v>경북대</v>
          </cell>
          <cell r="D168" t="str">
            <v>전기</v>
          </cell>
          <cell r="E168" t="str">
            <v>경북대</v>
          </cell>
          <cell r="F168" t="str">
            <v>전기공학</v>
          </cell>
          <cell r="H168" t="str">
            <v>053-853-3373</v>
          </cell>
          <cell r="J168">
            <v>172</v>
          </cell>
          <cell r="K168">
            <v>66</v>
          </cell>
          <cell r="L168">
            <v>100</v>
          </cell>
        </row>
        <row r="169">
          <cell r="A169">
            <v>55</v>
          </cell>
          <cell r="B169" t="str">
            <v>박용하</v>
          </cell>
          <cell r="C169" t="str">
            <v>고려대</v>
          </cell>
          <cell r="D169" t="str">
            <v>전기</v>
          </cell>
          <cell r="H169" t="str">
            <v>0446-877-0757</v>
          </cell>
          <cell r="I169" t="str">
            <v>011-9752-1562</v>
          </cell>
          <cell r="J169">
            <v>168</v>
          </cell>
          <cell r="K169">
            <v>62</v>
          </cell>
          <cell r="L169">
            <v>95</v>
          </cell>
        </row>
        <row r="170">
          <cell r="A170">
            <v>29</v>
          </cell>
          <cell r="B170" t="str">
            <v>김정대</v>
          </cell>
          <cell r="C170" t="str">
            <v>고려대</v>
          </cell>
          <cell r="D170" t="str">
            <v>전기</v>
          </cell>
          <cell r="H170" t="str">
            <v>02-804-1991</v>
          </cell>
          <cell r="I170" t="str">
            <v>016-299-0775</v>
          </cell>
          <cell r="J170">
            <v>173</v>
          </cell>
          <cell r="K170">
            <v>70</v>
          </cell>
          <cell r="L170">
            <v>100</v>
          </cell>
        </row>
        <row r="171">
          <cell r="A171">
            <v>49</v>
          </cell>
          <cell r="B171" t="str">
            <v>박노중</v>
          </cell>
          <cell r="C171" t="str">
            <v>광운대</v>
          </cell>
          <cell r="D171" t="str">
            <v>전기</v>
          </cell>
          <cell r="E171" t="str">
            <v>광운대</v>
          </cell>
          <cell r="F171" t="str">
            <v>전기공학</v>
          </cell>
          <cell r="H171" t="str">
            <v>(02)940-5146</v>
          </cell>
          <cell r="I171" t="str">
            <v>016-396-6253</v>
          </cell>
          <cell r="J171">
            <v>170</v>
          </cell>
          <cell r="K171">
            <v>67</v>
          </cell>
          <cell r="L171">
            <v>95</v>
          </cell>
        </row>
        <row r="172">
          <cell r="A172">
            <v>122</v>
          </cell>
          <cell r="B172" t="str">
            <v>이용석</v>
          </cell>
          <cell r="C172" t="str">
            <v>광운대</v>
          </cell>
          <cell r="D172" t="str">
            <v>전기</v>
          </cell>
          <cell r="H172" t="str">
            <v>0344-902-0787</v>
          </cell>
          <cell r="I172" t="str">
            <v>018-207-0787</v>
          </cell>
          <cell r="J172">
            <v>170</v>
          </cell>
          <cell r="K172">
            <v>69</v>
          </cell>
          <cell r="L172">
            <v>95</v>
          </cell>
        </row>
        <row r="173">
          <cell r="A173">
            <v>157</v>
          </cell>
          <cell r="B173" t="str">
            <v>정홍주</v>
          </cell>
          <cell r="C173" t="str">
            <v>광운대</v>
          </cell>
          <cell r="D173" t="str">
            <v>전기</v>
          </cell>
          <cell r="E173" t="str">
            <v>광운대</v>
          </cell>
          <cell r="F173" t="str">
            <v>전기공학</v>
          </cell>
          <cell r="H173" t="str">
            <v>02-940-5146</v>
          </cell>
          <cell r="I173" t="str">
            <v>017-274-7237</v>
          </cell>
          <cell r="J173">
            <v>169</v>
          </cell>
          <cell r="K173">
            <v>63</v>
          </cell>
          <cell r="L173">
            <v>95</v>
          </cell>
        </row>
        <row r="174">
          <cell r="A174">
            <v>12</v>
          </cell>
          <cell r="B174" t="str">
            <v>한수영</v>
          </cell>
          <cell r="C174" t="str">
            <v>광운대</v>
          </cell>
          <cell r="D174" t="str">
            <v>전기</v>
          </cell>
          <cell r="E174" t="str">
            <v>광운대</v>
          </cell>
          <cell r="F174" t="str">
            <v>전기공학</v>
          </cell>
          <cell r="H174" t="str">
            <v>02-940-5148</v>
          </cell>
          <cell r="I174" t="str">
            <v>017-752-1583</v>
          </cell>
          <cell r="J174">
            <v>175</v>
          </cell>
          <cell r="K174">
            <v>62</v>
          </cell>
          <cell r="L174">
            <v>100</v>
          </cell>
          <cell r="M174" t="str">
            <v>신검탈락 검증자</v>
          </cell>
        </row>
        <row r="175">
          <cell r="A175">
            <v>11</v>
          </cell>
          <cell r="B175" t="str">
            <v>김남수</v>
          </cell>
          <cell r="C175" t="str">
            <v>광운대</v>
          </cell>
          <cell r="D175" t="str">
            <v>전기</v>
          </cell>
          <cell r="H175" t="str">
            <v>965-7552</v>
          </cell>
          <cell r="I175" t="str">
            <v>017-315-9310</v>
          </cell>
          <cell r="J175">
            <v>180</v>
          </cell>
          <cell r="K175">
            <v>75</v>
          </cell>
          <cell r="L175">
            <v>105</v>
          </cell>
        </row>
        <row r="176">
          <cell r="A176">
            <v>63</v>
          </cell>
          <cell r="B176" t="str">
            <v>배수진</v>
          </cell>
          <cell r="C176" t="str">
            <v>부산대</v>
          </cell>
          <cell r="D176" t="str">
            <v>전기</v>
          </cell>
          <cell r="H176" t="str">
            <v>051-754-2063</v>
          </cell>
          <cell r="I176" t="str">
            <v>011-9550-2063</v>
          </cell>
          <cell r="J176">
            <v>168</v>
          </cell>
          <cell r="K176">
            <v>68</v>
          </cell>
          <cell r="L176">
            <v>95</v>
          </cell>
        </row>
        <row r="177">
          <cell r="A177">
            <v>90</v>
          </cell>
          <cell r="B177" t="str">
            <v>오성룡</v>
          </cell>
          <cell r="C177" t="str">
            <v>부산대</v>
          </cell>
          <cell r="D177" t="str">
            <v>전기</v>
          </cell>
          <cell r="H177" t="str">
            <v>5512882506</v>
          </cell>
          <cell r="I177" t="str">
            <v>019-276-0818</v>
          </cell>
          <cell r="J177">
            <v>171</v>
          </cell>
          <cell r="K177">
            <v>70</v>
          </cell>
          <cell r="L177">
            <v>100</v>
          </cell>
        </row>
        <row r="178">
          <cell r="A178">
            <v>110</v>
          </cell>
          <cell r="B178" t="str">
            <v>이곤</v>
          </cell>
          <cell r="C178" t="str">
            <v>숭실대</v>
          </cell>
          <cell r="D178" t="str">
            <v>전기</v>
          </cell>
          <cell r="E178" t="str">
            <v>숭실대</v>
          </cell>
          <cell r="F178" t="str">
            <v>전기공학</v>
          </cell>
          <cell r="H178" t="str">
            <v>032-654-1779</v>
          </cell>
          <cell r="I178" t="str">
            <v>016-430-1972</v>
          </cell>
          <cell r="J178">
            <v>173</v>
          </cell>
          <cell r="K178">
            <v>56</v>
          </cell>
          <cell r="L178">
            <v>100</v>
          </cell>
        </row>
        <row r="179">
          <cell r="A179">
            <v>14</v>
          </cell>
          <cell r="B179" t="str">
            <v>김선근</v>
          </cell>
          <cell r="C179" t="str">
            <v>인하대</v>
          </cell>
          <cell r="D179" t="str">
            <v>전기</v>
          </cell>
          <cell r="H179" t="str">
            <v>02-723-9361</v>
          </cell>
          <cell r="I179" t="str">
            <v>016-322-8826</v>
          </cell>
          <cell r="J179">
            <v>168</v>
          </cell>
          <cell r="K179">
            <v>61</v>
          </cell>
          <cell r="L179">
            <v>95</v>
          </cell>
        </row>
        <row r="180">
          <cell r="A180">
            <v>114</v>
          </cell>
          <cell r="B180" t="str">
            <v>이상국</v>
          </cell>
          <cell r="C180" t="str">
            <v>인하대</v>
          </cell>
          <cell r="D180" t="str">
            <v>전기</v>
          </cell>
          <cell r="H180" t="str">
            <v>032-518-6939</v>
          </cell>
          <cell r="I180" t="str">
            <v>017-339-9620</v>
          </cell>
          <cell r="J180">
            <v>179</v>
          </cell>
          <cell r="K180">
            <v>66</v>
          </cell>
          <cell r="L180">
            <v>105</v>
          </cell>
        </row>
        <row r="181">
          <cell r="A181">
            <v>172</v>
          </cell>
          <cell r="B181" t="str">
            <v>최동선</v>
          </cell>
          <cell r="C181" t="str">
            <v>인하대</v>
          </cell>
          <cell r="D181" t="str">
            <v>전기</v>
          </cell>
          <cell r="H181" t="str">
            <v>018-237-2625</v>
          </cell>
          <cell r="I181" t="str">
            <v>018-237-2625</v>
          </cell>
          <cell r="J181">
            <v>179</v>
          </cell>
          <cell r="K181">
            <v>64</v>
          </cell>
          <cell r="L181">
            <v>105</v>
          </cell>
        </row>
        <row r="182">
          <cell r="A182">
            <v>61</v>
          </cell>
          <cell r="B182" t="str">
            <v>박화성</v>
          </cell>
          <cell r="C182" t="str">
            <v>중앙대</v>
          </cell>
          <cell r="D182" t="str">
            <v>전기</v>
          </cell>
          <cell r="H182" t="str">
            <v>02-825-9392</v>
          </cell>
          <cell r="I182" t="str">
            <v>016-403-2611</v>
          </cell>
          <cell r="J182">
            <v>170</v>
          </cell>
          <cell r="K182">
            <v>63</v>
          </cell>
          <cell r="L182">
            <v>95</v>
          </cell>
        </row>
        <row r="183">
          <cell r="A183">
            <v>3</v>
          </cell>
          <cell r="B183" t="str">
            <v>노현수</v>
          </cell>
          <cell r="C183" t="str">
            <v>중앙대</v>
          </cell>
          <cell r="D183" t="str">
            <v>전기</v>
          </cell>
          <cell r="H183" t="str">
            <v>02-2246-0130</v>
          </cell>
          <cell r="I183" t="str">
            <v>019-326-0131</v>
          </cell>
          <cell r="J183">
            <v>172</v>
          </cell>
          <cell r="K183">
            <v>68</v>
          </cell>
          <cell r="L183">
            <v>100</v>
          </cell>
          <cell r="M183" t="str">
            <v>추가자</v>
          </cell>
        </row>
        <row r="184">
          <cell r="A184">
            <v>13</v>
          </cell>
          <cell r="B184" t="str">
            <v>김민수</v>
          </cell>
          <cell r="C184" t="str">
            <v>한양대</v>
          </cell>
          <cell r="D184" t="str">
            <v>전기</v>
          </cell>
          <cell r="E184" t="str">
            <v>한양대</v>
          </cell>
          <cell r="F184" t="str">
            <v>전기공학</v>
          </cell>
          <cell r="H184" t="str">
            <v>0345-418-2976</v>
          </cell>
          <cell r="I184" t="str">
            <v>019-264-3412</v>
          </cell>
          <cell r="J184">
            <v>168</v>
          </cell>
          <cell r="K184">
            <v>58</v>
          </cell>
          <cell r="L184">
            <v>95</v>
          </cell>
        </row>
        <row r="185">
          <cell r="A185">
            <v>1</v>
          </cell>
          <cell r="B185" t="str">
            <v>강봉수</v>
          </cell>
          <cell r="C185" t="str">
            <v>한양대</v>
          </cell>
          <cell r="D185" t="str">
            <v>전기</v>
          </cell>
          <cell r="H185" t="str">
            <v>0591-758-3428</v>
          </cell>
          <cell r="J185">
            <v>175</v>
          </cell>
          <cell r="K185">
            <v>65</v>
          </cell>
          <cell r="L185">
            <v>100</v>
          </cell>
        </row>
        <row r="186">
          <cell r="A186">
            <v>97</v>
          </cell>
          <cell r="B186" t="str">
            <v>왕석훈</v>
          </cell>
          <cell r="C186" t="str">
            <v>한양대</v>
          </cell>
          <cell r="D186" t="str">
            <v>전기</v>
          </cell>
          <cell r="H186" t="str">
            <v>02-445-5747</v>
          </cell>
          <cell r="I186" t="str">
            <v>018-203-5747</v>
          </cell>
          <cell r="J186">
            <v>175</v>
          </cell>
          <cell r="K186">
            <v>62</v>
          </cell>
          <cell r="L186">
            <v>100</v>
          </cell>
        </row>
        <row r="187">
          <cell r="A187">
            <v>10</v>
          </cell>
          <cell r="B187" t="str">
            <v>김구성</v>
          </cell>
          <cell r="C187" t="str">
            <v>한양대</v>
          </cell>
          <cell r="D187" t="str">
            <v>전기</v>
          </cell>
          <cell r="H187" t="str">
            <v>0346-521-9252</v>
          </cell>
          <cell r="I187" t="str">
            <v>017-710-0101</v>
          </cell>
          <cell r="J187">
            <v>176</v>
          </cell>
          <cell r="K187">
            <v>64</v>
          </cell>
          <cell r="L187">
            <v>105</v>
          </cell>
        </row>
        <row r="188">
          <cell r="A188">
            <v>144</v>
          </cell>
          <cell r="B188" t="str">
            <v>전대웅</v>
          </cell>
          <cell r="C188" t="str">
            <v>한양대</v>
          </cell>
          <cell r="D188" t="str">
            <v>전기</v>
          </cell>
          <cell r="H188" t="str">
            <v>02) 883-3824</v>
          </cell>
          <cell r="I188" t="str">
            <v>018-271-3824</v>
          </cell>
          <cell r="J188">
            <v>183</v>
          </cell>
          <cell r="K188">
            <v>75</v>
          </cell>
          <cell r="L188">
            <v>110</v>
          </cell>
        </row>
        <row r="189">
          <cell r="A189">
            <v>175</v>
          </cell>
          <cell r="B189" t="str">
            <v>최영식</v>
          </cell>
          <cell r="C189" t="str">
            <v>홍익대</v>
          </cell>
          <cell r="D189" t="str">
            <v>전기</v>
          </cell>
          <cell r="H189" t="str">
            <v>02-658-7468</v>
          </cell>
          <cell r="I189" t="str">
            <v>011-399-7468</v>
          </cell>
          <cell r="J189">
            <v>168</v>
          </cell>
          <cell r="K189">
            <v>61</v>
          </cell>
          <cell r="L189">
            <v>95</v>
          </cell>
        </row>
        <row r="190">
          <cell r="A190">
            <v>79</v>
          </cell>
          <cell r="B190" t="str">
            <v>심창보</v>
          </cell>
          <cell r="C190" t="str">
            <v>연세대</v>
          </cell>
          <cell r="D190" t="str">
            <v>전기</v>
          </cell>
          <cell r="H190" t="str">
            <v>02-320-2842</v>
          </cell>
          <cell r="I190" t="str">
            <v>019-373-9534</v>
          </cell>
          <cell r="J190">
            <v>178</v>
          </cell>
          <cell r="K190">
            <v>70</v>
          </cell>
          <cell r="L190">
            <v>105</v>
          </cell>
        </row>
        <row r="191">
          <cell r="A191">
            <v>9</v>
          </cell>
          <cell r="B191" t="str">
            <v>허경회</v>
          </cell>
          <cell r="C191" t="str">
            <v>연세대</v>
          </cell>
          <cell r="D191" t="str">
            <v>전기</v>
          </cell>
          <cell r="E191" t="str">
            <v>연세대</v>
          </cell>
          <cell r="F191" t="str">
            <v>전기공학</v>
          </cell>
          <cell r="H191" t="str">
            <v>02-913-4859</v>
          </cell>
          <cell r="I191" t="str">
            <v>015-8335-4859</v>
          </cell>
          <cell r="M191" t="str">
            <v>산학장학생</v>
          </cell>
        </row>
        <row r="192">
          <cell r="A192">
            <v>198</v>
          </cell>
          <cell r="B192" t="str">
            <v>양진우</v>
          </cell>
          <cell r="C192" t="str">
            <v>서울대</v>
          </cell>
          <cell r="D192" t="str">
            <v>전기전자제어</v>
          </cell>
          <cell r="E192" t="str">
            <v>서울대</v>
          </cell>
          <cell r="F192" t="str">
            <v>전기전자제어</v>
          </cell>
          <cell r="H192" t="str">
            <v>02-591-3887</v>
          </cell>
          <cell r="I192" t="str">
            <v>015-8390-5206</v>
          </cell>
          <cell r="J192">
            <v>175</v>
          </cell>
          <cell r="K192">
            <v>70</v>
          </cell>
          <cell r="L192">
            <v>100</v>
          </cell>
        </row>
        <row r="193">
          <cell r="A193">
            <v>54</v>
          </cell>
          <cell r="B193" t="str">
            <v>박용순</v>
          </cell>
          <cell r="C193" t="str">
            <v>서울시립대</v>
          </cell>
          <cell r="D193" t="str">
            <v>전기전자제어</v>
          </cell>
          <cell r="H193" t="str">
            <v>02-835-3684</v>
          </cell>
          <cell r="I193" t="str">
            <v>019-296-4297</v>
          </cell>
          <cell r="J193">
            <v>170</v>
          </cell>
          <cell r="K193">
            <v>60</v>
          </cell>
          <cell r="L193">
            <v>95</v>
          </cell>
        </row>
        <row r="194">
          <cell r="A194">
            <v>31</v>
          </cell>
          <cell r="B194" t="str">
            <v>김준수</v>
          </cell>
          <cell r="C194" t="str">
            <v>중앙대</v>
          </cell>
          <cell r="D194" t="str">
            <v>전기전자제어</v>
          </cell>
          <cell r="H194" t="str">
            <v>02-651-4214</v>
          </cell>
          <cell r="I194" t="str">
            <v>016-207-4214</v>
          </cell>
          <cell r="J194">
            <v>170</v>
          </cell>
          <cell r="K194">
            <v>64</v>
          </cell>
          <cell r="L194">
            <v>95</v>
          </cell>
        </row>
        <row r="195">
          <cell r="A195">
            <v>8</v>
          </cell>
          <cell r="B195" t="str">
            <v>고병국</v>
          </cell>
          <cell r="C195" t="str">
            <v>중앙대</v>
          </cell>
          <cell r="D195" t="str">
            <v>전기전자제어</v>
          </cell>
          <cell r="H195" t="str">
            <v>0591-752-2885</v>
          </cell>
          <cell r="I195" t="str">
            <v>017-314-7598</v>
          </cell>
          <cell r="J195">
            <v>171</v>
          </cell>
          <cell r="K195">
            <v>63</v>
          </cell>
          <cell r="L195">
            <v>100</v>
          </cell>
        </row>
        <row r="196">
          <cell r="A196">
            <v>170</v>
          </cell>
          <cell r="B196" t="str">
            <v>천완호</v>
          </cell>
          <cell r="C196" t="str">
            <v>중앙대</v>
          </cell>
          <cell r="D196" t="str">
            <v>전기전자제어</v>
          </cell>
          <cell r="H196" t="str">
            <v>0343-446-7953</v>
          </cell>
          <cell r="I196" t="str">
            <v>011-9756-7147</v>
          </cell>
          <cell r="J196">
            <v>174</v>
          </cell>
          <cell r="K196">
            <v>69</v>
          </cell>
          <cell r="L196">
            <v>100</v>
          </cell>
        </row>
        <row r="197">
          <cell r="A197">
            <v>184</v>
          </cell>
          <cell r="B197" t="str">
            <v>한형희</v>
          </cell>
          <cell r="C197" t="str">
            <v>중앙대</v>
          </cell>
          <cell r="D197" t="str">
            <v>전기전자제어</v>
          </cell>
          <cell r="H197" t="str">
            <v>02-2611-3880</v>
          </cell>
          <cell r="I197" t="str">
            <v>011-447-3880</v>
          </cell>
          <cell r="J197">
            <v>173</v>
          </cell>
          <cell r="K197">
            <v>66</v>
          </cell>
          <cell r="L197">
            <v>100</v>
          </cell>
        </row>
        <row r="198">
          <cell r="A198">
            <v>138</v>
          </cell>
          <cell r="B198" t="str">
            <v>임석현</v>
          </cell>
          <cell r="C198" t="str">
            <v>중앙대</v>
          </cell>
          <cell r="D198" t="str">
            <v>전기전자제어</v>
          </cell>
          <cell r="H198" t="str">
            <v>032-464-0879</v>
          </cell>
          <cell r="I198" t="str">
            <v>016-753-2834</v>
          </cell>
          <cell r="J198">
            <v>176</v>
          </cell>
          <cell r="K198">
            <v>71</v>
          </cell>
          <cell r="L198">
            <v>105</v>
          </cell>
        </row>
        <row r="199">
          <cell r="A199">
            <v>142</v>
          </cell>
          <cell r="B199" t="str">
            <v>장준원</v>
          </cell>
          <cell r="C199" t="str">
            <v>서강대</v>
          </cell>
          <cell r="D199" t="str">
            <v>전자계산</v>
          </cell>
          <cell r="E199" t="str">
            <v>서강대</v>
          </cell>
          <cell r="F199" t="str">
            <v>공학계열기타</v>
          </cell>
          <cell r="H199" t="str">
            <v>02-325-6591</v>
          </cell>
          <cell r="I199" t="str">
            <v>011-795-6598</v>
          </cell>
          <cell r="J199">
            <v>176</v>
          </cell>
          <cell r="K199">
            <v>88</v>
          </cell>
          <cell r="L199">
            <v>105</v>
          </cell>
        </row>
        <row r="200">
          <cell r="A200">
            <v>190</v>
          </cell>
          <cell r="B200" t="str">
            <v>황경태</v>
          </cell>
          <cell r="C200" t="str">
            <v>연세대</v>
          </cell>
          <cell r="D200" t="str">
            <v>전자공</v>
          </cell>
          <cell r="E200" t="str">
            <v>연세대</v>
          </cell>
          <cell r="F200" t="str">
            <v>전자공학</v>
          </cell>
          <cell r="H200" t="str">
            <v>02-420-8607</v>
          </cell>
          <cell r="I200" t="str">
            <v>011-725-8607</v>
          </cell>
          <cell r="J200">
            <v>168</v>
          </cell>
          <cell r="K200">
            <v>58</v>
          </cell>
          <cell r="L200">
            <v>95</v>
          </cell>
        </row>
        <row r="201">
          <cell r="A201">
            <v>67</v>
          </cell>
          <cell r="B201" t="str">
            <v>백승수</v>
          </cell>
          <cell r="C201" t="str">
            <v>한양대</v>
          </cell>
          <cell r="D201" t="str">
            <v>전자공</v>
          </cell>
          <cell r="E201" t="str">
            <v>한양대</v>
          </cell>
          <cell r="F201" t="str">
            <v>전자공학</v>
          </cell>
          <cell r="H201" t="str">
            <v>02-2299-9798</v>
          </cell>
          <cell r="I201" t="str">
            <v>011-9068-6190</v>
          </cell>
          <cell r="J201">
            <v>172</v>
          </cell>
          <cell r="K201">
            <v>56</v>
          </cell>
          <cell r="L201">
            <v>100</v>
          </cell>
        </row>
        <row r="202">
          <cell r="A202">
            <v>6</v>
          </cell>
          <cell r="B202" t="str">
            <v>강세환</v>
          </cell>
          <cell r="C202" t="str">
            <v>한양대</v>
          </cell>
          <cell r="D202" t="str">
            <v>전자공</v>
          </cell>
          <cell r="H202" t="str">
            <v>02-556-0787</v>
          </cell>
          <cell r="I202" t="str">
            <v>011-749-0787</v>
          </cell>
          <cell r="J202">
            <v>176</v>
          </cell>
          <cell r="K202">
            <v>69</v>
          </cell>
          <cell r="L202">
            <v>105</v>
          </cell>
        </row>
        <row r="203">
          <cell r="A203">
            <v>59</v>
          </cell>
          <cell r="B203" t="str">
            <v>박진표</v>
          </cell>
          <cell r="C203" t="str">
            <v>연세대</v>
          </cell>
          <cell r="D203" t="str">
            <v>전자공학</v>
          </cell>
          <cell r="H203" t="str">
            <v>02-442-6758</v>
          </cell>
          <cell r="I203" t="str">
            <v>019-351-6758</v>
          </cell>
          <cell r="J203">
            <v>179</v>
          </cell>
          <cell r="K203">
            <v>78</v>
          </cell>
          <cell r="L203">
            <v>105</v>
          </cell>
        </row>
        <row r="204">
          <cell r="A204">
            <v>34</v>
          </cell>
          <cell r="B204" t="str">
            <v>김태영</v>
          </cell>
          <cell r="C204" t="str">
            <v>한양대</v>
          </cell>
          <cell r="D204" t="str">
            <v>전자공학</v>
          </cell>
          <cell r="I204" t="str">
            <v>016-379-2326</v>
          </cell>
          <cell r="J204">
            <v>174</v>
          </cell>
          <cell r="K204">
            <v>70</v>
          </cell>
          <cell r="L204">
            <v>100</v>
          </cell>
        </row>
        <row r="205">
          <cell r="A205">
            <v>100</v>
          </cell>
          <cell r="B205" t="str">
            <v>유세종</v>
          </cell>
          <cell r="C205" t="str">
            <v>한양대</v>
          </cell>
          <cell r="D205" t="str">
            <v>전자공학</v>
          </cell>
          <cell r="H205" t="str">
            <v>02-712-8847</v>
          </cell>
          <cell r="I205" t="str">
            <v>011-233-8847</v>
          </cell>
          <cell r="J205">
            <v>173</v>
          </cell>
          <cell r="K205">
            <v>65</v>
          </cell>
          <cell r="L205">
            <v>100</v>
          </cell>
        </row>
        <row r="206">
          <cell r="A206">
            <v>83</v>
          </cell>
          <cell r="B206" t="str">
            <v>안태근</v>
          </cell>
          <cell r="C206" t="str">
            <v>성균관대</v>
          </cell>
          <cell r="D206" t="str">
            <v>정보통신공</v>
          </cell>
          <cell r="H206" t="str">
            <v>051-205-2923</v>
          </cell>
          <cell r="I206" t="str">
            <v>016-760-2923</v>
          </cell>
          <cell r="J206">
            <v>178</v>
          </cell>
          <cell r="K206">
            <v>75</v>
          </cell>
          <cell r="L206">
            <v>105</v>
          </cell>
        </row>
        <row r="207">
          <cell r="A207">
            <v>137</v>
          </cell>
          <cell r="B207" t="str">
            <v>이호석</v>
          </cell>
          <cell r="C207" t="str">
            <v>연세대</v>
          </cell>
          <cell r="D207" t="str">
            <v>정치외교</v>
          </cell>
          <cell r="H207" t="str">
            <v>0342-621-0632</v>
          </cell>
          <cell r="I207" t="str">
            <v>018-253-5353</v>
          </cell>
          <cell r="J207">
            <v>183</v>
          </cell>
          <cell r="K207">
            <v>75</v>
          </cell>
          <cell r="L207">
            <v>110</v>
          </cell>
        </row>
        <row r="208">
          <cell r="A208">
            <v>192</v>
          </cell>
          <cell r="B208" t="str">
            <v>황재용</v>
          </cell>
          <cell r="C208" t="str">
            <v>고려대</v>
          </cell>
          <cell r="D208" t="str">
            <v>제어계측</v>
          </cell>
          <cell r="H208" t="str">
            <v>017-348-3110</v>
          </cell>
          <cell r="I208" t="str">
            <v>017-348-3110</v>
          </cell>
          <cell r="J208">
            <v>173</v>
          </cell>
          <cell r="K208">
            <v>63</v>
          </cell>
          <cell r="L208">
            <v>100</v>
          </cell>
        </row>
        <row r="209">
          <cell r="A209">
            <v>3</v>
          </cell>
          <cell r="B209" t="str">
            <v>강석진</v>
          </cell>
          <cell r="C209" t="str">
            <v>북경문화대</v>
          </cell>
          <cell r="D209" t="str">
            <v>중국사상사</v>
          </cell>
          <cell r="H209" t="str">
            <v>0341-983-2372</v>
          </cell>
          <cell r="J209">
            <v>178</v>
          </cell>
          <cell r="K209">
            <v>75</v>
          </cell>
          <cell r="L209">
            <v>105</v>
          </cell>
        </row>
        <row r="210">
          <cell r="A210">
            <v>12</v>
          </cell>
          <cell r="B210" t="str">
            <v>김대길</v>
          </cell>
          <cell r="C210" t="str">
            <v>서울대</v>
          </cell>
          <cell r="D210" t="str">
            <v>지질(과)학</v>
          </cell>
          <cell r="H210" t="str">
            <v>842-5038</v>
          </cell>
          <cell r="I210" t="str">
            <v>016-298-5822</v>
          </cell>
          <cell r="J210">
            <v>172</v>
          </cell>
          <cell r="K210">
            <v>65</v>
          </cell>
          <cell r="L210">
            <v>100</v>
          </cell>
        </row>
        <row r="211">
          <cell r="A211">
            <v>64</v>
          </cell>
          <cell r="B211" t="str">
            <v>배승환</v>
          </cell>
          <cell r="C211" t="str">
            <v>서울대</v>
          </cell>
          <cell r="D211" t="str">
            <v>천연섬유학</v>
          </cell>
          <cell r="H211" t="str">
            <v>02-817-7461</v>
          </cell>
          <cell r="I211" t="str">
            <v>017-292-7461</v>
          </cell>
          <cell r="J211">
            <v>168</v>
          </cell>
          <cell r="K211">
            <v>62</v>
          </cell>
          <cell r="L211">
            <v>95</v>
          </cell>
        </row>
        <row r="212">
          <cell r="A212">
            <v>160</v>
          </cell>
          <cell r="B212" t="str">
            <v>조민호</v>
          </cell>
          <cell r="C212" t="str">
            <v>고려대</v>
          </cell>
          <cell r="D212" t="str">
            <v>컴퓨터</v>
          </cell>
          <cell r="H212" t="str">
            <v>02-987-9260</v>
          </cell>
          <cell r="I212" t="str">
            <v>017-563-1678</v>
          </cell>
          <cell r="J212">
            <v>175</v>
          </cell>
          <cell r="K212">
            <v>68</v>
          </cell>
          <cell r="L212">
            <v>100</v>
          </cell>
        </row>
        <row r="213">
          <cell r="A213">
            <v>2</v>
          </cell>
          <cell r="B213" t="str">
            <v>강석진</v>
          </cell>
          <cell r="C213" t="str">
            <v>단국대</v>
          </cell>
          <cell r="D213" t="str">
            <v>컴퓨터</v>
          </cell>
          <cell r="H213" t="str">
            <v>032-772-8833</v>
          </cell>
          <cell r="I213" t="str">
            <v>018-280-2976</v>
          </cell>
          <cell r="J213">
            <v>171</v>
          </cell>
          <cell r="K213">
            <v>62</v>
          </cell>
          <cell r="L213">
            <v>100</v>
          </cell>
        </row>
        <row r="214">
          <cell r="A214">
            <v>117</v>
          </cell>
          <cell r="B214" t="str">
            <v>이상훈</v>
          </cell>
          <cell r="C214" t="str">
            <v>남인디애나</v>
          </cell>
          <cell r="D214" t="str">
            <v>컴퓨터</v>
          </cell>
          <cell r="H214" t="str">
            <v>0343-397-6508</v>
          </cell>
          <cell r="I214" t="str">
            <v>011-323-2196</v>
          </cell>
          <cell r="J214">
            <v>172</v>
          </cell>
          <cell r="K214">
            <v>61</v>
          </cell>
          <cell r="L214">
            <v>100</v>
          </cell>
        </row>
        <row r="215">
          <cell r="A215">
            <v>72</v>
          </cell>
          <cell r="B215" t="str">
            <v>성홍석</v>
          </cell>
          <cell r="C215" t="str">
            <v>부산대</v>
          </cell>
          <cell r="D215" t="str">
            <v>행정</v>
          </cell>
          <cell r="H215" t="str">
            <v>051-255-1797</v>
          </cell>
          <cell r="I215" t="str">
            <v>019-599-1797</v>
          </cell>
          <cell r="J215">
            <v>172</v>
          </cell>
          <cell r="K215">
            <v>83</v>
          </cell>
          <cell r="L215">
            <v>100</v>
          </cell>
        </row>
        <row r="216">
          <cell r="A216">
            <v>89</v>
          </cell>
          <cell r="B216" t="str">
            <v>오경종</v>
          </cell>
          <cell r="C216" t="str">
            <v>고려대</v>
          </cell>
          <cell r="D216" t="str">
            <v>화공</v>
          </cell>
          <cell r="H216" t="str">
            <v>062-373-4655</v>
          </cell>
          <cell r="I216" t="str">
            <v>011-716-8979</v>
          </cell>
          <cell r="J216">
            <v>174</v>
          </cell>
          <cell r="K216">
            <v>62</v>
          </cell>
          <cell r="L216">
            <v>100</v>
          </cell>
        </row>
        <row r="217">
          <cell r="A217">
            <v>23</v>
          </cell>
          <cell r="B217" t="str">
            <v>김연준</v>
          </cell>
          <cell r="C217" t="str">
            <v>고려대</v>
          </cell>
          <cell r="D217" t="str">
            <v>화공</v>
          </cell>
          <cell r="H217" t="str">
            <v>02-821-4064</v>
          </cell>
          <cell r="I217" t="str">
            <v>017-221-4064</v>
          </cell>
          <cell r="J217">
            <v>176</v>
          </cell>
          <cell r="K217">
            <v>76</v>
          </cell>
          <cell r="L217">
            <v>105</v>
          </cell>
        </row>
        <row r="218">
          <cell r="A218">
            <v>52</v>
          </cell>
          <cell r="B218" t="str">
            <v>박수남</v>
          </cell>
          <cell r="C218" t="str">
            <v>고려대</v>
          </cell>
          <cell r="D218" t="str">
            <v>화공</v>
          </cell>
          <cell r="H218" t="str">
            <v>02-923-8714</v>
          </cell>
          <cell r="I218" t="str">
            <v>016-713-9366</v>
          </cell>
          <cell r="J218">
            <v>176</v>
          </cell>
          <cell r="K218">
            <v>66</v>
          </cell>
          <cell r="L218">
            <v>105</v>
          </cell>
        </row>
        <row r="219">
          <cell r="A219">
            <v>191</v>
          </cell>
          <cell r="B219" t="str">
            <v>황석민</v>
          </cell>
          <cell r="C219" t="str">
            <v>고려대</v>
          </cell>
          <cell r="D219" t="str">
            <v>화공</v>
          </cell>
          <cell r="H219" t="str">
            <v>02-921-9993</v>
          </cell>
          <cell r="I219" t="str">
            <v>019-567-9336</v>
          </cell>
          <cell r="J219">
            <v>175</v>
          </cell>
          <cell r="K219">
            <v>70</v>
          </cell>
          <cell r="L219">
            <v>110</v>
          </cell>
        </row>
        <row r="220">
          <cell r="A220">
            <v>104</v>
          </cell>
          <cell r="B220" t="str">
            <v>윤석주</v>
          </cell>
          <cell r="C220" t="str">
            <v>홍익대</v>
          </cell>
          <cell r="D220" t="str">
            <v>화공</v>
          </cell>
          <cell r="H220" t="str">
            <v>02-445-5861</v>
          </cell>
          <cell r="I220" t="str">
            <v>012-1885-5861</v>
          </cell>
          <cell r="J220">
            <v>188</v>
          </cell>
          <cell r="K220">
            <v>80</v>
          </cell>
          <cell r="L220">
            <v>110</v>
          </cell>
        </row>
        <row r="221">
          <cell r="A221">
            <v>37</v>
          </cell>
          <cell r="B221" t="str">
            <v>김희동</v>
          </cell>
          <cell r="C221" t="str">
            <v>고려대</v>
          </cell>
          <cell r="D221" t="str">
            <v>화공</v>
          </cell>
          <cell r="I221" t="str">
            <v>016-367-0035</v>
          </cell>
          <cell r="J221">
            <v>172</v>
          </cell>
          <cell r="K221">
            <v>66</v>
          </cell>
          <cell r="L221">
            <v>100</v>
          </cell>
        </row>
        <row r="222">
          <cell r="A222">
            <v>106</v>
          </cell>
          <cell r="B222" t="str">
            <v>윤영진</v>
          </cell>
          <cell r="C222" t="str">
            <v>서울대</v>
          </cell>
          <cell r="D222" t="str">
            <v>화공</v>
          </cell>
          <cell r="H222" t="str">
            <v>02-749-4457</v>
          </cell>
          <cell r="I222" t="str">
            <v>011-9766-4550</v>
          </cell>
          <cell r="J222">
            <v>180</v>
          </cell>
          <cell r="K222">
            <v>98</v>
          </cell>
          <cell r="L222">
            <v>105</v>
          </cell>
        </row>
        <row r="223">
          <cell r="A223">
            <v>161</v>
          </cell>
          <cell r="B223" t="str">
            <v>조봉관</v>
          </cell>
          <cell r="C223" t="str">
            <v>고려대</v>
          </cell>
          <cell r="D223" t="str">
            <v>화학</v>
          </cell>
          <cell r="E223" t="str">
            <v>고려대</v>
          </cell>
          <cell r="F223" t="str">
            <v>화학</v>
          </cell>
          <cell r="H223" t="str">
            <v>02-711-9428</v>
          </cell>
          <cell r="I223" t="str">
            <v>011-9001-9428</v>
          </cell>
          <cell r="J223">
            <v>176</v>
          </cell>
          <cell r="K223">
            <v>75</v>
          </cell>
          <cell r="L223">
            <v>105</v>
          </cell>
        </row>
        <row r="224">
          <cell r="A224">
            <v>164</v>
          </cell>
          <cell r="B224" t="str">
            <v>조정인</v>
          </cell>
          <cell r="C224" t="str">
            <v>고려대</v>
          </cell>
          <cell r="D224" t="str">
            <v>화학</v>
          </cell>
          <cell r="H224" t="str">
            <v>02-588-3019</v>
          </cell>
          <cell r="I224" t="str">
            <v>019-297-7002</v>
          </cell>
          <cell r="J224">
            <v>182.5</v>
          </cell>
          <cell r="K224">
            <v>77</v>
          </cell>
          <cell r="L224">
            <v>110</v>
          </cell>
        </row>
        <row r="225">
          <cell r="A225">
            <v>196</v>
          </cell>
          <cell r="B225" t="str">
            <v>최형진</v>
          </cell>
          <cell r="C225" t="str">
            <v>서울대</v>
          </cell>
          <cell r="D225" t="str">
            <v>화학</v>
          </cell>
          <cell r="E225" t="str">
            <v>서울대</v>
          </cell>
          <cell r="F225" t="str">
            <v>화학</v>
          </cell>
          <cell r="H225" t="str">
            <v>02-2634-1327</v>
          </cell>
          <cell r="I225" t="str">
            <v>017-769-1327</v>
          </cell>
          <cell r="J225">
            <v>173</v>
          </cell>
          <cell r="K225">
            <v>63</v>
          </cell>
          <cell r="L225">
            <v>100</v>
          </cell>
        </row>
        <row r="226">
          <cell r="A226">
            <v>8</v>
          </cell>
          <cell r="B226" t="str">
            <v>지상수</v>
          </cell>
          <cell r="C226" t="str">
            <v>연세대</v>
          </cell>
          <cell r="D226" t="str">
            <v>화학</v>
          </cell>
          <cell r="E226" t="str">
            <v>연세대</v>
          </cell>
          <cell r="F226" t="str">
            <v>화학</v>
          </cell>
          <cell r="H226" t="str">
            <v>02-922-3722</v>
          </cell>
          <cell r="I226" t="str">
            <v>017-227-3722</v>
          </cell>
          <cell r="M226" t="str">
            <v>산학장학생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 SWGR"/>
      <sheetName val="점수표"/>
      <sheetName val="환산표"/>
      <sheetName val="TTL"/>
      <sheetName val="#3E1_GCR"/>
      <sheetName val="품목별 공급업체 평가 SHEET-원본"/>
      <sheetName val="당초"/>
      <sheetName val="품셈(기초)"/>
      <sheetName val="내역서"/>
      <sheetName val="표지"/>
      <sheetName val="수주추정"/>
      <sheetName val="Setup"/>
      <sheetName val="견적"/>
      <sheetName val="미장"/>
      <sheetName val="CondPol"/>
      <sheetName val="MEXICO-C"/>
      <sheetName val="POWER"/>
      <sheetName val="산근"/>
      <sheetName val="노임단가"/>
      <sheetName val="철탑공사"/>
      <sheetName val="인원계획"/>
      <sheetName val="SIZING"/>
      <sheetName val="Testing"/>
      <sheetName val="NEWDRAW"/>
      <sheetName val="SCHEDULE"/>
      <sheetName val="Cash2"/>
      <sheetName val="Z"/>
      <sheetName val="COVER-P"/>
      <sheetName val="광통신 견적내역서1"/>
      <sheetName val="Lumen"/>
      <sheetName val="품셈TABLE"/>
      <sheetName val=" ｹ-ﾌﾞﾙ"/>
      <sheetName val="내역(한신APT)"/>
      <sheetName val="LP산출"/>
    </sheetNames>
    <sheetDataSet>
      <sheetData sheetId="0" refreshError="1"/>
      <sheetData sheetId="1" refreshError="1"/>
      <sheetData sheetId="2" refreshError="1">
        <row r="1">
          <cell r="A1" t="str">
            <v>상</v>
          </cell>
          <cell r="B1">
            <v>3</v>
          </cell>
        </row>
        <row r="2">
          <cell r="A2" t="str">
            <v>중</v>
          </cell>
          <cell r="B2">
            <v>2</v>
          </cell>
        </row>
        <row r="3">
          <cell r="A3" t="str">
            <v>하</v>
          </cell>
          <cell r="B3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４．１ 主機関係"/>
      <sheetName val="４．１．４　主機廻り配管"/>
      <sheetName val="４．１．５  主機直属配管"/>
      <sheetName val="４．２　ＢＦＰ－Ｔ関係"/>
      <sheetName val="４．２．３　ＢＦＰ－Ｔ直属配管"/>
      <sheetName val="４．３　補機関係"/>
      <sheetName val="４．３．３　補機関係直属配管"/>
      <sheetName val="４．４　諸管関係"/>
      <sheetName val="４．４．２　抽気管"/>
      <sheetName val="４．４．３　復水・給水管"/>
      <sheetName val="４．４．４　給水加熱器ドレン管"/>
      <sheetName val="４．４．５　給水加熱器空気管"/>
      <sheetName val="４．４．６　クリーンアップ管及びブロー管"/>
      <sheetName val="４．４．７　大気放出管"/>
      <sheetName val="４．４．８　Ｎ２シール管"/>
      <sheetName val="４．４．９　検出配管"/>
      <sheetName val="４．４．10　火傷防護・他"/>
      <sheetName val="４．５　防露範囲内"/>
      <sheetName val="４．５．２　防露範囲外"/>
      <sheetName val="４．６　防凍"/>
      <sheetName val="４．７　防音関係"/>
      <sheetName val="屋内"/>
      <sheetName val="屋外"/>
      <sheetName val="外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B2">
            <v>15</v>
          </cell>
          <cell r="C2">
            <v>20</v>
          </cell>
          <cell r="D2">
            <v>25</v>
          </cell>
          <cell r="E2">
            <v>32</v>
          </cell>
          <cell r="F2">
            <v>40</v>
          </cell>
          <cell r="G2">
            <v>50</v>
          </cell>
          <cell r="H2">
            <v>65</v>
          </cell>
          <cell r="I2">
            <v>80</v>
          </cell>
          <cell r="J2">
            <v>100</v>
          </cell>
          <cell r="K2">
            <v>125</v>
          </cell>
          <cell r="L2">
            <v>150</v>
          </cell>
          <cell r="M2">
            <v>200</v>
          </cell>
          <cell r="N2">
            <v>250</v>
          </cell>
          <cell r="O2">
            <v>300</v>
          </cell>
          <cell r="P2">
            <v>350</v>
          </cell>
          <cell r="Q2">
            <v>400</v>
          </cell>
          <cell r="R2">
            <v>450</v>
          </cell>
          <cell r="S2">
            <v>500</v>
          </cell>
          <cell r="T2">
            <v>600</v>
          </cell>
          <cell r="U2">
            <v>700</v>
          </cell>
          <cell r="V2">
            <v>800</v>
          </cell>
          <cell r="W2" t="str">
            <v>-</v>
          </cell>
        </row>
        <row r="4">
          <cell r="B4">
            <v>30</v>
          </cell>
          <cell r="C4">
            <v>30</v>
          </cell>
          <cell r="D4">
            <v>30</v>
          </cell>
          <cell r="E4">
            <v>30</v>
          </cell>
          <cell r="F4">
            <v>30</v>
          </cell>
          <cell r="G4">
            <v>30</v>
          </cell>
          <cell r="H4">
            <v>30</v>
          </cell>
          <cell r="I4">
            <v>30</v>
          </cell>
          <cell r="J4">
            <v>30</v>
          </cell>
          <cell r="K4">
            <v>30</v>
          </cell>
          <cell r="L4">
            <v>30</v>
          </cell>
          <cell r="M4">
            <v>30</v>
          </cell>
          <cell r="N4">
            <v>30</v>
          </cell>
          <cell r="O4">
            <v>40</v>
          </cell>
          <cell r="P4">
            <v>40</v>
          </cell>
          <cell r="Q4">
            <v>40</v>
          </cell>
          <cell r="R4">
            <v>40</v>
          </cell>
          <cell r="S4">
            <v>40</v>
          </cell>
          <cell r="T4">
            <v>40</v>
          </cell>
          <cell r="U4">
            <v>40</v>
          </cell>
          <cell r="V4">
            <v>40</v>
          </cell>
          <cell r="W4">
            <v>50</v>
          </cell>
        </row>
        <row r="5">
          <cell r="B5">
            <v>30</v>
          </cell>
          <cell r="C5">
            <v>30</v>
          </cell>
          <cell r="D5">
            <v>30</v>
          </cell>
          <cell r="E5">
            <v>30</v>
          </cell>
          <cell r="F5">
            <v>30</v>
          </cell>
          <cell r="G5">
            <v>30</v>
          </cell>
          <cell r="H5">
            <v>30</v>
          </cell>
          <cell r="I5">
            <v>30</v>
          </cell>
          <cell r="J5">
            <v>30</v>
          </cell>
          <cell r="K5">
            <v>30</v>
          </cell>
          <cell r="L5">
            <v>30</v>
          </cell>
          <cell r="M5">
            <v>30</v>
          </cell>
          <cell r="N5">
            <v>30</v>
          </cell>
          <cell r="O5">
            <v>40</v>
          </cell>
          <cell r="P5">
            <v>40</v>
          </cell>
          <cell r="Q5">
            <v>40</v>
          </cell>
          <cell r="R5">
            <v>40</v>
          </cell>
          <cell r="S5">
            <v>40</v>
          </cell>
          <cell r="T5">
            <v>40</v>
          </cell>
          <cell r="U5">
            <v>40</v>
          </cell>
          <cell r="V5">
            <v>40</v>
          </cell>
          <cell r="W5">
            <v>50</v>
          </cell>
        </row>
        <row r="6">
          <cell r="B6">
            <v>30</v>
          </cell>
          <cell r="C6">
            <v>30</v>
          </cell>
          <cell r="D6">
            <v>30</v>
          </cell>
          <cell r="E6">
            <v>30</v>
          </cell>
          <cell r="F6">
            <v>30</v>
          </cell>
          <cell r="G6">
            <v>30</v>
          </cell>
          <cell r="H6">
            <v>30</v>
          </cell>
          <cell r="I6">
            <v>30</v>
          </cell>
          <cell r="J6">
            <v>30</v>
          </cell>
          <cell r="K6">
            <v>30</v>
          </cell>
          <cell r="L6">
            <v>30</v>
          </cell>
          <cell r="M6">
            <v>30</v>
          </cell>
          <cell r="N6">
            <v>30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50</v>
          </cell>
        </row>
        <row r="7">
          <cell r="B7">
            <v>30</v>
          </cell>
          <cell r="C7">
            <v>30</v>
          </cell>
          <cell r="D7">
            <v>30</v>
          </cell>
          <cell r="E7">
            <v>30</v>
          </cell>
          <cell r="F7">
            <v>30</v>
          </cell>
          <cell r="G7">
            <v>30</v>
          </cell>
          <cell r="H7">
            <v>30</v>
          </cell>
          <cell r="I7">
            <v>30</v>
          </cell>
          <cell r="J7">
            <v>30</v>
          </cell>
          <cell r="K7">
            <v>30</v>
          </cell>
          <cell r="L7">
            <v>30</v>
          </cell>
          <cell r="M7">
            <v>30</v>
          </cell>
          <cell r="N7">
            <v>30</v>
          </cell>
          <cell r="O7">
            <v>40</v>
          </cell>
          <cell r="P7">
            <v>40</v>
          </cell>
          <cell r="Q7">
            <v>40</v>
          </cell>
          <cell r="R7">
            <v>40</v>
          </cell>
          <cell r="S7">
            <v>40</v>
          </cell>
          <cell r="T7">
            <v>40</v>
          </cell>
          <cell r="U7">
            <v>40</v>
          </cell>
          <cell r="V7">
            <v>40</v>
          </cell>
          <cell r="W7">
            <v>50</v>
          </cell>
        </row>
        <row r="8">
          <cell r="B8">
            <v>30</v>
          </cell>
          <cell r="C8">
            <v>30</v>
          </cell>
          <cell r="D8">
            <v>30</v>
          </cell>
          <cell r="E8">
            <v>30</v>
          </cell>
          <cell r="F8">
            <v>30</v>
          </cell>
          <cell r="G8">
            <v>30</v>
          </cell>
          <cell r="H8">
            <v>30</v>
          </cell>
          <cell r="I8">
            <v>30</v>
          </cell>
          <cell r="J8">
            <v>30</v>
          </cell>
          <cell r="K8">
            <v>30</v>
          </cell>
          <cell r="L8">
            <v>30</v>
          </cell>
          <cell r="M8">
            <v>30</v>
          </cell>
          <cell r="N8">
            <v>30</v>
          </cell>
          <cell r="O8">
            <v>40</v>
          </cell>
          <cell r="P8">
            <v>40</v>
          </cell>
          <cell r="Q8">
            <v>40</v>
          </cell>
          <cell r="R8">
            <v>40</v>
          </cell>
          <cell r="S8">
            <v>40</v>
          </cell>
          <cell r="T8">
            <v>40</v>
          </cell>
          <cell r="U8">
            <v>40</v>
          </cell>
          <cell r="V8">
            <v>40</v>
          </cell>
          <cell r="W8">
            <v>50</v>
          </cell>
        </row>
        <row r="9">
          <cell r="B9">
            <v>30</v>
          </cell>
          <cell r="C9">
            <v>30</v>
          </cell>
          <cell r="D9">
            <v>30</v>
          </cell>
          <cell r="E9">
            <v>30</v>
          </cell>
          <cell r="F9">
            <v>30</v>
          </cell>
          <cell r="G9">
            <v>30</v>
          </cell>
          <cell r="H9">
            <v>30</v>
          </cell>
          <cell r="I9">
            <v>30</v>
          </cell>
          <cell r="J9">
            <v>30</v>
          </cell>
          <cell r="K9">
            <v>40</v>
          </cell>
          <cell r="L9">
            <v>40</v>
          </cell>
          <cell r="M9">
            <v>40</v>
          </cell>
          <cell r="N9">
            <v>40</v>
          </cell>
          <cell r="O9">
            <v>40</v>
          </cell>
          <cell r="P9">
            <v>40</v>
          </cell>
          <cell r="Q9">
            <v>40</v>
          </cell>
          <cell r="R9">
            <v>40</v>
          </cell>
          <cell r="S9">
            <v>40</v>
          </cell>
          <cell r="T9">
            <v>40</v>
          </cell>
          <cell r="U9">
            <v>40</v>
          </cell>
          <cell r="V9">
            <v>40</v>
          </cell>
          <cell r="W9">
            <v>50</v>
          </cell>
        </row>
        <row r="10">
          <cell r="B10">
            <v>30</v>
          </cell>
          <cell r="C10">
            <v>30</v>
          </cell>
          <cell r="D10">
            <v>30</v>
          </cell>
          <cell r="E10">
            <v>40</v>
          </cell>
          <cell r="F10">
            <v>40</v>
          </cell>
          <cell r="G10">
            <v>40</v>
          </cell>
          <cell r="H10">
            <v>40</v>
          </cell>
          <cell r="I10">
            <v>40</v>
          </cell>
          <cell r="J10">
            <v>40</v>
          </cell>
          <cell r="K10">
            <v>40</v>
          </cell>
          <cell r="L10">
            <v>40</v>
          </cell>
          <cell r="M10">
            <v>40</v>
          </cell>
          <cell r="N10">
            <v>40</v>
          </cell>
          <cell r="O10">
            <v>50</v>
          </cell>
          <cell r="P10">
            <v>50</v>
          </cell>
          <cell r="Q10">
            <v>50</v>
          </cell>
          <cell r="R10">
            <v>50</v>
          </cell>
          <cell r="S10">
            <v>50</v>
          </cell>
          <cell r="T10">
            <v>50</v>
          </cell>
          <cell r="U10">
            <v>50</v>
          </cell>
          <cell r="V10">
            <v>50</v>
          </cell>
          <cell r="W10">
            <v>50</v>
          </cell>
        </row>
        <row r="11">
          <cell r="B11">
            <v>30</v>
          </cell>
          <cell r="C11">
            <v>30</v>
          </cell>
          <cell r="D11">
            <v>30</v>
          </cell>
          <cell r="E11">
            <v>40</v>
          </cell>
          <cell r="F11">
            <v>40</v>
          </cell>
          <cell r="G11">
            <v>40</v>
          </cell>
          <cell r="H11">
            <v>40</v>
          </cell>
          <cell r="I11">
            <v>40</v>
          </cell>
          <cell r="J11">
            <v>40</v>
          </cell>
          <cell r="K11">
            <v>40</v>
          </cell>
          <cell r="L11">
            <v>40</v>
          </cell>
          <cell r="M11">
            <v>40</v>
          </cell>
          <cell r="N11">
            <v>40</v>
          </cell>
          <cell r="O11">
            <v>50</v>
          </cell>
          <cell r="P11">
            <v>50</v>
          </cell>
          <cell r="Q11">
            <v>50</v>
          </cell>
          <cell r="R11">
            <v>50</v>
          </cell>
          <cell r="S11">
            <v>50</v>
          </cell>
          <cell r="T11">
            <v>50</v>
          </cell>
          <cell r="U11">
            <v>50</v>
          </cell>
          <cell r="V11">
            <v>50</v>
          </cell>
          <cell r="W11">
            <v>50</v>
          </cell>
        </row>
        <row r="12">
          <cell r="B12">
            <v>30</v>
          </cell>
          <cell r="C12">
            <v>30</v>
          </cell>
          <cell r="D12">
            <v>30</v>
          </cell>
          <cell r="E12">
            <v>40</v>
          </cell>
          <cell r="F12">
            <v>40</v>
          </cell>
          <cell r="G12">
            <v>40</v>
          </cell>
          <cell r="H12">
            <v>40</v>
          </cell>
          <cell r="I12">
            <v>40</v>
          </cell>
          <cell r="J12">
            <v>40</v>
          </cell>
          <cell r="K12">
            <v>40</v>
          </cell>
          <cell r="L12">
            <v>40</v>
          </cell>
          <cell r="M12">
            <v>50</v>
          </cell>
          <cell r="N12">
            <v>50</v>
          </cell>
          <cell r="O12">
            <v>50</v>
          </cell>
          <cell r="P12">
            <v>50</v>
          </cell>
          <cell r="Q12">
            <v>50</v>
          </cell>
          <cell r="R12">
            <v>50</v>
          </cell>
          <cell r="S12">
            <v>50</v>
          </cell>
          <cell r="T12">
            <v>50</v>
          </cell>
          <cell r="U12">
            <v>50</v>
          </cell>
          <cell r="V12">
            <v>50</v>
          </cell>
          <cell r="W12">
            <v>50</v>
          </cell>
        </row>
        <row r="13">
          <cell r="B13">
            <v>40</v>
          </cell>
          <cell r="C13">
            <v>40</v>
          </cell>
          <cell r="D13">
            <v>40</v>
          </cell>
          <cell r="E13">
            <v>40</v>
          </cell>
          <cell r="F13">
            <v>40</v>
          </cell>
          <cell r="G13">
            <v>40</v>
          </cell>
          <cell r="H13">
            <v>40</v>
          </cell>
          <cell r="I13">
            <v>50</v>
          </cell>
          <cell r="J13">
            <v>50</v>
          </cell>
          <cell r="K13">
            <v>50</v>
          </cell>
          <cell r="L13">
            <v>50</v>
          </cell>
          <cell r="M13">
            <v>50</v>
          </cell>
          <cell r="N13">
            <v>50</v>
          </cell>
          <cell r="O13">
            <v>50</v>
          </cell>
          <cell r="P13">
            <v>50</v>
          </cell>
          <cell r="Q13">
            <v>50</v>
          </cell>
          <cell r="R13">
            <v>65</v>
          </cell>
          <cell r="S13">
            <v>65</v>
          </cell>
          <cell r="T13">
            <v>65</v>
          </cell>
          <cell r="U13">
            <v>65</v>
          </cell>
          <cell r="V13">
            <v>65</v>
          </cell>
          <cell r="W13">
            <v>75</v>
          </cell>
        </row>
        <row r="14">
          <cell r="B14">
            <v>40</v>
          </cell>
          <cell r="C14">
            <v>40</v>
          </cell>
          <cell r="D14">
            <v>40</v>
          </cell>
          <cell r="E14">
            <v>40</v>
          </cell>
          <cell r="F14">
            <v>50</v>
          </cell>
          <cell r="G14">
            <v>50</v>
          </cell>
          <cell r="H14">
            <v>50</v>
          </cell>
          <cell r="I14">
            <v>50</v>
          </cell>
          <cell r="J14">
            <v>50</v>
          </cell>
          <cell r="K14">
            <v>50</v>
          </cell>
          <cell r="L14">
            <v>65</v>
          </cell>
          <cell r="M14">
            <v>65</v>
          </cell>
          <cell r="N14">
            <v>65</v>
          </cell>
          <cell r="O14">
            <v>65</v>
          </cell>
          <cell r="P14">
            <v>65</v>
          </cell>
          <cell r="Q14">
            <v>65</v>
          </cell>
          <cell r="R14">
            <v>65</v>
          </cell>
          <cell r="S14">
            <v>65</v>
          </cell>
          <cell r="T14">
            <v>65</v>
          </cell>
          <cell r="U14">
            <v>65</v>
          </cell>
          <cell r="V14">
            <v>65</v>
          </cell>
          <cell r="W14">
            <v>75</v>
          </cell>
        </row>
        <row r="15">
          <cell r="B15">
            <v>40</v>
          </cell>
          <cell r="C15">
            <v>40</v>
          </cell>
          <cell r="D15">
            <v>40</v>
          </cell>
          <cell r="E15">
            <v>40</v>
          </cell>
          <cell r="F15">
            <v>50</v>
          </cell>
          <cell r="G15">
            <v>50</v>
          </cell>
          <cell r="H15">
            <v>50</v>
          </cell>
          <cell r="I15">
            <v>50</v>
          </cell>
          <cell r="J15">
            <v>50</v>
          </cell>
          <cell r="K15">
            <v>50</v>
          </cell>
          <cell r="L15">
            <v>65</v>
          </cell>
          <cell r="M15">
            <v>65</v>
          </cell>
          <cell r="N15">
            <v>65</v>
          </cell>
          <cell r="O15">
            <v>65</v>
          </cell>
          <cell r="P15">
            <v>65</v>
          </cell>
          <cell r="Q15">
            <v>65</v>
          </cell>
          <cell r="R15">
            <v>65</v>
          </cell>
          <cell r="S15">
            <v>65</v>
          </cell>
          <cell r="T15">
            <v>65</v>
          </cell>
          <cell r="U15">
            <v>65</v>
          </cell>
          <cell r="V15">
            <v>65</v>
          </cell>
          <cell r="W15">
            <v>75</v>
          </cell>
        </row>
        <row r="16">
          <cell r="B16">
            <v>40</v>
          </cell>
          <cell r="C16">
            <v>40</v>
          </cell>
          <cell r="D16">
            <v>40</v>
          </cell>
          <cell r="E16">
            <v>40</v>
          </cell>
          <cell r="F16">
            <v>50</v>
          </cell>
          <cell r="G16">
            <v>50</v>
          </cell>
          <cell r="H16">
            <v>50</v>
          </cell>
          <cell r="I16">
            <v>50</v>
          </cell>
          <cell r="J16">
            <v>50</v>
          </cell>
          <cell r="K16">
            <v>50</v>
          </cell>
          <cell r="L16">
            <v>65</v>
          </cell>
          <cell r="M16">
            <v>65</v>
          </cell>
          <cell r="N16">
            <v>65</v>
          </cell>
          <cell r="O16">
            <v>65</v>
          </cell>
          <cell r="P16">
            <v>65</v>
          </cell>
          <cell r="Q16">
            <v>65</v>
          </cell>
          <cell r="R16">
            <v>65</v>
          </cell>
          <cell r="S16">
            <v>65</v>
          </cell>
          <cell r="T16">
            <v>65</v>
          </cell>
          <cell r="U16">
            <v>65</v>
          </cell>
          <cell r="V16">
            <v>65</v>
          </cell>
          <cell r="W16">
            <v>75</v>
          </cell>
        </row>
        <row r="17">
          <cell r="B17">
            <v>40</v>
          </cell>
          <cell r="C17">
            <v>40</v>
          </cell>
          <cell r="D17">
            <v>50</v>
          </cell>
          <cell r="E17">
            <v>50</v>
          </cell>
          <cell r="F17">
            <v>50</v>
          </cell>
          <cell r="G17">
            <v>50</v>
          </cell>
          <cell r="H17">
            <v>50</v>
          </cell>
          <cell r="I17">
            <v>50</v>
          </cell>
          <cell r="J17">
            <v>65</v>
          </cell>
          <cell r="K17">
            <v>65</v>
          </cell>
          <cell r="L17">
            <v>65</v>
          </cell>
          <cell r="M17">
            <v>65</v>
          </cell>
          <cell r="N17">
            <v>65</v>
          </cell>
          <cell r="O17">
            <v>65</v>
          </cell>
          <cell r="P17">
            <v>65</v>
          </cell>
          <cell r="Q17">
            <v>65</v>
          </cell>
          <cell r="R17">
            <v>65</v>
          </cell>
          <cell r="S17">
            <v>65</v>
          </cell>
          <cell r="T17">
            <v>65</v>
          </cell>
          <cell r="U17">
            <v>75</v>
          </cell>
          <cell r="V17">
            <v>75</v>
          </cell>
          <cell r="W17">
            <v>75</v>
          </cell>
        </row>
        <row r="18">
          <cell r="B18">
            <v>50</v>
          </cell>
          <cell r="C18">
            <v>50</v>
          </cell>
          <cell r="D18">
            <v>50</v>
          </cell>
          <cell r="E18">
            <v>50</v>
          </cell>
          <cell r="F18">
            <v>50</v>
          </cell>
          <cell r="G18">
            <v>65</v>
          </cell>
          <cell r="H18">
            <v>65</v>
          </cell>
          <cell r="I18">
            <v>65</v>
          </cell>
          <cell r="J18">
            <v>65</v>
          </cell>
          <cell r="K18">
            <v>65</v>
          </cell>
          <cell r="L18">
            <v>65</v>
          </cell>
          <cell r="M18">
            <v>65</v>
          </cell>
          <cell r="N18">
            <v>65</v>
          </cell>
          <cell r="O18">
            <v>75</v>
          </cell>
          <cell r="P18">
            <v>75</v>
          </cell>
          <cell r="Q18">
            <v>75</v>
          </cell>
          <cell r="R18">
            <v>75</v>
          </cell>
          <cell r="S18">
            <v>75</v>
          </cell>
          <cell r="T18">
            <v>75</v>
          </cell>
          <cell r="U18">
            <v>75</v>
          </cell>
          <cell r="V18">
            <v>75</v>
          </cell>
          <cell r="W18">
            <v>100</v>
          </cell>
        </row>
        <row r="19">
          <cell r="B19">
            <v>50</v>
          </cell>
          <cell r="C19">
            <v>50</v>
          </cell>
          <cell r="D19">
            <v>50</v>
          </cell>
          <cell r="E19">
            <v>65</v>
          </cell>
          <cell r="F19">
            <v>65</v>
          </cell>
          <cell r="G19">
            <v>65</v>
          </cell>
          <cell r="H19">
            <v>65</v>
          </cell>
          <cell r="I19">
            <v>65</v>
          </cell>
          <cell r="J19">
            <v>65</v>
          </cell>
          <cell r="K19">
            <v>65</v>
          </cell>
          <cell r="L19">
            <v>75</v>
          </cell>
          <cell r="M19">
            <v>75</v>
          </cell>
          <cell r="N19">
            <v>75</v>
          </cell>
          <cell r="O19">
            <v>75</v>
          </cell>
          <cell r="P19">
            <v>75</v>
          </cell>
          <cell r="Q19">
            <v>75</v>
          </cell>
          <cell r="R19">
            <v>90</v>
          </cell>
          <cell r="S19">
            <v>90</v>
          </cell>
          <cell r="T19">
            <v>90</v>
          </cell>
          <cell r="U19">
            <v>90</v>
          </cell>
          <cell r="V19">
            <v>90</v>
          </cell>
          <cell r="W19">
            <v>100</v>
          </cell>
        </row>
        <row r="20">
          <cell r="B20">
            <v>50</v>
          </cell>
          <cell r="C20">
            <v>50</v>
          </cell>
          <cell r="D20">
            <v>65</v>
          </cell>
          <cell r="E20">
            <v>65</v>
          </cell>
          <cell r="F20">
            <v>65</v>
          </cell>
          <cell r="G20">
            <v>65</v>
          </cell>
          <cell r="H20">
            <v>65</v>
          </cell>
          <cell r="I20">
            <v>65</v>
          </cell>
          <cell r="J20">
            <v>75</v>
          </cell>
          <cell r="K20">
            <v>75</v>
          </cell>
          <cell r="L20">
            <v>75</v>
          </cell>
          <cell r="M20">
            <v>75</v>
          </cell>
          <cell r="N20">
            <v>90</v>
          </cell>
          <cell r="O20">
            <v>90</v>
          </cell>
          <cell r="P20">
            <v>90</v>
          </cell>
          <cell r="Q20">
            <v>90</v>
          </cell>
          <cell r="R20">
            <v>90</v>
          </cell>
          <cell r="S20">
            <v>90</v>
          </cell>
          <cell r="T20">
            <v>90</v>
          </cell>
          <cell r="U20">
            <v>90</v>
          </cell>
          <cell r="V20">
            <v>90</v>
          </cell>
          <cell r="W20">
            <v>100</v>
          </cell>
        </row>
        <row r="21">
          <cell r="B21">
            <v>50</v>
          </cell>
          <cell r="C21">
            <v>65</v>
          </cell>
          <cell r="D21">
            <v>65</v>
          </cell>
          <cell r="E21">
            <v>65</v>
          </cell>
          <cell r="F21">
            <v>65</v>
          </cell>
          <cell r="G21">
            <v>65</v>
          </cell>
          <cell r="H21">
            <v>75</v>
          </cell>
          <cell r="I21">
            <v>75</v>
          </cell>
          <cell r="J21">
            <v>75</v>
          </cell>
          <cell r="K21">
            <v>75</v>
          </cell>
          <cell r="L21">
            <v>90</v>
          </cell>
          <cell r="M21">
            <v>90</v>
          </cell>
          <cell r="N21">
            <v>90</v>
          </cell>
          <cell r="O21">
            <v>90</v>
          </cell>
          <cell r="P21">
            <v>90</v>
          </cell>
          <cell r="Q21">
            <v>90</v>
          </cell>
          <cell r="R21">
            <v>90</v>
          </cell>
          <cell r="S21">
            <v>90</v>
          </cell>
          <cell r="T21">
            <v>100</v>
          </cell>
          <cell r="U21">
            <v>100</v>
          </cell>
          <cell r="V21">
            <v>100</v>
          </cell>
          <cell r="W21">
            <v>125</v>
          </cell>
        </row>
        <row r="22">
          <cell r="B22">
            <v>65</v>
          </cell>
          <cell r="C22">
            <v>65</v>
          </cell>
          <cell r="D22">
            <v>65</v>
          </cell>
          <cell r="E22">
            <v>65</v>
          </cell>
          <cell r="F22">
            <v>65</v>
          </cell>
          <cell r="G22">
            <v>75</v>
          </cell>
          <cell r="H22">
            <v>75</v>
          </cell>
          <cell r="I22">
            <v>75</v>
          </cell>
          <cell r="J22">
            <v>90</v>
          </cell>
          <cell r="K22">
            <v>90</v>
          </cell>
          <cell r="L22">
            <v>90</v>
          </cell>
          <cell r="M22">
            <v>90</v>
          </cell>
          <cell r="N22">
            <v>90</v>
          </cell>
          <cell r="O22">
            <v>100</v>
          </cell>
          <cell r="P22">
            <v>100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115</v>
          </cell>
          <cell r="V22">
            <v>115</v>
          </cell>
          <cell r="W22">
            <v>125</v>
          </cell>
        </row>
        <row r="23">
          <cell r="B23">
            <v>65</v>
          </cell>
          <cell r="C23">
            <v>65</v>
          </cell>
          <cell r="D23">
            <v>65</v>
          </cell>
          <cell r="E23">
            <v>75</v>
          </cell>
          <cell r="F23">
            <v>75</v>
          </cell>
          <cell r="G23">
            <v>75</v>
          </cell>
          <cell r="H23">
            <v>75</v>
          </cell>
          <cell r="I23">
            <v>90</v>
          </cell>
          <cell r="J23">
            <v>90</v>
          </cell>
          <cell r="K23">
            <v>90</v>
          </cell>
          <cell r="L23">
            <v>90</v>
          </cell>
          <cell r="M23">
            <v>100</v>
          </cell>
          <cell r="N23">
            <v>100</v>
          </cell>
          <cell r="O23">
            <v>100</v>
          </cell>
          <cell r="P23">
            <v>100</v>
          </cell>
          <cell r="Q23">
            <v>115</v>
          </cell>
          <cell r="R23">
            <v>115</v>
          </cell>
          <cell r="S23">
            <v>115</v>
          </cell>
          <cell r="T23">
            <v>115</v>
          </cell>
          <cell r="U23">
            <v>115</v>
          </cell>
          <cell r="V23">
            <v>115</v>
          </cell>
          <cell r="W23">
            <v>125</v>
          </cell>
        </row>
        <row r="24">
          <cell r="B24">
            <v>65</v>
          </cell>
          <cell r="C24">
            <v>65</v>
          </cell>
          <cell r="D24">
            <v>75</v>
          </cell>
          <cell r="E24">
            <v>75</v>
          </cell>
          <cell r="F24">
            <v>75</v>
          </cell>
          <cell r="G24">
            <v>90</v>
          </cell>
          <cell r="H24">
            <v>90</v>
          </cell>
          <cell r="I24">
            <v>90</v>
          </cell>
          <cell r="J24">
            <v>90</v>
          </cell>
          <cell r="K24">
            <v>100</v>
          </cell>
          <cell r="L24">
            <v>100</v>
          </cell>
          <cell r="M24">
            <v>100</v>
          </cell>
          <cell r="N24">
            <v>115</v>
          </cell>
          <cell r="O24">
            <v>115</v>
          </cell>
          <cell r="P24">
            <v>115</v>
          </cell>
          <cell r="Q24">
            <v>115</v>
          </cell>
          <cell r="R24">
            <v>115</v>
          </cell>
          <cell r="S24">
            <v>115</v>
          </cell>
          <cell r="T24">
            <v>115</v>
          </cell>
          <cell r="U24">
            <v>125</v>
          </cell>
          <cell r="V24">
            <v>125</v>
          </cell>
          <cell r="W24">
            <v>150</v>
          </cell>
        </row>
        <row r="25">
          <cell r="B25">
            <v>65</v>
          </cell>
          <cell r="C25">
            <v>75</v>
          </cell>
          <cell r="D25">
            <v>75</v>
          </cell>
          <cell r="E25">
            <v>75</v>
          </cell>
          <cell r="F25">
            <v>90</v>
          </cell>
          <cell r="G25">
            <v>90</v>
          </cell>
          <cell r="H25">
            <v>90</v>
          </cell>
          <cell r="I25">
            <v>90</v>
          </cell>
          <cell r="J25">
            <v>100</v>
          </cell>
          <cell r="K25">
            <v>100</v>
          </cell>
          <cell r="L25">
            <v>100</v>
          </cell>
          <cell r="M25">
            <v>115</v>
          </cell>
          <cell r="N25">
            <v>115</v>
          </cell>
          <cell r="O25">
            <v>115</v>
          </cell>
          <cell r="P25">
            <v>115</v>
          </cell>
          <cell r="Q25">
            <v>125</v>
          </cell>
          <cell r="R25">
            <v>125</v>
          </cell>
          <cell r="S25">
            <v>125</v>
          </cell>
          <cell r="T25">
            <v>125</v>
          </cell>
          <cell r="U25">
            <v>125</v>
          </cell>
          <cell r="V25">
            <v>140</v>
          </cell>
          <cell r="W25">
            <v>150</v>
          </cell>
        </row>
        <row r="26">
          <cell r="B26">
            <v>75</v>
          </cell>
          <cell r="C26">
            <v>75</v>
          </cell>
          <cell r="D26">
            <v>75</v>
          </cell>
          <cell r="E26">
            <v>90</v>
          </cell>
          <cell r="F26">
            <v>90</v>
          </cell>
          <cell r="G26">
            <v>90</v>
          </cell>
          <cell r="H26">
            <v>90</v>
          </cell>
          <cell r="I26">
            <v>100</v>
          </cell>
          <cell r="J26">
            <v>100</v>
          </cell>
          <cell r="K26">
            <v>115</v>
          </cell>
          <cell r="L26">
            <v>115</v>
          </cell>
          <cell r="M26">
            <v>115</v>
          </cell>
          <cell r="N26">
            <v>125</v>
          </cell>
          <cell r="O26">
            <v>125</v>
          </cell>
          <cell r="P26">
            <v>125</v>
          </cell>
          <cell r="Q26">
            <v>125</v>
          </cell>
          <cell r="R26">
            <v>140</v>
          </cell>
          <cell r="S26">
            <v>140</v>
          </cell>
          <cell r="T26">
            <v>140</v>
          </cell>
          <cell r="U26">
            <v>140</v>
          </cell>
          <cell r="V26">
            <v>140</v>
          </cell>
          <cell r="W26">
            <v>175</v>
          </cell>
        </row>
        <row r="27">
          <cell r="B27">
            <v>75</v>
          </cell>
          <cell r="C27">
            <v>90</v>
          </cell>
          <cell r="D27">
            <v>90</v>
          </cell>
          <cell r="E27">
            <v>90</v>
          </cell>
          <cell r="F27">
            <v>90</v>
          </cell>
          <cell r="G27">
            <v>100</v>
          </cell>
          <cell r="H27">
            <v>100</v>
          </cell>
          <cell r="I27">
            <v>100</v>
          </cell>
          <cell r="J27">
            <v>115</v>
          </cell>
          <cell r="K27">
            <v>115</v>
          </cell>
          <cell r="L27">
            <v>115</v>
          </cell>
          <cell r="M27">
            <v>125</v>
          </cell>
          <cell r="N27">
            <v>125</v>
          </cell>
          <cell r="O27">
            <v>140</v>
          </cell>
          <cell r="P27">
            <v>140</v>
          </cell>
          <cell r="Q27">
            <v>140</v>
          </cell>
          <cell r="R27">
            <v>140</v>
          </cell>
          <cell r="S27">
            <v>140</v>
          </cell>
          <cell r="T27">
            <v>140</v>
          </cell>
          <cell r="U27">
            <v>150</v>
          </cell>
          <cell r="V27">
            <v>150</v>
          </cell>
          <cell r="W27">
            <v>175</v>
          </cell>
        </row>
        <row r="31">
          <cell r="B31">
            <v>15</v>
          </cell>
          <cell r="C31">
            <v>20</v>
          </cell>
          <cell r="D31">
            <v>25</v>
          </cell>
          <cell r="E31">
            <v>32</v>
          </cell>
          <cell r="F31">
            <v>40</v>
          </cell>
          <cell r="G31">
            <v>50</v>
          </cell>
          <cell r="H31">
            <v>65</v>
          </cell>
          <cell r="I31">
            <v>80</v>
          </cell>
          <cell r="J31">
            <v>100</v>
          </cell>
          <cell r="K31">
            <v>125</v>
          </cell>
          <cell r="L31">
            <v>150</v>
          </cell>
          <cell r="M31">
            <v>200</v>
          </cell>
          <cell r="N31">
            <v>250</v>
          </cell>
          <cell r="O31">
            <v>300</v>
          </cell>
          <cell r="P31">
            <v>350</v>
          </cell>
          <cell r="Q31">
            <v>400</v>
          </cell>
          <cell r="R31">
            <v>450</v>
          </cell>
          <cell r="S31">
            <v>500</v>
          </cell>
          <cell r="T31">
            <v>600</v>
          </cell>
          <cell r="U31">
            <v>700</v>
          </cell>
          <cell r="V31">
            <v>800</v>
          </cell>
          <cell r="W31" t="str">
            <v>-</v>
          </cell>
        </row>
        <row r="33">
          <cell r="B33">
            <v>30</v>
          </cell>
          <cell r="C33">
            <v>30</v>
          </cell>
          <cell r="D33">
            <v>30</v>
          </cell>
          <cell r="E33">
            <v>30</v>
          </cell>
          <cell r="F33">
            <v>30</v>
          </cell>
          <cell r="G33">
            <v>30</v>
          </cell>
          <cell r="H33">
            <v>30</v>
          </cell>
          <cell r="I33">
            <v>30</v>
          </cell>
          <cell r="J33">
            <v>30</v>
          </cell>
          <cell r="K33">
            <v>30</v>
          </cell>
          <cell r="L33">
            <v>30</v>
          </cell>
          <cell r="M33">
            <v>30</v>
          </cell>
          <cell r="N33">
            <v>30</v>
          </cell>
          <cell r="O33">
            <v>40</v>
          </cell>
          <cell r="P33">
            <v>40</v>
          </cell>
          <cell r="Q33">
            <v>40</v>
          </cell>
          <cell r="R33">
            <v>40</v>
          </cell>
          <cell r="S33">
            <v>40</v>
          </cell>
          <cell r="T33">
            <v>40</v>
          </cell>
          <cell r="U33">
            <v>40</v>
          </cell>
          <cell r="V33">
            <v>40</v>
          </cell>
          <cell r="W33">
            <v>50</v>
          </cell>
        </row>
        <row r="34">
          <cell r="B34">
            <v>30</v>
          </cell>
          <cell r="C34">
            <v>30</v>
          </cell>
          <cell r="D34">
            <v>30</v>
          </cell>
          <cell r="E34">
            <v>30</v>
          </cell>
          <cell r="F34">
            <v>30</v>
          </cell>
          <cell r="G34">
            <v>30</v>
          </cell>
          <cell r="H34">
            <v>30</v>
          </cell>
          <cell r="I34">
            <v>30</v>
          </cell>
          <cell r="J34">
            <v>30</v>
          </cell>
          <cell r="K34">
            <v>30</v>
          </cell>
          <cell r="L34">
            <v>30</v>
          </cell>
          <cell r="M34">
            <v>30</v>
          </cell>
          <cell r="N34">
            <v>30</v>
          </cell>
          <cell r="O34">
            <v>40</v>
          </cell>
          <cell r="P34">
            <v>40</v>
          </cell>
          <cell r="Q34">
            <v>40</v>
          </cell>
          <cell r="R34">
            <v>40</v>
          </cell>
          <cell r="S34">
            <v>40</v>
          </cell>
          <cell r="T34">
            <v>40</v>
          </cell>
          <cell r="U34">
            <v>40</v>
          </cell>
          <cell r="V34">
            <v>40</v>
          </cell>
          <cell r="W34">
            <v>50</v>
          </cell>
        </row>
        <row r="35">
          <cell r="B35">
            <v>30</v>
          </cell>
          <cell r="C35">
            <v>30</v>
          </cell>
          <cell r="D35">
            <v>30</v>
          </cell>
          <cell r="E35">
            <v>30</v>
          </cell>
          <cell r="F35">
            <v>30</v>
          </cell>
          <cell r="G35">
            <v>30</v>
          </cell>
          <cell r="H35">
            <v>30</v>
          </cell>
          <cell r="I35">
            <v>30</v>
          </cell>
          <cell r="J35">
            <v>30</v>
          </cell>
          <cell r="K35">
            <v>30</v>
          </cell>
          <cell r="L35">
            <v>30</v>
          </cell>
          <cell r="M35">
            <v>30</v>
          </cell>
          <cell r="N35">
            <v>30</v>
          </cell>
          <cell r="O35">
            <v>40</v>
          </cell>
          <cell r="P35">
            <v>40</v>
          </cell>
          <cell r="Q35">
            <v>40</v>
          </cell>
          <cell r="R35">
            <v>40</v>
          </cell>
          <cell r="S35">
            <v>40</v>
          </cell>
          <cell r="T35">
            <v>40</v>
          </cell>
          <cell r="U35">
            <v>40</v>
          </cell>
          <cell r="V35">
            <v>40</v>
          </cell>
          <cell r="W35">
            <v>50</v>
          </cell>
        </row>
        <row r="36">
          <cell r="B36">
            <v>30</v>
          </cell>
          <cell r="C36">
            <v>30</v>
          </cell>
          <cell r="D36">
            <v>30</v>
          </cell>
          <cell r="E36">
            <v>30</v>
          </cell>
          <cell r="F36">
            <v>30</v>
          </cell>
          <cell r="G36">
            <v>30</v>
          </cell>
          <cell r="H36">
            <v>30</v>
          </cell>
          <cell r="I36">
            <v>30</v>
          </cell>
          <cell r="J36">
            <v>30</v>
          </cell>
          <cell r="K36">
            <v>30</v>
          </cell>
          <cell r="L36">
            <v>30</v>
          </cell>
          <cell r="M36">
            <v>30</v>
          </cell>
          <cell r="N36">
            <v>30</v>
          </cell>
          <cell r="O36">
            <v>40</v>
          </cell>
          <cell r="P36">
            <v>40</v>
          </cell>
          <cell r="Q36">
            <v>40</v>
          </cell>
          <cell r="R36">
            <v>40</v>
          </cell>
          <cell r="S36">
            <v>40</v>
          </cell>
          <cell r="T36">
            <v>40</v>
          </cell>
          <cell r="U36">
            <v>40</v>
          </cell>
          <cell r="V36">
            <v>40</v>
          </cell>
          <cell r="W36">
            <v>50</v>
          </cell>
        </row>
        <row r="37">
          <cell r="B37">
            <v>30</v>
          </cell>
          <cell r="C37">
            <v>30</v>
          </cell>
          <cell r="D37">
            <v>30</v>
          </cell>
          <cell r="E37">
            <v>30</v>
          </cell>
          <cell r="F37">
            <v>30</v>
          </cell>
          <cell r="G37">
            <v>30</v>
          </cell>
          <cell r="H37">
            <v>30</v>
          </cell>
          <cell r="I37">
            <v>30</v>
          </cell>
          <cell r="J37">
            <v>30</v>
          </cell>
          <cell r="K37">
            <v>40</v>
          </cell>
          <cell r="L37">
            <v>40</v>
          </cell>
          <cell r="M37">
            <v>40</v>
          </cell>
          <cell r="N37">
            <v>40</v>
          </cell>
          <cell r="O37">
            <v>40</v>
          </cell>
          <cell r="P37">
            <v>40</v>
          </cell>
          <cell r="Q37">
            <v>40</v>
          </cell>
          <cell r="R37">
            <v>40</v>
          </cell>
          <cell r="S37">
            <v>40</v>
          </cell>
          <cell r="T37">
            <v>40</v>
          </cell>
          <cell r="U37">
            <v>40</v>
          </cell>
          <cell r="V37">
            <v>40</v>
          </cell>
          <cell r="W37">
            <v>50</v>
          </cell>
        </row>
        <row r="38">
          <cell r="B38">
            <v>30</v>
          </cell>
          <cell r="C38">
            <v>30</v>
          </cell>
          <cell r="D38">
            <v>40</v>
          </cell>
          <cell r="E38">
            <v>40</v>
          </cell>
          <cell r="F38">
            <v>40</v>
          </cell>
          <cell r="G38">
            <v>40</v>
          </cell>
          <cell r="H38">
            <v>40</v>
          </cell>
          <cell r="I38">
            <v>40</v>
          </cell>
          <cell r="J38">
            <v>40</v>
          </cell>
          <cell r="K38">
            <v>40</v>
          </cell>
          <cell r="L38">
            <v>50</v>
          </cell>
          <cell r="M38">
            <v>50</v>
          </cell>
          <cell r="N38">
            <v>50</v>
          </cell>
          <cell r="O38">
            <v>50</v>
          </cell>
          <cell r="P38">
            <v>50</v>
          </cell>
          <cell r="Q38">
            <v>50</v>
          </cell>
          <cell r="R38">
            <v>50</v>
          </cell>
          <cell r="S38">
            <v>50</v>
          </cell>
          <cell r="T38">
            <v>50</v>
          </cell>
          <cell r="U38">
            <v>50</v>
          </cell>
          <cell r="V38">
            <v>50</v>
          </cell>
          <cell r="W38">
            <v>50</v>
          </cell>
        </row>
        <row r="39">
          <cell r="B39">
            <v>40</v>
          </cell>
          <cell r="C39">
            <v>40</v>
          </cell>
          <cell r="D39">
            <v>40</v>
          </cell>
          <cell r="E39">
            <v>40</v>
          </cell>
          <cell r="F39">
            <v>40</v>
          </cell>
          <cell r="G39">
            <v>50</v>
          </cell>
          <cell r="H39">
            <v>50</v>
          </cell>
          <cell r="I39">
            <v>50</v>
          </cell>
          <cell r="J39">
            <v>50</v>
          </cell>
          <cell r="K39">
            <v>50</v>
          </cell>
          <cell r="L39">
            <v>50</v>
          </cell>
          <cell r="M39">
            <v>65</v>
          </cell>
          <cell r="N39">
            <v>65</v>
          </cell>
          <cell r="O39">
            <v>65</v>
          </cell>
          <cell r="P39">
            <v>65</v>
          </cell>
          <cell r="Q39">
            <v>65</v>
          </cell>
          <cell r="R39">
            <v>65</v>
          </cell>
          <cell r="S39">
            <v>65</v>
          </cell>
          <cell r="T39">
            <v>65</v>
          </cell>
          <cell r="U39">
            <v>65</v>
          </cell>
          <cell r="V39">
            <v>65</v>
          </cell>
          <cell r="W39">
            <v>75</v>
          </cell>
        </row>
        <row r="40">
          <cell r="B40">
            <v>40</v>
          </cell>
          <cell r="C40">
            <v>50</v>
          </cell>
          <cell r="D40">
            <v>50</v>
          </cell>
          <cell r="E40">
            <v>50</v>
          </cell>
          <cell r="F40">
            <v>50</v>
          </cell>
          <cell r="G40">
            <v>50</v>
          </cell>
          <cell r="H40">
            <v>65</v>
          </cell>
          <cell r="I40">
            <v>65</v>
          </cell>
          <cell r="J40">
            <v>65</v>
          </cell>
          <cell r="K40">
            <v>65</v>
          </cell>
          <cell r="L40">
            <v>65</v>
          </cell>
          <cell r="M40">
            <v>65</v>
          </cell>
          <cell r="N40">
            <v>65</v>
          </cell>
          <cell r="O40">
            <v>65</v>
          </cell>
          <cell r="P40">
            <v>65</v>
          </cell>
          <cell r="Q40">
            <v>75</v>
          </cell>
          <cell r="R40">
            <v>75</v>
          </cell>
          <cell r="S40">
            <v>75</v>
          </cell>
          <cell r="T40">
            <v>75</v>
          </cell>
          <cell r="U40">
            <v>75</v>
          </cell>
          <cell r="V40">
            <v>75</v>
          </cell>
          <cell r="W40">
            <v>100</v>
          </cell>
        </row>
        <row r="41">
          <cell r="B41">
            <v>50</v>
          </cell>
          <cell r="C41">
            <v>50</v>
          </cell>
          <cell r="D41">
            <v>50</v>
          </cell>
          <cell r="E41">
            <v>65</v>
          </cell>
          <cell r="F41">
            <v>65</v>
          </cell>
          <cell r="G41">
            <v>65</v>
          </cell>
          <cell r="H41">
            <v>65</v>
          </cell>
          <cell r="I41">
            <v>65</v>
          </cell>
          <cell r="J41">
            <v>65</v>
          </cell>
          <cell r="K41">
            <v>75</v>
          </cell>
          <cell r="L41">
            <v>75</v>
          </cell>
          <cell r="M41">
            <v>75</v>
          </cell>
          <cell r="N41">
            <v>75</v>
          </cell>
          <cell r="O41">
            <v>90</v>
          </cell>
          <cell r="P41">
            <v>90</v>
          </cell>
          <cell r="Q41">
            <v>90</v>
          </cell>
          <cell r="R41">
            <v>90</v>
          </cell>
          <cell r="S41">
            <v>90</v>
          </cell>
          <cell r="T41">
            <v>90</v>
          </cell>
          <cell r="U41">
            <v>90</v>
          </cell>
          <cell r="V41">
            <v>90</v>
          </cell>
          <cell r="W41">
            <v>100</v>
          </cell>
        </row>
        <row r="42">
          <cell r="B42">
            <v>65</v>
          </cell>
          <cell r="C42">
            <v>65</v>
          </cell>
          <cell r="D42">
            <v>65</v>
          </cell>
          <cell r="E42">
            <v>65</v>
          </cell>
          <cell r="F42">
            <v>65</v>
          </cell>
          <cell r="G42">
            <v>65</v>
          </cell>
          <cell r="H42">
            <v>75</v>
          </cell>
          <cell r="I42">
            <v>75</v>
          </cell>
          <cell r="J42">
            <v>75</v>
          </cell>
          <cell r="K42">
            <v>90</v>
          </cell>
          <cell r="L42">
            <v>90</v>
          </cell>
          <cell r="M42">
            <v>90</v>
          </cell>
          <cell r="N42">
            <v>90</v>
          </cell>
          <cell r="O42">
            <v>90</v>
          </cell>
          <cell r="P42">
            <v>90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>
            <v>100</v>
          </cell>
          <cell r="V42">
            <v>100</v>
          </cell>
          <cell r="W42">
            <v>125</v>
          </cell>
        </row>
        <row r="43">
          <cell r="B43">
            <v>65</v>
          </cell>
          <cell r="C43">
            <v>65</v>
          </cell>
          <cell r="D43">
            <v>65</v>
          </cell>
          <cell r="E43">
            <v>75</v>
          </cell>
          <cell r="F43">
            <v>75</v>
          </cell>
          <cell r="G43">
            <v>75</v>
          </cell>
          <cell r="H43">
            <v>90</v>
          </cell>
          <cell r="I43">
            <v>90</v>
          </cell>
          <cell r="J43">
            <v>90</v>
          </cell>
          <cell r="K43">
            <v>90</v>
          </cell>
          <cell r="L43">
            <v>90</v>
          </cell>
          <cell r="M43">
            <v>100</v>
          </cell>
          <cell r="N43">
            <v>100</v>
          </cell>
          <cell r="O43">
            <v>115</v>
          </cell>
          <cell r="P43">
            <v>115</v>
          </cell>
          <cell r="Q43">
            <v>115</v>
          </cell>
          <cell r="R43">
            <v>115</v>
          </cell>
          <cell r="S43">
            <v>115</v>
          </cell>
          <cell r="T43">
            <v>115</v>
          </cell>
          <cell r="U43">
            <v>115</v>
          </cell>
          <cell r="V43">
            <v>115</v>
          </cell>
          <cell r="W43">
            <v>150</v>
          </cell>
        </row>
        <row r="44">
          <cell r="B44">
            <v>65</v>
          </cell>
          <cell r="C44">
            <v>75</v>
          </cell>
          <cell r="D44">
            <v>75</v>
          </cell>
          <cell r="E44">
            <v>90</v>
          </cell>
          <cell r="F44">
            <v>90</v>
          </cell>
          <cell r="G44">
            <v>90</v>
          </cell>
          <cell r="H44">
            <v>90</v>
          </cell>
          <cell r="I44">
            <v>90</v>
          </cell>
          <cell r="J44">
            <v>100</v>
          </cell>
          <cell r="K44">
            <v>100</v>
          </cell>
          <cell r="L44">
            <v>115</v>
          </cell>
          <cell r="M44">
            <v>115</v>
          </cell>
          <cell r="N44">
            <v>115</v>
          </cell>
          <cell r="O44">
            <v>115</v>
          </cell>
          <cell r="P44">
            <v>125</v>
          </cell>
          <cell r="Q44">
            <v>125</v>
          </cell>
          <cell r="R44">
            <v>125</v>
          </cell>
          <cell r="S44">
            <v>125</v>
          </cell>
          <cell r="T44">
            <v>125</v>
          </cell>
          <cell r="U44">
            <v>140</v>
          </cell>
          <cell r="V44">
            <v>140</v>
          </cell>
          <cell r="W44">
            <v>150</v>
          </cell>
        </row>
        <row r="48">
          <cell r="B48">
            <v>15</v>
          </cell>
          <cell r="C48">
            <v>20</v>
          </cell>
          <cell r="D48">
            <v>25</v>
          </cell>
          <cell r="E48">
            <v>32</v>
          </cell>
          <cell r="F48">
            <v>40</v>
          </cell>
          <cell r="G48">
            <v>50</v>
          </cell>
          <cell r="H48">
            <v>65</v>
          </cell>
          <cell r="I48">
            <v>80</v>
          </cell>
          <cell r="J48">
            <v>100</v>
          </cell>
          <cell r="K48">
            <v>125</v>
          </cell>
          <cell r="L48">
            <v>150</v>
          </cell>
          <cell r="M48">
            <v>200</v>
          </cell>
          <cell r="N48">
            <v>250</v>
          </cell>
          <cell r="O48">
            <v>300</v>
          </cell>
          <cell r="P48">
            <v>350</v>
          </cell>
          <cell r="Q48">
            <v>400</v>
          </cell>
          <cell r="R48">
            <v>450</v>
          </cell>
          <cell r="S48">
            <v>500</v>
          </cell>
          <cell r="T48">
            <v>600</v>
          </cell>
          <cell r="U48">
            <v>700</v>
          </cell>
          <cell r="V48">
            <v>800</v>
          </cell>
          <cell r="W48" t="str">
            <v>-</v>
          </cell>
        </row>
        <row r="49">
          <cell r="B49" t="str">
            <v>-</v>
          </cell>
          <cell r="C49" t="str">
            <v>-</v>
          </cell>
          <cell r="D49">
            <v>30</v>
          </cell>
          <cell r="E49">
            <v>30</v>
          </cell>
          <cell r="F49">
            <v>30</v>
          </cell>
          <cell r="G49">
            <v>30</v>
          </cell>
          <cell r="H49">
            <v>30</v>
          </cell>
          <cell r="I49">
            <v>30</v>
          </cell>
          <cell r="J49">
            <v>30</v>
          </cell>
          <cell r="K49">
            <v>30</v>
          </cell>
          <cell r="L49">
            <v>30</v>
          </cell>
          <cell r="M49">
            <v>30</v>
          </cell>
          <cell r="N49">
            <v>30</v>
          </cell>
          <cell r="O49">
            <v>40</v>
          </cell>
          <cell r="P49">
            <v>40</v>
          </cell>
          <cell r="Q49">
            <v>40</v>
          </cell>
          <cell r="R49">
            <v>40</v>
          </cell>
          <cell r="S49">
            <v>40</v>
          </cell>
          <cell r="T49">
            <v>40</v>
          </cell>
          <cell r="U49">
            <v>40</v>
          </cell>
          <cell r="V49">
            <v>40</v>
          </cell>
          <cell r="W49">
            <v>40</v>
          </cell>
        </row>
      </sheetData>
      <sheetData sheetId="22" refreshError="1">
        <row r="2">
          <cell r="B2">
            <v>15</v>
          </cell>
          <cell r="C2">
            <v>20</v>
          </cell>
          <cell r="D2">
            <v>25</v>
          </cell>
          <cell r="E2">
            <v>32</v>
          </cell>
          <cell r="F2">
            <v>40</v>
          </cell>
          <cell r="G2">
            <v>50</v>
          </cell>
          <cell r="H2">
            <v>65</v>
          </cell>
          <cell r="I2">
            <v>80</v>
          </cell>
          <cell r="J2">
            <v>100</v>
          </cell>
          <cell r="K2">
            <v>125</v>
          </cell>
          <cell r="L2">
            <v>150</v>
          </cell>
          <cell r="M2">
            <v>200</v>
          </cell>
          <cell r="N2">
            <v>250</v>
          </cell>
          <cell r="O2">
            <v>300</v>
          </cell>
          <cell r="P2">
            <v>350</v>
          </cell>
          <cell r="Q2">
            <v>400</v>
          </cell>
          <cell r="R2">
            <v>450</v>
          </cell>
          <cell r="S2">
            <v>500</v>
          </cell>
          <cell r="T2">
            <v>600</v>
          </cell>
          <cell r="U2">
            <v>700</v>
          </cell>
          <cell r="V2">
            <v>800</v>
          </cell>
          <cell r="W2" t="str">
            <v>-</v>
          </cell>
        </row>
        <row r="4">
          <cell r="A4">
            <v>25</v>
          </cell>
          <cell r="B4">
            <v>30</v>
          </cell>
          <cell r="C4">
            <v>40</v>
          </cell>
          <cell r="D4">
            <v>40</v>
          </cell>
          <cell r="E4">
            <v>40</v>
          </cell>
          <cell r="F4">
            <v>40</v>
          </cell>
          <cell r="G4">
            <v>40</v>
          </cell>
          <cell r="H4">
            <v>40</v>
          </cell>
          <cell r="I4">
            <v>40</v>
          </cell>
          <cell r="J4">
            <v>50</v>
          </cell>
          <cell r="K4">
            <v>50</v>
          </cell>
          <cell r="L4">
            <v>50</v>
          </cell>
          <cell r="M4">
            <v>50</v>
          </cell>
          <cell r="N4">
            <v>50</v>
          </cell>
          <cell r="O4">
            <v>50</v>
          </cell>
          <cell r="P4">
            <v>50</v>
          </cell>
          <cell r="Q4">
            <v>50</v>
          </cell>
          <cell r="R4">
            <v>50</v>
          </cell>
          <cell r="S4">
            <v>50</v>
          </cell>
          <cell r="T4">
            <v>50</v>
          </cell>
          <cell r="U4">
            <v>65</v>
          </cell>
          <cell r="V4">
            <v>65</v>
          </cell>
          <cell r="W4">
            <v>75</v>
          </cell>
        </row>
        <row r="5">
          <cell r="A5">
            <v>50</v>
          </cell>
          <cell r="B5">
            <v>30</v>
          </cell>
          <cell r="C5">
            <v>40</v>
          </cell>
          <cell r="D5">
            <v>40</v>
          </cell>
          <cell r="E5">
            <v>40</v>
          </cell>
          <cell r="F5">
            <v>40</v>
          </cell>
          <cell r="G5">
            <v>40</v>
          </cell>
          <cell r="H5">
            <v>40</v>
          </cell>
          <cell r="I5">
            <v>40</v>
          </cell>
          <cell r="J5">
            <v>50</v>
          </cell>
          <cell r="K5">
            <v>50</v>
          </cell>
          <cell r="L5">
            <v>50</v>
          </cell>
          <cell r="M5">
            <v>50</v>
          </cell>
          <cell r="N5">
            <v>50</v>
          </cell>
          <cell r="O5">
            <v>50</v>
          </cell>
          <cell r="P5">
            <v>50</v>
          </cell>
          <cell r="Q5">
            <v>50</v>
          </cell>
          <cell r="R5">
            <v>50</v>
          </cell>
          <cell r="S5">
            <v>50</v>
          </cell>
          <cell r="T5">
            <v>50</v>
          </cell>
          <cell r="U5">
            <v>65</v>
          </cell>
          <cell r="V5">
            <v>65</v>
          </cell>
          <cell r="W5">
            <v>75</v>
          </cell>
        </row>
        <row r="6">
          <cell r="A6">
            <v>75</v>
          </cell>
          <cell r="B6">
            <v>30</v>
          </cell>
          <cell r="C6">
            <v>40</v>
          </cell>
          <cell r="D6">
            <v>40</v>
          </cell>
          <cell r="E6">
            <v>40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50</v>
          </cell>
          <cell r="K6">
            <v>50</v>
          </cell>
          <cell r="L6">
            <v>50</v>
          </cell>
          <cell r="M6">
            <v>50</v>
          </cell>
          <cell r="N6">
            <v>50</v>
          </cell>
          <cell r="O6">
            <v>50</v>
          </cell>
          <cell r="P6">
            <v>50</v>
          </cell>
          <cell r="Q6">
            <v>50</v>
          </cell>
          <cell r="R6">
            <v>50</v>
          </cell>
          <cell r="S6">
            <v>50</v>
          </cell>
          <cell r="T6">
            <v>50</v>
          </cell>
          <cell r="U6">
            <v>65</v>
          </cell>
          <cell r="V6">
            <v>65</v>
          </cell>
          <cell r="W6">
            <v>75</v>
          </cell>
        </row>
        <row r="7">
          <cell r="A7">
            <v>100</v>
          </cell>
          <cell r="B7">
            <v>30</v>
          </cell>
          <cell r="C7">
            <v>40</v>
          </cell>
          <cell r="D7">
            <v>40</v>
          </cell>
          <cell r="E7">
            <v>40</v>
          </cell>
          <cell r="F7">
            <v>40</v>
          </cell>
          <cell r="G7">
            <v>40</v>
          </cell>
          <cell r="H7">
            <v>40</v>
          </cell>
          <cell r="I7">
            <v>40</v>
          </cell>
          <cell r="J7">
            <v>50</v>
          </cell>
          <cell r="K7">
            <v>50</v>
          </cell>
          <cell r="L7">
            <v>50</v>
          </cell>
          <cell r="M7">
            <v>50</v>
          </cell>
          <cell r="N7">
            <v>50</v>
          </cell>
          <cell r="O7">
            <v>50</v>
          </cell>
          <cell r="P7">
            <v>50</v>
          </cell>
          <cell r="Q7">
            <v>50</v>
          </cell>
          <cell r="R7">
            <v>50</v>
          </cell>
          <cell r="S7">
            <v>50</v>
          </cell>
          <cell r="T7">
            <v>50</v>
          </cell>
          <cell r="U7">
            <v>65</v>
          </cell>
          <cell r="V7">
            <v>65</v>
          </cell>
          <cell r="W7">
            <v>75</v>
          </cell>
        </row>
        <row r="8">
          <cell r="A8">
            <v>125</v>
          </cell>
          <cell r="B8">
            <v>40</v>
          </cell>
          <cell r="C8">
            <v>40</v>
          </cell>
          <cell r="D8">
            <v>40</v>
          </cell>
          <cell r="E8">
            <v>40</v>
          </cell>
          <cell r="F8">
            <v>40</v>
          </cell>
          <cell r="G8">
            <v>50</v>
          </cell>
          <cell r="H8">
            <v>50</v>
          </cell>
          <cell r="I8">
            <v>50</v>
          </cell>
          <cell r="J8">
            <v>50</v>
          </cell>
          <cell r="K8">
            <v>50</v>
          </cell>
          <cell r="L8">
            <v>50</v>
          </cell>
          <cell r="M8">
            <v>50</v>
          </cell>
          <cell r="N8">
            <v>65</v>
          </cell>
          <cell r="O8">
            <v>65</v>
          </cell>
          <cell r="P8">
            <v>65</v>
          </cell>
          <cell r="Q8">
            <v>65</v>
          </cell>
          <cell r="R8">
            <v>65</v>
          </cell>
          <cell r="S8">
            <v>65</v>
          </cell>
          <cell r="T8">
            <v>65</v>
          </cell>
          <cell r="U8">
            <v>65</v>
          </cell>
          <cell r="V8">
            <v>65</v>
          </cell>
          <cell r="W8">
            <v>75</v>
          </cell>
        </row>
        <row r="9">
          <cell r="A9">
            <v>150</v>
          </cell>
          <cell r="B9">
            <v>40</v>
          </cell>
          <cell r="C9">
            <v>50</v>
          </cell>
          <cell r="D9">
            <v>50</v>
          </cell>
          <cell r="E9">
            <v>50</v>
          </cell>
          <cell r="F9">
            <v>50</v>
          </cell>
          <cell r="G9">
            <v>50</v>
          </cell>
          <cell r="H9">
            <v>65</v>
          </cell>
          <cell r="I9">
            <v>65</v>
          </cell>
          <cell r="J9">
            <v>65</v>
          </cell>
          <cell r="K9">
            <v>65</v>
          </cell>
          <cell r="L9">
            <v>65</v>
          </cell>
          <cell r="M9">
            <v>65</v>
          </cell>
          <cell r="N9">
            <v>65</v>
          </cell>
          <cell r="O9">
            <v>65</v>
          </cell>
          <cell r="P9">
            <v>65</v>
          </cell>
          <cell r="Q9">
            <v>65</v>
          </cell>
          <cell r="R9">
            <v>75</v>
          </cell>
          <cell r="S9">
            <v>75</v>
          </cell>
          <cell r="T9">
            <v>75</v>
          </cell>
          <cell r="U9">
            <v>75</v>
          </cell>
          <cell r="V9">
            <v>75</v>
          </cell>
          <cell r="W9">
            <v>75</v>
          </cell>
        </row>
        <row r="10">
          <cell r="A10">
            <v>175</v>
          </cell>
          <cell r="B10">
            <v>50</v>
          </cell>
          <cell r="C10">
            <v>50</v>
          </cell>
          <cell r="D10">
            <v>50</v>
          </cell>
          <cell r="E10">
            <v>65</v>
          </cell>
          <cell r="F10">
            <v>65</v>
          </cell>
          <cell r="G10">
            <v>65</v>
          </cell>
          <cell r="H10">
            <v>65</v>
          </cell>
          <cell r="I10">
            <v>65</v>
          </cell>
          <cell r="J10">
            <v>65</v>
          </cell>
          <cell r="K10">
            <v>75</v>
          </cell>
          <cell r="L10">
            <v>75</v>
          </cell>
          <cell r="M10">
            <v>75</v>
          </cell>
          <cell r="N10">
            <v>75</v>
          </cell>
          <cell r="O10">
            <v>75</v>
          </cell>
          <cell r="P10">
            <v>90</v>
          </cell>
          <cell r="Q10">
            <v>90</v>
          </cell>
          <cell r="R10">
            <v>90</v>
          </cell>
          <cell r="S10">
            <v>90</v>
          </cell>
          <cell r="T10">
            <v>90</v>
          </cell>
          <cell r="U10">
            <v>90</v>
          </cell>
          <cell r="V10">
            <v>90</v>
          </cell>
          <cell r="W10">
            <v>100</v>
          </cell>
        </row>
        <row r="11">
          <cell r="A11">
            <v>200</v>
          </cell>
          <cell r="B11">
            <v>50</v>
          </cell>
          <cell r="C11">
            <v>50</v>
          </cell>
          <cell r="D11">
            <v>50</v>
          </cell>
          <cell r="E11">
            <v>65</v>
          </cell>
          <cell r="F11">
            <v>65</v>
          </cell>
          <cell r="G11">
            <v>65</v>
          </cell>
          <cell r="H11">
            <v>65</v>
          </cell>
          <cell r="I11">
            <v>65</v>
          </cell>
          <cell r="J11">
            <v>65</v>
          </cell>
          <cell r="K11">
            <v>75</v>
          </cell>
          <cell r="L11">
            <v>75</v>
          </cell>
          <cell r="M11">
            <v>75</v>
          </cell>
          <cell r="N11">
            <v>75</v>
          </cell>
          <cell r="O11">
            <v>75</v>
          </cell>
          <cell r="P11">
            <v>90</v>
          </cell>
          <cell r="Q11">
            <v>90</v>
          </cell>
          <cell r="R11">
            <v>90</v>
          </cell>
          <cell r="S11">
            <v>90</v>
          </cell>
          <cell r="T11">
            <v>90</v>
          </cell>
          <cell r="U11">
            <v>90</v>
          </cell>
          <cell r="V11">
            <v>90</v>
          </cell>
          <cell r="W11">
            <v>100</v>
          </cell>
        </row>
        <row r="12">
          <cell r="A12">
            <v>225</v>
          </cell>
          <cell r="B12">
            <v>50</v>
          </cell>
          <cell r="C12">
            <v>50</v>
          </cell>
          <cell r="D12">
            <v>50</v>
          </cell>
          <cell r="E12">
            <v>65</v>
          </cell>
          <cell r="F12">
            <v>65</v>
          </cell>
          <cell r="G12">
            <v>65</v>
          </cell>
          <cell r="H12">
            <v>65</v>
          </cell>
          <cell r="I12">
            <v>65</v>
          </cell>
          <cell r="J12">
            <v>65</v>
          </cell>
          <cell r="K12">
            <v>75</v>
          </cell>
          <cell r="L12">
            <v>75</v>
          </cell>
          <cell r="M12">
            <v>75</v>
          </cell>
          <cell r="N12">
            <v>75</v>
          </cell>
          <cell r="O12">
            <v>75</v>
          </cell>
          <cell r="P12">
            <v>90</v>
          </cell>
          <cell r="Q12">
            <v>90</v>
          </cell>
          <cell r="R12">
            <v>90</v>
          </cell>
          <cell r="S12">
            <v>90</v>
          </cell>
          <cell r="T12">
            <v>90</v>
          </cell>
          <cell r="U12">
            <v>90</v>
          </cell>
          <cell r="V12">
            <v>90</v>
          </cell>
          <cell r="W12">
            <v>100</v>
          </cell>
        </row>
        <row r="13">
          <cell r="A13">
            <v>250</v>
          </cell>
          <cell r="B13">
            <v>50</v>
          </cell>
          <cell r="C13">
            <v>65</v>
          </cell>
          <cell r="D13">
            <v>65</v>
          </cell>
          <cell r="E13">
            <v>65</v>
          </cell>
          <cell r="F13">
            <v>65</v>
          </cell>
          <cell r="G13">
            <v>65</v>
          </cell>
          <cell r="H13">
            <v>65</v>
          </cell>
          <cell r="I13">
            <v>75</v>
          </cell>
          <cell r="J13">
            <v>75</v>
          </cell>
          <cell r="K13">
            <v>75</v>
          </cell>
          <cell r="L13">
            <v>90</v>
          </cell>
          <cell r="M13">
            <v>90</v>
          </cell>
          <cell r="N13">
            <v>90</v>
          </cell>
          <cell r="O13">
            <v>90</v>
          </cell>
          <cell r="P13">
            <v>90</v>
          </cell>
          <cell r="Q13">
            <v>90</v>
          </cell>
          <cell r="R13">
            <v>90</v>
          </cell>
          <cell r="S13">
            <v>90</v>
          </cell>
          <cell r="T13">
            <v>90</v>
          </cell>
          <cell r="U13">
            <v>100</v>
          </cell>
          <cell r="V13">
            <v>100</v>
          </cell>
          <cell r="W13">
            <v>125</v>
          </cell>
        </row>
        <row r="14">
          <cell r="A14">
            <v>275</v>
          </cell>
          <cell r="B14">
            <v>65</v>
          </cell>
          <cell r="C14">
            <v>65</v>
          </cell>
          <cell r="D14">
            <v>65</v>
          </cell>
          <cell r="E14">
            <v>65</v>
          </cell>
          <cell r="F14">
            <v>65</v>
          </cell>
          <cell r="G14">
            <v>75</v>
          </cell>
          <cell r="H14">
            <v>75</v>
          </cell>
          <cell r="I14">
            <v>75</v>
          </cell>
          <cell r="J14">
            <v>90</v>
          </cell>
          <cell r="K14">
            <v>90</v>
          </cell>
          <cell r="L14">
            <v>90</v>
          </cell>
          <cell r="M14">
            <v>90</v>
          </cell>
          <cell r="N14">
            <v>100</v>
          </cell>
          <cell r="O14">
            <v>100</v>
          </cell>
          <cell r="P14">
            <v>100</v>
          </cell>
          <cell r="Q14">
            <v>100</v>
          </cell>
          <cell r="R14">
            <v>100</v>
          </cell>
          <cell r="S14">
            <v>100</v>
          </cell>
          <cell r="T14">
            <v>115</v>
          </cell>
          <cell r="U14">
            <v>115</v>
          </cell>
          <cell r="V14">
            <v>115</v>
          </cell>
          <cell r="W14">
            <v>125</v>
          </cell>
        </row>
        <row r="15">
          <cell r="A15">
            <v>300</v>
          </cell>
          <cell r="B15">
            <v>65</v>
          </cell>
          <cell r="C15">
            <v>65</v>
          </cell>
          <cell r="D15">
            <v>65</v>
          </cell>
          <cell r="E15">
            <v>65</v>
          </cell>
          <cell r="F15">
            <v>65</v>
          </cell>
          <cell r="G15">
            <v>75</v>
          </cell>
          <cell r="H15">
            <v>75</v>
          </cell>
          <cell r="I15">
            <v>75</v>
          </cell>
          <cell r="J15">
            <v>90</v>
          </cell>
          <cell r="K15">
            <v>90</v>
          </cell>
          <cell r="L15">
            <v>90</v>
          </cell>
          <cell r="M15">
            <v>90</v>
          </cell>
          <cell r="N15">
            <v>100</v>
          </cell>
          <cell r="O15">
            <v>100</v>
          </cell>
          <cell r="P15">
            <v>100</v>
          </cell>
          <cell r="Q15">
            <v>100</v>
          </cell>
          <cell r="R15">
            <v>100</v>
          </cell>
          <cell r="S15">
            <v>100</v>
          </cell>
          <cell r="T15">
            <v>115</v>
          </cell>
          <cell r="U15">
            <v>115</v>
          </cell>
          <cell r="V15">
            <v>115</v>
          </cell>
          <cell r="W15">
            <v>125</v>
          </cell>
        </row>
        <row r="16">
          <cell r="A16">
            <v>325</v>
          </cell>
          <cell r="B16">
            <v>65</v>
          </cell>
          <cell r="C16">
            <v>65</v>
          </cell>
          <cell r="D16">
            <v>65</v>
          </cell>
          <cell r="E16">
            <v>65</v>
          </cell>
          <cell r="F16">
            <v>65</v>
          </cell>
          <cell r="G16">
            <v>75</v>
          </cell>
          <cell r="H16">
            <v>75</v>
          </cell>
          <cell r="I16">
            <v>75</v>
          </cell>
          <cell r="J16">
            <v>90</v>
          </cell>
          <cell r="K16">
            <v>90</v>
          </cell>
          <cell r="L16">
            <v>90</v>
          </cell>
          <cell r="M16">
            <v>90</v>
          </cell>
          <cell r="N16">
            <v>100</v>
          </cell>
          <cell r="O16">
            <v>100</v>
          </cell>
          <cell r="P16">
            <v>100</v>
          </cell>
          <cell r="Q16">
            <v>100</v>
          </cell>
          <cell r="R16">
            <v>100</v>
          </cell>
          <cell r="S16">
            <v>100</v>
          </cell>
          <cell r="T16">
            <v>115</v>
          </cell>
          <cell r="U16">
            <v>115</v>
          </cell>
          <cell r="V16">
            <v>115</v>
          </cell>
          <cell r="W16">
            <v>125</v>
          </cell>
        </row>
        <row r="17">
          <cell r="A17">
            <v>350</v>
          </cell>
          <cell r="B17">
            <v>65</v>
          </cell>
          <cell r="C17">
            <v>65</v>
          </cell>
          <cell r="D17">
            <v>65</v>
          </cell>
          <cell r="E17">
            <v>75</v>
          </cell>
          <cell r="F17">
            <v>75</v>
          </cell>
          <cell r="G17">
            <v>75</v>
          </cell>
          <cell r="H17">
            <v>90</v>
          </cell>
          <cell r="I17">
            <v>90</v>
          </cell>
          <cell r="J17">
            <v>90</v>
          </cell>
          <cell r="K17">
            <v>90</v>
          </cell>
          <cell r="L17">
            <v>90</v>
          </cell>
          <cell r="M17">
            <v>100</v>
          </cell>
          <cell r="N17">
            <v>100</v>
          </cell>
          <cell r="O17">
            <v>100</v>
          </cell>
          <cell r="P17">
            <v>115</v>
          </cell>
          <cell r="Q17">
            <v>115</v>
          </cell>
          <cell r="R17">
            <v>115</v>
          </cell>
          <cell r="S17">
            <v>115</v>
          </cell>
          <cell r="T17">
            <v>115</v>
          </cell>
          <cell r="U17">
            <v>115</v>
          </cell>
          <cell r="V17">
            <v>115</v>
          </cell>
          <cell r="W17">
            <v>125</v>
          </cell>
        </row>
        <row r="18">
          <cell r="A18">
            <v>375</v>
          </cell>
          <cell r="B18">
            <v>65</v>
          </cell>
          <cell r="C18">
            <v>65</v>
          </cell>
          <cell r="D18">
            <v>75</v>
          </cell>
          <cell r="E18">
            <v>75</v>
          </cell>
          <cell r="F18">
            <v>75</v>
          </cell>
          <cell r="G18">
            <v>90</v>
          </cell>
          <cell r="H18">
            <v>90</v>
          </cell>
          <cell r="I18">
            <v>90</v>
          </cell>
          <cell r="J18">
            <v>90</v>
          </cell>
          <cell r="K18">
            <v>100</v>
          </cell>
          <cell r="L18">
            <v>100</v>
          </cell>
          <cell r="M18">
            <v>115</v>
          </cell>
          <cell r="N18">
            <v>115</v>
          </cell>
          <cell r="O18">
            <v>115</v>
          </cell>
          <cell r="P18">
            <v>115</v>
          </cell>
          <cell r="Q18">
            <v>115</v>
          </cell>
          <cell r="R18">
            <v>115</v>
          </cell>
          <cell r="S18">
            <v>115</v>
          </cell>
          <cell r="T18">
            <v>125</v>
          </cell>
          <cell r="U18">
            <v>125</v>
          </cell>
          <cell r="V18">
            <v>125</v>
          </cell>
          <cell r="W18">
            <v>150</v>
          </cell>
        </row>
        <row r="19">
          <cell r="A19">
            <v>400</v>
          </cell>
          <cell r="B19">
            <v>75</v>
          </cell>
          <cell r="C19">
            <v>75</v>
          </cell>
          <cell r="D19">
            <v>75</v>
          </cell>
          <cell r="E19">
            <v>90</v>
          </cell>
          <cell r="F19">
            <v>90</v>
          </cell>
          <cell r="G19">
            <v>90</v>
          </cell>
          <cell r="H19">
            <v>90</v>
          </cell>
          <cell r="I19">
            <v>100</v>
          </cell>
          <cell r="J19">
            <v>100</v>
          </cell>
          <cell r="K19">
            <v>100</v>
          </cell>
          <cell r="L19">
            <v>115</v>
          </cell>
          <cell r="M19">
            <v>115</v>
          </cell>
          <cell r="N19">
            <v>115</v>
          </cell>
          <cell r="O19">
            <v>125</v>
          </cell>
          <cell r="P19">
            <v>125</v>
          </cell>
          <cell r="Q19">
            <v>125</v>
          </cell>
          <cell r="R19">
            <v>125</v>
          </cell>
          <cell r="S19">
            <v>125</v>
          </cell>
          <cell r="T19">
            <v>140</v>
          </cell>
          <cell r="U19">
            <v>140</v>
          </cell>
          <cell r="V19">
            <v>140</v>
          </cell>
          <cell r="W19">
            <v>175</v>
          </cell>
        </row>
        <row r="20">
          <cell r="A20">
            <v>425</v>
          </cell>
          <cell r="B20">
            <v>75</v>
          </cell>
          <cell r="C20">
            <v>75</v>
          </cell>
          <cell r="D20">
            <v>90</v>
          </cell>
          <cell r="E20">
            <v>90</v>
          </cell>
          <cell r="F20">
            <v>90</v>
          </cell>
          <cell r="G20">
            <v>90</v>
          </cell>
          <cell r="H20">
            <v>100</v>
          </cell>
          <cell r="I20">
            <v>100</v>
          </cell>
          <cell r="J20">
            <v>115</v>
          </cell>
          <cell r="K20">
            <v>115</v>
          </cell>
          <cell r="L20">
            <v>115</v>
          </cell>
          <cell r="M20">
            <v>125</v>
          </cell>
          <cell r="N20">
            <v>125</v>
          </cell>
          <cell r="O20">
            <v>140</v>
          </cell>
          <cell r="P20">
            <v>140</v>
          </cell>
          <cell r="Q20">
            <v>140</v>
          </cell>
          <cell r="R20">
            <v>140</v>
          </cell>
          <cell r="S20">
            <v>140</v>
          </cell>
          <cell r="T20">
            <v>140</v>
          </cell>
          <cell r="U20">
            <v>150</v>
          </cell>
          <cell r="V20">
            <v>150</v>
          </cell>
          <cell r="W20">
            <v>175</v>
          </cell>
        </row>
        <row r="21">
          <cell r="A21">
            <v>450</v>
          </cell>
          <cell r="B21">
            <v>90</v>
          </cell>
          <cell r="C21">
            <v>90</v>
          </cell>
          <cell r="D21">
            <v>90</v>
          </cell>
          <cell r="E21">
            <v>90</v>
          </cell>
          <cell r="F21">
            <v>100</v>
          </cell>
          <cell r="G21">
            <v>100</v>
          </cell>
          <cell r="H21">
            <v>115</v>
          </cell>
          <cell r="I21">
            <v>115</v>
          </cell>
          <cell r="J21">
            <v>115</v>
          </cell>
          <cell r="K21">
            <v>115</v>
          </cell>
          <cell r="L21">
            <v>125</v>
          </cell>
          <cell r="M21">
            <v>140</v>
          </cell>
          <cell r="N21">
            <v>140</v>
          </cell>
          <cell r="O21">
            <v>140</v>
          </cell>
          <cell r="P21">
            <v>140</v>
          </cell>
          <cell r="Q21">
            <v>140</v>
          </cell>
          <cell r="R21">
            <v>150</v>
          </cell>
          <cell r="S21">
            <v>150</v>
          </cell>
          <cell r="T21">
            <v>150</v>
          </cell>
          <cell r="U21">
            <v>165</v>
          </cell>
          <cell r="V21">
            <v>165</v>
          </cell>
          <cell r="W21">
            <v>200</v>
          </cell>
        </row>
        <row r="22">
          <cell r="A22">
            <v>475</v>
          </cell>
          <cell r="B22">
            <v>90</v>
          </cell>
          <cell r="C22">
            <v>90</v>
          </cell>
          <cell r="D22">
            <v>90</v>
          </cell>
          <cell r="E22">
            <v>100</v>
          </cell>
          <cell r="F22">
            <v>100</v>
          </cell>
          <cell r="G22">
            <v>115</v>
          </cell>
          <cell r="H22">
            <v>115</v>
          </cell>
          <cell r="I22">
            <v>115</v>
          </cell>
          <cell r="J22">
            <v>125</v>
          </cell>
          <cell r="K22">
            <v>125</v>
          </cell>
          <cell r="L22">
            <v>140</v>
          </cell>
          <cell r="M22">
            <v>140</v>
          </cell>
          <cell r="N22">
            <v>140</v>
          </cell>
          <cell r="O22">
            <v>150</v>
          </cell>
          <cell r="P22">
            <v>150</v>
          </cell>
          <cell r="Q22">
            <v>150</v>
          </cell>
          <cell r="R22">
            <v>165</v>
          </cell>
          <cell r="S22">
            <v>165</v>
          </cell>
          <cell r="T22">
            <v>165</v>
          </cell>
          <cell r="U22">
            <v>165</v>
          </cell>
          <cell r="V22">
            <v>175</v>
          </cell>
          <cell r="W22">
            <v>200</v>
          </cell>
        </row>
        <row r="23">
          <cell r="A23">
            <v>500</v>
          </cell>
          <cell r="B23">
            <v>90</v>
          </cell>
          <cell r="C23">
            <v>100</v>
          </cell>
          <cell r="D23">
            <v>100</v>
          </cell>
          <cell r="E23">
            <v>115</v>
          </cell>
          <cell r="F23">
            <v>115</v>
          </cell>
          <cell r="G23">
            <v>115</v>
          </cell>
          <cell r="H23">
            <v>115</v>
          </cell>
          <cell r="I23">
            <v>125</v>
          </cell>
          <cell r="J23">
            <v>125</v>
          </cell>
          <cell r="K23">
            <v>140</v>
          </cell>
          <cell r="L23">
            <v>140</v>
          </cell>
          <cell r="M23">
            <v>150</v>
          </cell>
          <cell r="N23">
            <v>150</v>
          </cell>
          <cell r="O23">
            <v>165</v>
          </cell>
          <cell r="P23">
            <v>165</v>
          </cell>
          <cell r="Q23">
            <v>165</v>
          </cell>
          <cell r="R23">
            <v>165</v>
          </cell>
          <cell r="S23">
            <v>175</v>
          </cell>
          <cell r="T23">
            <v>175</v>
          </cell>
          <cell r="U23">
            <v>175</v>
          </cell>
          <cell r="V23">
            <v>190</v>
          </cell>
          <cell r="W23">
            <v>225</v>
          </cell>
        </row>
        <row r="24">
          <cell r="A24">
            <v>525</v>
          </cell>
          <cell r="B24">
            <v>100</v>
          </cell>
          <cell r="C24">
            <v>100</v>
          </cell>
          <cell r="D24">
            <v>115</v>
          </cell>
          <cell r="E24">
            <v>115</v>
          </cell>
          <cell r="F24">
            <v>115</v>
          </cell>
          <cell r="G24">
            <v>115</v>
          </cell>
          <cell r="H24">
            <v>125</v>
          </cell>
          <cell r="I24">
            <v>140</v>
          </cell>
          <cell r="J24">
            <v>140</v>
          </cell>
          <cell r="K24">
            <v>140</v>
          </cell>
          <cell r="L24">
            <v>150</v>
          </cell>
          <cell r="M24">
            <v>165</v>
          </cell>
          <cell r="N24">
            <v>165</v>
          </cell>
          <cell r="O24">
            <v>165</v>
          </cell>
          <cell r="P24">
            <v>175</v>
          </cell>
          <cell r="Q24">
            <v>175</v>
          </cell>
          <cell r="R24">
            <v>175</v>
          </cell>
          <cell r="S24">
            <v>190</v>
          </cell>
          <cell r="T24">
            <v>190</v>
          </cell>
          <cell r="U24">
            <v>190</v>
          </cell>
          <cell r="V24">
            <v>190</v>
          </cell>
          <cell r="W24">
            <v>250</v>
          </cell>
        </row>
        <row r="25">
          <cell r="A25">
            <v>550</v>
          </cell>
          <cell r="B25">
            <v>100</v>
          </cell>
          <cell r="C25">
            <v>115</v>
          </cell>
          <cell r="D25">
            <v>115</v>
          </cell>
          <cell r="E25">
            <v>115</v>
          </cell>
          <cell r="F25">
            <v>125</v>
          </cell>
          <cell r="G25">
            <v>125</v>
          </cell>
          <cell r="H25">
            <v>140</v>
          </cell>
          <cell r="I25">
            <v>140</v>
          </cell>
          <cell r="J25">
            <v>150</v>
          </cell>
          <cell r="K25">
            <v>150</v>
          </cell>
          <cell r="L25">
            <v>165</v>
          </cell>
          <cell r="M25">
            <v>165</v>
          </cell>
          <cell r="N25">
            <v>175</v>
          </cell>
          <cell r="O25">
            <v>175</v>
          </cell>
          <cell r="P25">
            <v>190</v>
          </cell>
          <cell r="Q25">
            <v>190</v>
          </cell>
          <cell r="R25">
            <v>190</v>
          </cell>
          <cell r="S25">
            <v>190</v>
          </cell>
          <cell r="T25">
            <v>200</v>
          </cell>
          <cell r="U25">
            <v>200</v>
          </cell>
          <cell r="V25">
            <v>215</v>
          </cell>
          <cell r="W25">
            <v>250</v>
          </cell>
        </row>
        <row r="26">
          <cell r="A26">
            <v>575</v>
          </cell>
          <cell r="B26">
            <v>115</v>
          </cell>
          <cell r="C26">
            <v>115</v>
          </cell>
          <cell r="D26">
            <v>115</v>
          </cell>
          <cell r="E26">
            <v>125</v>
          </cell>
          <cell r="F26">
            <v>125</v>
          </cell>
          <cell r="G26">
            <v>140</v>
          </cell>
          <cell r="H26">
            <v>140</v>
          </cell>
          <cell r="I26">
            <v>150</v>
          </cell>
          <cell r="J26">
            <v>150</v>
          </cell>
          <cell r="K26">
            <v>165</v>
          </cell>
          <cell r="L26">
            <v>165</v>
          </cell>
          <cell r="M26">
            <v>175</v>
          </cell>
          <cell r="N26">
            <v>190</v>
          </cell>
          <cell r="O26">
            <v>190</v>
          </cell>
          <cell r="P26">
            <v>190</v>
          </cell>
          <cell r="Q26">
            <v>200</v>
          </cell>
          <cell r="R26">
            <v>200</v>
          </cell>
          <cell r="S26">
            <v>215</v>
          </cell>
          <cell r="T26">
            <v>215</v>
          </cell>
          <cell r="U26">
            <v>215</v>
          </cell>
          <cell r="V26">
            <v>225</v>
          </cell>
          <cell r="W26">
            <v>275</v>
          </cell>
        </row>
        <row r="27">
          <cell r="A27">
            <v>600</v>
          </cell>
          <cell r="B27">
            <v>115</v>
          </cell>
          <cell r="C27">
            <v>115</v>
          </cell>
          <cell r="D27">
            <v>125</v>
          </cell>
          <cell r="E27">
            <v>140</v>
          </cell>
          <cell r="F27">
            <v>140</v>
          </cell>
          <cell r="G27">
            <v>140</v>
          </cell>
          <cell r="H27">
            <v>150</v>
          </cell>
          <cell r="I27">
            <v>150</v>
          </cell>
          <cell r="J27">
            <v>165</v>
          </cell>
          <cell r="K27">
            <v>165</v>
          </cell>
          <cell r="L27">
            <v>175</v>
          </cell>
          <cell r="M27">
            <v>190</v>
          </cell>
          <cell r="N27">
            <v>190</v>
          </cell>
          <cell r="O27">
            <v>200</v>
          </cell>
          <cell r="P27">
            <v>200</v>
          </cell>
          <cell r="Q27">
            <v>215</v>
          </cell>
          <cell r="R27">
            <v>215</v>
          </cell>
          <cell r="S27">
            <v>215</v>
          </cell>
          <cell r="T27">
            <v>225</v>
          </cell>
          <cell r="U27">
            <v>225</v>
          </cell>
          <cell r="V27">
            <v>240</v>
          </cell>
          <cell r="W27">
            <v>300</v>
          </cell>
        </row>
        <row r="30">
          <cell r="B30">
            <v>15</v>
          </cell>
          <cell r="C30">
            <v>20</v>
          </cell>
          <cell r="D30">
            <v>25</v>
          </cell>
          <cell r="E30">
            <v>32</v>
          </cell>
          <cell r="F30">
            <v>40</v>
          </cell>
          <cell r="G30">
            <v>50</v>
          </cell>
          <cell r="H30">
            <v>65</v>
          </cell>
          <cell r="I30">
            <v>80</v>
          </cell>
          <cell r="J30">
            <v>100</v>
          </cell>
          <cell r="K30">
            <v>125</v>
          </cell>
          <cell r="L30">
            <v>150</v>
          </cell>
          <cell r="M30">
            <v>200</v>
          </cell>
          <cell r="N30">
            <v>250</v>
          </cell>
          <cell r="O30">
            <v>300</v>
          </cell>
          <cell r="P30">
            <v>350</v>
          </cell>
          <cell r="Q30">
            <v>400</v>
          </cell>
          <cell r="R30">
            <v>450</v>
          </cell>
          <cell r="S30">
            <v>500</v>
          </cell>
          <cell r="T30">
            <v>600</v>
          </cell>
          <cell r="U30">
            <v>700</v>
          </cell>
          <cell r="V30">
            <v>800</v>
          </cell>
          <cell r="W30" t="str">
            <v>-</v>
          </cell>
        </row>
        <row r="32">
          <cell r="A32">
            <v>100</v>
          </cell>
          <cell r="B32">
            <v>30</v>
          </cell>
          <cell r="C32">
            <v>30</v>
          </cell>
          <cell r="D32">
            <v>30</v>
          </cell>
          <cell r="E32">
            <v>30</v>
          </cell>
          <cell r="F32">
            <v>30</v>
          </cell>
          <cell r="G32">
            <v>30</v>
          </cell>
          <cell r="H32">
            <v>30</v>
          </cell>
          <cell r="I32">
            <v>30</v>
          </cell>
          <cell r="J32">
            <v>30</v>
          </cell>
          <cell r="K32">
            <v>30</v>
          </cell>
          <cell r="L32">
            <v>30</v>
          </cell>
          <cell r="M32">
            <v>30</v>
          </cell>
          <cell r="N32">
            <v>30</v>
          </cell>
          <cell r="O32">
            <v>40</v>
          </cell>
          <cell r="P32">
            <v>40</v>
          </cell>
          <cell r="Q32">
            <v>40</v>
          </cell>
          <cell r="R32">
            <v>40</v>
          </cell>
          <cell r="S32">
            <v>40</v>
          </cell>
          <cell r="T32">
            <v>40</v>
          </cell>
          <cell r="U32">
            <v>40</v>
          </cell>
          <cell r="V32">
            <v>40</v>
          </cell>
          <cell r="W32">
            <v>50</v>
          </cell>
        </row>
        <row r="33">
          <cell r="A33">
            <v>100</v>
          </cell>
          <cell r="B33">
            <v>30</v>
          </cell>
          <cell r="C33">
            <v>30</v>
          </cell>
          <cell r="D33">
            <v>30</v>
          </cell>
          <cell r="E33">
            <v>30</v>
          </cell>
          <cell r="F33">
            <v>30</v>
          </cell>
          <cell r="G33">
            <v>30</v>
          </cell>
          <cell r="H33">
            <v>30</v>
          </cell>
          <cell r="I33">
            <v>30</v>
          </cell>
          <cell r="J33">
            <v>30</v>
          </cell>
          <cell r="K33">
            <v>30</v>
          </cell>
          <cell r="L33">
            <v>30</v>
          </cell>
          <cell r="M33">
            <v>30</v>
          </cell>
          <cell r="N33">
            <v>30</v>
          </cell>
          <cell r="O33">
            <v>40</v>
          </cell>
          <cell r="P33">
            <v>40</v>
          </cell>
          <cell r="Q33">
            <v>40</v>
          </cell>
          <cell r="R33">
            <v>40</v>
          </cell>
          <cell r="S33">
            <v>40</v>
          </cell>
          <cell r="T33">
            <v>40</v>
          </cell>
          <cell r="U33">
            <v>40</v>
          </cell>
          <cell r="V33">
            <v>40</v>
          </cell>
          <cell r="W33">
            <v>50</v>
          </cell>
        </row>
        <row r="34">
          <cell r="A34">
            <v>150</v>
          </cell>
          <cell r="B34">
            <v>30</v>
          </cell>
          <cell r="C34">
            <v>30</v>
          </cell>
          <cell r="D34">
            <v>30</v>
          </cell>
          <cell r="E34">
            <v>30</v>
          </cell>
          <cell r="F34">
            <v>30</v>
          </cell>
          <cell r="G34">
            <v>30</v>
          </cell>
          <cell r="H34">
            <v>30</v>
          </cell>
          <cell r="I34">
            <v>30</v>
          </cell>
          <cell r="J34">
            <v>30</v>
          </cell>
          <cell r="K34">
            <v>30</v>
          </cell>
          <cell r="L34">
            <v>30</v>
          </cell>
          <cell r="M34">
            <v>30</v>
          </cell>
          <cell r="N34">
            <v>30</v>
          </cell>
          <cell r="O34">
            <v>40</v>
          </cell>
          <cell r="P34">
            <v>40</v>
          </cell>
          <cell r="Q34">
            <v>40</v>
          </cell>
          <cell r="R34">
            <v>40</v>
          </cell>
          <cell r="S34">
            <v>40</v>
          </cell>
          <cell r="T34">
            <v>40</v>
          </cell>
          <cell r="U34">
            <v>40</v>
          </cell>
          <cell r="V34">
            <v>40</v>
          </cell>
          <cell r="W34">
            <v>50</v>
          </cell>
        </row>
        <row r="35">
          <cell r="A35">
            <v>200</v>
          </cell>
          <cell r="B35">
            <v>30</v>
          </cell>
          <cell r="C35">
            <v>30</v>
          </cell>
          <cell r="D35">
            <v>30</v>
          </cell>
          <cell r="E35">
            <v>30</v>
          </cell>
          <cell r="F35">
            <v>30</v>
          </cell>
          <cell r="G35">
            <v>30</v>
          </cell>
          <cell r="H35">
            <v>30</v>
          </cell>
          <cell r="I35">
            <v>30</v>
          </cell>
          <cell r="J35">
            <v>30</v>
          </cell>
          <cell r="K35">
            <v>30</v>
          </cell>
          <cell r="L35">
            <v>30</v>
          </cell>
          <cell r="M35">
            <v>30</v>
          </cell>
          <cell r="N35">
            <v>30</v>
          </cell>
          <cell r="O35">
            <v>40</v>
          </cell>
          <cell r="P35">
            <v>40</v>
          </cell>
          <cell r="Q35">
            <v>40</v>
          </cell>
          <cell r="R35">
            <v>40</v>
          </cell>
          <cell r="S35">
            <v>40</v>
          </cell>
          <cell r="T35">
            <v>40</v>
          </cell>
          <cell r="U35">
            <v>40</v>
          </cell>
          <cell r="V35">
            <v>40</v>
          </cell>
          <cell r="W35">
            <v>50</v>
          </cell>
        </row>
        <row r="36">
          <cell r="A36">
            <v>250</v>
          </cell>
          <cell r="B36">
            <v>30</v>
          </cell>
          <cell r="C36">
            <v>30</v>
          </cell>
          <cell r="D36">
            <v>30</v>
          </cell>
          <cell r="E36">
            <v>30</v>
          </cell>
          <cell r="F36">
            <v>30</v>
          </cell>
          <cell r="G36">
            <v>30</v>
          </cell>
          <cell r="H36">
            <v>30</v>
          </cell>
          <cell r="I36">
            <v>30</v>
          </cell>
          <cell r="J36">
            <v>40</v>
          </cell>
          <cell r="K36">
            <v>40</v>
          </cell>
          <cell r="L36">
            <v>40</v>
          </cell>
          <cell r="M36">
            <v>40</v>
          </cell>
          <cell r="N36">
            <v>40</v>
          </cell>
          <cell r="O36">
            <v>40</v>
          </cell>
          <cell r="P36">
            <v>40</v>
          </cell>
          <cell r="Q36">
            <v>40</v>
          </cell>
          <cell r="R36">
            <v>40</v>
          </cell>
          <cell r="S36">
            <v>40</v>
          </cell>
          <cell r="T36">
            <v>40</v>
          </cell>
          <cell r="U36">
            <v>40</v>
          </cell>
          <cell r="V36">
            <v>40</v>
          </cell>
          <cell r="W36">
            <v>50</v>
          </cell>
        </row>
        <row r="37">
          <cell r="A37">
            <v>300</v>
          </cell>
          <cell r="B37">
            <v>30</v>
          </cell>
          <cell r="C37">
            <v>30</v>
          </cell>
          <cell r="D37">
            <v>40</v>
          </cell>
          <cell r="E37">
            <v>40</v>
          </cell>
          <cell r="F37">
            <v>40</v>
          </cell>
          <cell r="G37">
            <v>40</v>
          </cell>
          <cell r="H37">
            <v>40</v>
          </cell>
          <cell r="I37">
            <v>40</v>
          </cell>
          <cell r="J37">
            <v>40</v>
          </cell>
          <cell r="K37">
            <v>50</v>
          </cell>
          <cell r="L37">
            <v>50</v>
          </cell>
          <cell r="M37">
            <v>50</v>
          </cell>
          <cell r="N37">
            <v>50</v>
          </cell>
          <cell r="O37">
            <v>50</v>
          </cell>
          <cell r="P37">
            <v>50</v>
          </cell>
          <cell r="Q37">
            <v>50</v>
          </cell>
          <cell r="R37">
            <v>50</v>
          </cell>
          <cell r="S37">
            <v>50</v>
          </cell>
          <cell r="T37">
            <v>50</v>
          </cell>
          <cell r="U37">
            <v>50</v>
          </cell>
          <cell r="V37">
            <v>50</v>
          </cell>
          <cell r="W37">
            <v>75</v>
          </cell>
        </row>
        <row r="38">
          <cell r="A38">
            <v>350</v>
          </cell>
          <cell r="B38">
            <v>40</v>
          </cell>
          <cell r="C38">
            <v>40</v>
          </cell>
          <cell r="D38">
            <v>40</v>
          </cell>
          <cell r="E38">
            <v>40</v>
          </cell>
          <cell r="F38">
            <v>50</v>
          </cell>
          <cell r="G38">
            <v>50</v>
          </cell>
          <cell r="H38">
            <v>50</v>
          </cell>
          <cell r="I38">
            <v>50</v>
          </cell>
          <cell r="J38">
            <v>50</v>
          </cell>
          <cell r="K38">
            <v>50</v>
          </cell>
          <cell r="L38">
            <v>65</v>
          </cell>
          <cell r="M38">
            <v>65</v>
          </cell>
          <cell r="N38">
            <v>65</v>
          </cell>
          <cell r="O38">
            <v>65</v>
          </cell>
          <cell r="P38">
            <v>65</v>
          </cell>
          <cell r="Q38">
            <v>65</v>
          </cell>
          <cell r="R38">
            <v>65</v>
          </cell>
          <cell r="S38">
            <v>65</v>
          </cell>
          <cell r="T38">
            <v>65</v>
          </cell>
          <cell r="U38">
            <v>65</v>
          </cell>
          <cell r="V38">
            <v>65</v>
          </cell>
          <cell r="W38">
            <v>75</v>
          </cell>
        </row>
        <row r="39">
          <cell r="A39">
            <v>400</v>
          </cell>
          <cell r="B39">
            <v>40</v>
          </cell>
          <cell r="C39">
            <v>50</v>
          </cell>
          <cell r="D39">
            <v>50</v>
          </cell>
          <cell r="E39">
            <v>50</v>
          </cell>
          <cell r="F39">
            <v>50</v>
          </cell>
          <cell r="G39">
            <v>50</v>
          </cell>
          <cell r="H39">
            <v>65</v>
          </cell>
          <cell r="I39">
            <v>65</v>
          </cell>
          <cell r="J39">
            <v>65</v>
          </cell>
          <cell r="K39">
            <v>65</v>
          </cell>
          <cell r="L39">
            <v>65</v>
          </cell>
          <cell r="M39">
            <v>65</v>
          </cell>
          <cell r="N39">
            <v>65</v>
          </cell>
          <cell r="O39">
            <v>75</v>
          </cell>
          <cell r="P39">
            <v>75</v>
          </cell>
          <cell r="Q39">
            <v>75</v>
          </cell>
          <cell r="R39">
            <v>75</v>
          </cell>
          <cell r="S39">
            <v>75</v>
          </cell>
          <cell r="T39">
            <v>75</v>
          </cell>
          <cell r="U39">
            <v>75</v>
          </cell>
          <cell r="V39">
            <v>75</v>
          </cell>
          <cell r="W39">
            <v>100</v>
          </cell>
        </row>
        <row r="40">
          <cell r="A40">
            <v>450</v>
          </cell>
          <cell r="B40">
            <v>50</v>
          </cell>
          <cell r="C40">
            <v>50</v>
          </cell>
          <cell r="D40">
            <v>65</v>
          </cell>
          <cell r="E40">
            <v>65</v>
          </cell>
          <cell r="F40">
            <v>65</v>
          </cell>
          <cell r="G40">
            <v>65</v>
          </cell>
          <cell r="H40">
            <v>65</v>
          </cell>
          <cell r="I40">
            <v>65</v>
          </cell>
          <cell r="J40">
            <v>65</v>
          </cell>
          <cell r="K40">
            <v>75</v>
          </cell>
          <cell r="L40">
            <v>75</v>
          </cell>
          <cell r="M40">
            <v>75</v>
          </cell>
          <cell r="N40">
            <v>75</v>
          </cell>
          <cell r="O40">
            <v>90</v>
          </cell>
          <cell r="P40">
            <v>90</v>
          </cell>
          <cell r="Q40">
            <v>90</v>
          </cell>
          <cell r="R40">
            <v>90</v>
          </cell>
          <cell r="S40">
            <v>90</v>
          </cell>
          <cell r="T40">
            <v>90</v>
          </cell>
          <cell r="U40">
            <v>90</v>
          </cell>
          <cell r="V40">
            <v>90</v>
          </cell>
          <cell r="W40">
            <v>100</v>
          </cell>
        </row>
        <row r="41">
          <cell r="A41">
            <v>500</v>
          </cell>
          <cell r="B41">
            <v>65</v>
          </cell>
          <cell r="C41">
            <v>65</v>
          </cell>
          <cell r="D41">
            <v>65</v>
          </cell>
          <cell r="E41">
            <v>65</v>
          </cell>
          <cell r="F41">
            <v>65</v>
          </cell>
          <cell r="G41">
            <v>75</v>
          </cell>
          <cell r="H41">
            <v>75</v>
          </cell>
          <cell r="I41">
            <v>75</v>
          </cell>
          <cell r="J41">
            <v>75</v>
          </cell>
          <cell r="K41">
            <v>90</v>
          </cell>
          <cell r="L41">
            <v>90</v>
          </cell>
          <cell r="M41">
            <v>90</v>
          </cell>
          <cell r="N41">
            <v>90</v>
          </cell>
          <cell r="O41">
            <v>90</v>
          </cell>
          <cell r="P41">
            <v>90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  <cell r="W41">
            <v>125</v>
          </cell>
        </row>
        <row r="42">
          <cell r="A42">
            <v>550</v>
          </cell>
          <cell r="B42">
            <v>65</v>
          </cell>
          <cell r="C42">
            <v>65</v>
          </cell>
          <cell r="D42">
            <v>65</v>
          </cell>
          <cell r="E42">
            <v>75</v>
          </cell>
          <cell r="F42">
            <v>75</v>
          </cell>
          <cell r="G42">
            <v>75</v>
          </cell>
          <cell r="H42">
            <v>90</v>
          </cell>
          <cell r="I42">
            <v>90</v>
          </cell>
          <cell r="J42">
            <v>90</v>
          </cell>
          <cell r="K42">
            <v>90</v>
          </cell>
          <cell r="L42">
            <v>100</v>
          </cell>
          <cell r="M42">
            <v>100</v>
          </cell>
          <cell r="N42">
            <v>100</v>
          </cell>
          <cell r="O42">
            <v>115</v>
          </cell>
          <cell r="P42">
            <v>115</v>
          </cell>
          <cell r="Q42">
            <v>115</v>
          </cell>
          <cell r="R42">
            <v>115</v>
          </cell>
          <cell r="S42">
            <v>115</v>
          </cell>
          <cell r="T42">
            <v>115</v>
          </cell>
          <cell r="U42">
            <v>115</v>
          </cell>
          <cell r="V42">
            <v>115</v>
          </cell>
          <cell r="W42">
            <v>150</v>
          </cell>
        </row>
        <row r="43">
          <cell r="A43">
            <v>600</v>
          </cell>
          <cell r="B43">
            <v>75</v>
          </cell>
          <cell r="C43">
            <v>75</v>
          </cell>
          <cell r="D43">
            <v>75</v>
          </cell>
          <cell r="E43">
            <v>90</v>
          </cell>
          <cell r="F43">
            <v>90</v>
          </cell>
          <cell r="G43">
            <v>90</v>
          </cell>
          <cell r="H43">
            <v>90</v>
          </cell>
          <cell r="I43">
            <v>90</v>
          </cell>
          <cell r="J43">
            <v>100</v>
          </cell>
          <cell r="K43">
            <v>100</v>
          </cell>
          <cell r="L43">
            <v>115</v>
          </cell>
          <cell r="M43">
            <v>115</v>
          </cell>
          <cell r="N43">
            <v>115</v>
          </cell>
          <cell r="O43">
            <v>115</v>
          </cell>
          <cell r="P43">
            <v>125</v>
          </cell>
          <cell r="Q43">
            <v>125</v>
          </cell>
          <cell r="R43">
            <v>125</v>
          </cell>
          <cell r="S43">
            <v>125</v>
          </cell>
          <cell r="T43">
            <v>140</v>
          </cell>
          <cell r="U43">
            <v>140</v>
          </cell>
          <cell r="V43">
            <v>140</v>
          </cell>
          <cell r="W43">
            <v>150</v>
          </cell>
        </row>
        <row r="46">
          <cell r="B46">
            <v>15</v>
          </cell>
          <cell r="C46">
            <v>20</v>
          </cell>
          <cell r="D46">
            <v>25</v>
          </cell>
          <cell r="E46">
            <v>32</v>
          </cell>
          <cell r="F46">
            <v>40</v>
          </cell>
          <cell r="G46">
            <v>50</v>
          </cell>
          <cell r="H46">
            <v>65</v>
          </cell>
          <cell r="I46">
            <v>80</v>
          </cell>
          <cell r="J46">
            <v>100</v>
          </cell>
          <cell r="K46">
            <v>125</v>
          </cell>
          <cell r="L46">
            <v>150</v>
          </cell>
          <cell r="M46">
            <v>200</v>
          </cell>
          <cell r="N46">
            <v>250</v>
          </cell>
          <cell r="O46">
            <v>300</v>
          </cell>
          <cell r="P46">
            <v>350</v>
          </cell>
          <cell r="Q46">
            <v>400</v>
          </cell>
          <cell r="R46">
            <v>450</v>
          </cell>
          <cell r="S46">
            <v>500</v>
          </cell>
          <cell r="T46">
            <v>600</v>
          </cell>
          <cell r="U46">
            <v>700</v>
          </cell>
          <cell r="V46">
            <v>800</v>
          </cell>
          <cell r="W46" t="str">
            <v>-</v>
          </cell>
        </row>
        <row r="47">
          <cell r="B47">
            <v>30</v>
          </cell>
          <cell r="C47">
            <v>30</v>
          </cell>
          <cell r="D47">
            <v>30</v>
          </cell>
          <cell r="E47">
            <v>30</v>
          </cell>
          <cell r="F47">
            <v>30</v>
          </cell>
          <cell r="G47">
            <v>30</v>
          </cell>
          <cell r="H47">
            <v>30</v>
          </cell>
          <cell r="I47">
            <v>30</v>
          </cell>
          <cell r="J47">
            <v>30</v>
          </cell>
          <cell r="K47">
            <v>30</v>
          </cell>
          <cell r="L47">
            <v>30</v>
          </cell>
          <cell r="M47">
            <v>30</v>
          </cell>
          <cell r="N47">
            <v>30</v>
          </cell>
          <cell r="O47">
            <v>40</v>
          </cell>
          <cell r="P47">
            <v>40</v>
          </cell>
          <cell r="Q47">
            <v>40</v>
          </cell>
          <cell r="R47">
            <v>40</v>
          </cell>
          <cell r="S47">
            <v>40</v>
          </cell>
          <cell r="T47">
            <v>40</v>
          </cell>
          <cell r="U47">
            <v>40</v>
          </cell>
          <cell r="V47">
            <v>40</v>
          </cell>
          <cell r="W47">
            <v>40</v>
          </cell>
        </row>
      </sheetData>
      <sheetData sheetId="23" refreshError="1">
        <row r="1">
          <cell r="A1" t="str">
            <v>呼び径</v>
          </cell>
          <cell r="B1" t="str">
            <v>外形</v>
          </cell>
        </row>
        <row r="2">
          <cell r="A2">
            <v>10</v>
          </cell>
          <cell r="B2">
            <v>17.3</v>
          </cell>
        </row>
        <row r="3">
          <cell r="A3">
            <v>15</v>
          </cell>
          <cell r="B3">
            <v>21.7</v>
          </cell>
        </row>
        <row r="4">
          <cell r="A4">
            <v>20</v>
          </cell>
          <cell r="B4">
            <v>27.8</v>
          </cell>
        </row>
        <row r="5">
          <cell r="A5">
            <v>25</v>
          </cell>
          <cell r="B5">
            <v>34</v>
          </cell>
        </row>
        <row r="6">
          <cell r="A6">
            <v>32</v>
          </cell>
          <cell r="B6">
            <v>42.7</v>
          </cell>
        </row>
        <row r="7">
          <cell r="A7">
            <v>40</v>
          </cell>
          <cell r="B7">
            <v>48.6</v>
          </cell>
        </row>
        <row r="8">
          <cell r="A8">
            <v>50</v>
          </cell>
          <cell r="B8">
            <v>60.5</v>
          </cell>
        </row>
        <row r="9">
          <cell r="A9">
            <v>65</v>
          </cell>
          <cell r="B9">
            <v>76.3</v>
          </cell>
        </row>
        <row r="10">
          <cell r="A10">
            <v>80</v>
          </cell>
          <cell r="B10">
            <v>89.1</v>
          </cell>
        </row>
        <row r="11">
          <cell r="A11">
            <v>90</v>
          </cell>
          <cell r="B11">
            <v>101.6</v>
          </cell>
        </row>
        <row r="12">
          <cell r="A12">
            <v>100</v>
          </cell>
          <cell r="B12">
            <v>114.3</v>
          </cell>
        </row>
        <row r="13">
          <cell r="A13">
            <v>125</v>
          </cell>
          <cell r="B13">
            <v>139.80000000000001</v>
          </cell>
        </row>
        <row r="14">
          <cell r="A14">
            <v>150</v>
          </cell>
          <cell r="B14">
            <v>165.2</v>
          </cell>
        </row>
        <row r="15">
          <cell r="A15">
            <v>200</v>
          </cell>
          <cell r="B15">
            <v>216.3</v>
          </cell>
        </row>
        <row r="16">
          <cell r="A16">
            <v>250</v>
          </cell>
          <cell r="B16">
            <v>267.39999999999998</v>
          </cell>
        </row>
        <row r="17">
          <cell r="A17">
            <v>300</v>
          </cell>
          <cell r="B17">
            <v>318.5</v>
          </cell>
        </row>
        <row r="18">
          <cell r="A18">
            <v>350</v>
          </cell>
          <cell r="B18">
            <v>355.6</v>
          </cell>
        </row>
        <row r="19">
          <cell r="A19">
            <v>400</v>
          </cell>
          <cell r="B19">
            <v>406.4</v>
          </cell>
        </row>
        <row r="20">
          <cell r="A20">
            <v>450</v>
          </cell>
          <cell r="B20">
            <v>457.2</v>
          </cell>
        </row>
        <row r="21">
          <cell r="A21">
            <v>500</v>
          </cell>
          <cell r="B21">
            <v>508</v>
          </cell>
        </row>
        <row r="22">
          <cell r="A22">
            <v>550</v>
          </cell>
          <cell r="B22">
            <v>558.79999999999995</v>
          </cell>
        </row>
        <row r="23">
          <cell r="A23">
            <v>600</v>
          </cell>
          <cell r="B23">
            <v>609.6</v>
          </cell>
        </row>
        <row r="24">
          <cell r="A24">
            <v>650</v>
          </cell>
          <cell r="B24">
            <v>660.4</v>
          </cell>
        </row>
        <row r="25">
          <cell r="A25">
            <v>700</v>
          </cell>
          <cell r="B25">
            <v>711.1</v>
          </cell>
          <cell r="D25" t="str">
            <v>外装板厚</v>
          </cell>
        </row>
        <row r="26">
          <cell r="A26">
            <v>750</v>
          </cell>
          <cell r="B26">
            <v>762</v>
          </cell>
          <cell r="D26">
            <v>1</v>
          </cell>
          <cell r="E26" t="str">
            <v>0.3t</v>
          </cell>
        </row>
        <row r="27">
          <cell r="A27">
            <v>800</v>
          </cell>
          <cell r="B27">
            <v>812.8</v>
          </cell>
          <cell r="D27">
            <v>150</v>
          </cell>
          <cell r="E27" t="str">
            <v>0.3t</v>
          </cell>
        </row>
        <row r="28">
          <cell r="A28">
            <v>900</v>
          </cell>
          <cell r="B28">
            <v>914.4</v>
          </cell>
          <cell r="D28">
            <v>150.01</v>
          </cell>
          <cell r="E28" t="str">
            <v>0.4t</v>
          </cell>
        </row>
        <row r="29">
          <cell r="A29">
            <v>950</v>
          </cell>
          <cell r="B29">
            <v>965.2</v>
          </cell>
          <cell r="D29">
            <v>400</v>
          </cell>
          <cell r="E29" t="str">
            <v>0.4t</v>
          </cell>
        </row>
        <row r="30">
          <cell r="A30">
            <v>1000</v>
          </cell>
          <cell r="B30">
            <v>1016</v>
          </cell>
          <cell r="D30">
            <v>400.01</v>
          </cell>
          <cell r="E30" t="str">
            <v>0.5t</v>
          </cell>
        </row>
        <row r="31">
          <cell r="A31">
            <v>1050</v>
          </cell>
          <cell r="B31">
            <v>1066.8</v>
          </cell>
          <cell r="D31" t="str">
            <v>-</v>
          </cell>
          <cell r="E31" t="str">
            <v>0.5t</v>
          </cell>
        </row>
        <row r="32">
          <cell r="A32">
            <v>1200</v>
          </cell>
          <cell r="B32">
            <v>1219.2</v>
          </cell>
        </row>
        <row r="33">
          <cell r="A33">
            <v>1300</v>
          </cell>
          <cell r="B33">
            <v>1371.6</v>
          </cell>
        </row>
        <row r="34">
          <cell r="A34" t="str">
            <v>-</v>
          </cell>
          <cell r="B34" t="str">
            <v>-</v>
          </cell>
        </row>
      </sheetData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3水分析計"/>
    </sheetNames>
    <sheetDataSet>
      <sheetData sheetId="0">
        <row r="18">
          <cell r="AC18">
            <v>1000</v>
          </cell>
          <cell r="AD18">
            <v>1500</v>
          </cell>
        </row>
        <row r="19">
          <cell r="AC19">
            <v>800</v>
          </cell>
          <cell r="AD19">
            <v>1000</v>
          </cell>
        </row>
        <row r="22">
          <cell r="AD22">
            <v>1</v>
          </cell>
        </row>
        <row r="23">
          <cell r="AD23">
            <v>1.2</v>
          </cell>
        </row>
        <row r="24">
          <cell r="AD24">
            <v>1.3</v>
          </cell>
        </row>
        <row r="28">
          <cell r="AB28">
            <v>12</v>
          </cell>
          <cell r="AC28">
            <v>180</v>
          </cell>
        </row>
        <row r="29">
          <cell r="AB29">
            <v>24</v>
          </cell>
          <cell r="AC29">
            <v>240</v>
          </cell>
        </row>
      </sheetData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電源計画"/>
      <sheetName val="電源440V"/>
      <sheetName val="電源220V"/>
      <sheetName val="電源110V"/>
      <sheetName val="事務所電源"/>
    </sheetNames>
    <sheetDataSet>
      <sheetData sheetId="0" refreshError="1"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&amp;GTG"/>
      <sheetName val="ST&amp;STG"/>
      <sheetName val="HRSG"/>
      <sheetName val="PLANTBOP"/>
      <sheetName val="GSTG PIPING"/>
      <sheetName val="ELEC.EQUIP'T"/>
      <sheetName val="ELEC.FOR GT"/>
      <sheetName val="CABLE"/>
      <sheetName val="MISCELLANEOUS ELECT.MATERIALS"/>
      <sheetName val="PLANT CONTROL "/>
      <sheetName val="Sheet1"/>
      <sheetName val="ERECTION MATERIAL(PAINT)"/>
      <sheetName val="ERECTION MATERIAL(INSULATION)"/>
      <sheetName val="ERECTION MATERIAL(BLOW OUT)"/>
      <sheetName val="ERECTION MATERIAL(TEMPLATE)"/>
      <sheetName val="ERECTION MATERIAL(PLATFORM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ｹ-ﾌﾞﾙ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BCB7-7898-41C0-8082-04130BEB3AEF}">
  <sheetPr>
    <tabColor theme="4"/>
    <pageSetUpPr fitToPage="1"/>
  </sheetPr>
  <dimension ref="A2:CK153"/>
  <sheetViews>
    <sheetView tabSelected="1" zoomScale="85" zoomScaleNormal="85" zoomScaleSheetLayoutView="25" workbookViewId="0">
      <pane xSplit="1" topLeftCell="AN1" activePane="topRight" state="frozen"/>
      <selection pane="topRight" activeCell="AU6" sqref="AU6"/>
    </sheetView>
  </sheetViews>
  <sheetFormatPr defaultRowHeight="14.4"/>
  <cols>
    <col min="1" max="1" width="110.33203125" bestFit="1" customWidth="1"/>
    <col min="2" max="2" width="7.33203125" customWidth="1"/>
    <col min="3" max="3" width="26" customWidth="1"/>
    <col min="4" max="4" width="13.77734375" bestFit="1" customWidth="1"/>
    <col min="5" max="5" width="13.5546875" bestFit="1" customWidth="1"/>
    <col min="6" max="6" width="27.33203125" bestFit="1" customWidth="1"/>
    <col min="7" max="7" width="22.21875" bestFit="1" customWidth="1"/>
    <col min="8" max="42" width="12" style="9" customWidth="1"/>
    <col min="43" max="46" width="12.6640625" style="9" customWidth="1"/>
    <col min="47" max="47" width="13" style="9" customWidth="1"/>
    <col min="48" max="48" width="8.88671875" customWidth="1"/>
    <col min="49" max="49" width="13" style="9" customWidth="1"/>
    <col min="50" max="50" width="7.109375" customWidth="1"/>
    <col min="51" max="51" width="14.88671875" style="9" customWidth="1"/>
    <col min="52" max="52" width="15.21875" style="9" customWidth="1"/>
    <col min="53" max="53" width="13.77734375" customWidth="1"/>
    <col min="54" max="54" width="18.88671875" customWidth="1"/>
    <col min="55" max="55" width="15.5546875" customWidth="1"/>
    <col min="56" max="56" width="14.5546875" customWidth="1"/>
    <col min="57" max="57" width="14.88671875" style="4" customWidth="1"/>
    <col min="58" max="58" width="11" customWidth="1"/>
    <col min="59" max="59" width="12.5546875" customWidth="1"/>
    <col min="60" max="60" width="10.5546875" customWidth="1"/>
    <col min="61" max="61" width="19.6640625" bestFit="1" customWidth="1"/>
    <col min="62" max="62" width="16.33203125" bestFit="1" customWidth="1"/>
    <col min="63" max="63" width="20.44140625" bestFit="1" customWidth="1"/>
    <col min="64" max="64" width="19.109375" bestFit="1" customWidth="1"/>
    <col min="65" max="65" width="16.44140625" customWidth="1"/>
    <col min="66" max="66" width="17.88671875" customWidth="1"/>
    <col min="68" max="68" width="15.33203125" bestFit="1" customWidth="1"/>
  </cols>
  <sheetData>
    <row r="2" spans="1:66" ht="15.6">
      <c r="G2" s="20" t="s">
        <v>99</v>
      </c>
      <c r="H2" s="9">
        <v>1</v>
      </c>
      <c r="I2" s="9">
        <v>2</v>
      </c>
      <c r="J2" s="9">
        <v>3</v>
      </c>
      <c r="K2" s="9">
        <v>4</v>
      </c>
      <c r="L2" s="9">
        <v>5</v>
      </c>
      <c r="M2" s="9">
        <v>6</v>
      </c>
      <c r="N2" s="9">
        <v>7</v>
      </c>
      <c r="O2" s="9">
        <v>8</v>
      </c>
      <c r="P2" s="9">
        <v>9</v>
      </c>
      <c r="Q2" s="9">
        <v>10</v>
      </c>
      <c r="R2" s="9">
        <v>11</v>
      </c>
      <c r="S2" s="9">
        <v>12</v>
      </c>
      <c r="T2" s="9">
        <v>13</v>
      </c>
      <c r="U2" s="9">
        <v>14</v>
      </c>
      <c r="V2" s="9">
        <v>15</v>
      </c>
      <c r="W2" s="9">
        <v>16</v>
      </c>
      <c r="X2" s="9">
        <v>17</v>
      </c>
      <c r="Y2" s="9">
        <v>18</v>
      </c>
      <c r="Z2" s="9">
        <v>19</v>
      </c>
      <c r="AA2" s="9">
        <v>20</v>
      </c>
      <c r="AB2" s="9">
        <v>21</v>
      </c>
      <c r="AC2" s="9">
        <v>22</v>
      </c>
      <c r="AD2" s="9">
        <v>23</v>
      </c>
      <c r="AE2" s="9">
        <v>24</v>
      </c>
      <c r="AF2" s="9">
        <v>25</v>
      </c>
      <c r="AG2" s="9">
        <v>26</v>
      </c>
      <c r="AH2" s="9">
        <v>27</v>
      </c>
      <c r="AI2" s="9">
        <v>28</v>
      </c>
      <c r="AJ2" s="9">
        <v>29</v>
      </c>
      <c r="AK2" s="9">
        <v>30</v>
      </c>
      <c r="AL2" s="9">
        <v>31</v>
      </c>
      <c r="AM2" s="9">
        <v>32</v>
      </c>
      <c r="AN2" s="9">
        <v>33</v>
      </c>
      <c r="AO2" s="9">
        <v>34</v>
      </c>
      <c r="AP2" s="9">
        <v>35</v>
      </c>
      <c r="AQ2" s="9">
        <v>36</v>
      </c>
      <c r="AR2" s="9">
        <v>37</v>
      </c>
      <c r="AS2" s="9">
        <v>38</v>
      </c>
      <c r="AT2" s="9">
        <v>39</v>
      </c>
    </row>
    <row r="3" spans="1:66" ht="17.399999999999999" customHeight="1">
      <c r="A3" s="70"/>
      <c r="C3" s="20"/>
      <c r="D3" s="20"/>
      <c r="E3" s="20"/>
      <c r="F3" s="20"/>
      <c r="G3" s="20" t="s">
        <v>98</v>
      </c>
      <c r="H3" s="69" t="s">
        <v>121</v>
      </c>
      <c r="I3" s="69" t="s">
        <v>122</v>
      </c>
      <c r="J3" s="69" t="s">
        <v>123</v>
      </c>
      <c r="K3" s="69" t="s">
        <v>124</v>
      </c>
      <c r="L3" s="69" t="s">
        <v>125</v>
      </c>
      <c r="M3" s="69" t="s">
        <v>126</v>
      </c>
      <c r="N3" s="69" t="s">
        <v>127</v>
      </c>
      <c r="O3" s="69" t="s">
        <v>128</v>
      </c>
      <c r="P3" s="69" t="s">
        <v>129</v>
      </c>
      <c r="Q3" s="69" t="s">
        <v>130</v>
      </c>
      <c r="R3" s="69" t="s">
        <v>131</v>
      </c>
      <c r="S3" s="69" t="s">
        <v>132</v>
      </c>
      <c r="T3" s="69" t="s">
        <v>133</v>
      </c>
      <c r="U3" s="69" t="s">
        <v>134</v>
      </c>
      <c r="V3" s="69" t="s">
        <v>135</v>
      </c>
      <c r="W3" s="69" t="s">
        <v>136</v>
      </c>
      <c r="X3" s="69" t="s">
        <v>137</v>
      </c>
      <c r="Y3" s="69" t="s">
        <v>138</v>
      </c>
      <c r="Z3" s="69" t="s">
        <v>139</v>
      </c>
      <c r="AA3" s="69" t="s">
        <v>140</v>
      </c>
      <c r="AB3" s="69" t="s">
        <v>141</v>
      </c>
      <c r="AC3" s="69" t="s">
        <v>142</v>
      </c>
      <c r="AD3" s="69" t="s">
        <v>143</v>
      </c>
      <c r="AE3" s="69" t="s">
        <v>144</v>
      </c>
      <c r="AF3" s="69" t="s">
        <v>145</v>
      </c>
      <c r="AG3" s="69" t="s">
        <v>146</v>
      </c>
      <c r="AH3" s="69" t="s">
        <v>147</v>
      </c>
      <c r="AI3" s="69" t="s">
        <v>148</v>
      </c>
      <c r="AJ3" s="69" t="s">
        <v>149</v>
      </c>
      <c r="AK3" s="69" t="s">
        <v>150</v>
      </c>
      <c r="AL3" s="69" t="s">
        <v>151</v>
      </c>
      <c r="AM3" s="69" t="s">
        <v>152</v>
      </c>
      <c r="AN3" s="69" t="s">
        <v>153</v>
      </c>
      <c r="AO3" s="69" t="s">
        <v>154</v>
      </c>
      <c r="AP3" s="69" t="s">
        <v>155</v>
      </c>
      <c r="AQ3" s="69" t="s">
        <v>156</v>
      </c>
      <c r="AR3" s="69" t="s">
        <v>157</v>
      </c>
      <c r="AS3" s="69" t="s">
        <v>158</v>
      </c>
      <c r="AT3" s="69" t="s">
        <v>159</v>
      </c>
      <c r="AU3" s="20" t="s">
        <v>103</v>
      </c>
      <c r="AW3" s="20"/>
      <c r="AX3" s="5"/>
      <c r="AY3" s="20"/>
      <c r="AZ3" s="20"/>
      <c r="BB3" s="5"/>
      <c r="BI3" s="4"/>
    </row>
    <row r="4" spans="1:66" ht="16.8">
      <c r="C4" s="20"/>
      <c r="D4" s="20"/>
      <c r="E4" s="20"/>
      <c r="F4" s="20"/>
      <c r="G4" s="20" t="s">
        <v>160</v>
      </c>
      <c r="H4" s="60">
        <f>SUM(H13:H16)+H10</f>
        <v>2</v>
      </c>
      <c r="I4" s="60">
        <f>SUM(I13:I16)+I10</f>
        <v>3</v>
      </c>
      <c r="J4" s="60">
        <f t="shared" ref="J4:AT4" si="0">SUM(J13:J16)+J10</f>
        <v>3</v>
      </c>
      <c r="K4" s="60">
        <f t="shared" si="0"/>
        <v>3</v>
      </c>
      <c r="L4" s="60">
        <f t="shared" si="0"/>
        <v>5</v>
      </c>
      <c r="M4" s="60">
        <f t="shared" si="0"/>
        <v>4</v>
      </c>
      <c r="N4" s="60">
        <f t="shared" si="0"/>
        <v>5</v>
      </c>
      <c r="O4" s="60">
        <f t="shared" si="0"/>
        <v>6</v>
      </c>
      <c r="P4" s="60">
        <f t="shared" si="0"/>
        <v>6</v>
      </c>
      <c r="Q4" s="60">
        <f t="shared" si="0"/>
        <v>7</v>
      </c>
      <c r="R4" s="60">
        <f t="shared" si="0"/>
        <v>7</v>
      </c>
      <c r="S4" s="60">
        <f t="shared" si="0"/>
        <v>7</v>
      </c>
      <c r="T4" s="60">
        <f t="shared" si="0"/>
        <v>7</v>
      </c>
      <c r="U4" s="60">
        <f t="shared" si="0"/>
        <v>6</v>
      </c>
      <c r="V4" s="60">
        <f t="shared" si="0"/>
        <v>7</v>
      </c>
      <c r="W4" s="60">
        <f t="shared" si="0"/>
        <v>8</v>
      </c>
      <c r="X4" s="60">
        <f t="shared" si="0"/>
        <v>8</v>
      </c>
      <c r="Y4" s="60">
        <f t="shared" si="0"/>
        <v>8</v>
      </c>
      <c r="Z4" s="60">
        <f t="shared" si="0"/>
        <v>8</v>
      </c>
      <c r="AA4" s="60">
        <f t="shared" si="0"/>
        <v>8</v>
      </c>
      <c r="AB4" s="60">
        <f t="shared" si="0"/>
        <v>9</v>
      </c>
      <c r="AC4" s="60">
        <f t="shared" si="0"/>
        <v>9</v>
      </c>
      <c r="AD4" s="60">
        <f t="shared" si="0"/>
        <v>10</v>
      </c>
      <c r="AE4" s="60">
        <f t="shared" si="0"/>
        <v>10</v>
      </c>
      <c r="AF4" s="60">
        <f t="shared" si="0"/>
        <v>11</v>
      </c>
      <c r="AG4" s="60">
        <f t="shared" si="0"/>
        <v>11</v>
      </c>
      <c r="AH4" s="60">
        <f t="shared" si="0"/>
        <v>11</v>
      </c>
      <c r="AI4" s="60">
        <f t="shared" si="0"/>
        <v>12</v>
      </c>
      <c r="AJ4" s="60">
        <f t="shared" si="0"/>
        <v>11</v>
      </c>
      <c r="AK4" s="60">
        <f t="shared" si="0"/>
        <v>12</v>
      </c>
      <c r="AL4" s="60">
        <f t="shared" si="0"/>
        <v>12</v>
      </c>
      <c r="AM4" s="60">
        <f t="shared" si="0"/>
        <v>13</v>
      </c>
      <c r="AN4" s="60">
        <f t="shared" si="0"/>
        <v>14</v>
      </c>
      <c r="AO4" s="60">
        <f t="shared" si="0"/>
        <v>14</v>
      </c>
      <c r="AP4" s="60">
        <f t="shared" si="0"/>
        <v>15</v>
      </c>
      <c r="AQ4" s="60">
        <f t="shared" si="0"/>
        <v>15</v>
      </c>
      <c r="AR4" s="60">
        <f t="shared" si="0"/>
        <v>18</v>
      </c>
      <c r="AS4" s="60">
        <f t="shared" si="0"/>
        <v>19</v>
      </c>
      <c r="AT4" s="60">
        <f t="shared" si="0"/>
        <v>23</v>
      </c>
      <c r="AU4" s="60">
        <f>SUM(AU13:AU16)</f>
        <v>24</v>
      </c>
      <c r="AW4" s="60"/>
      <c r="AX4" s="5"/>
      <c r="AY4" s="21" t="s">
        <v>0</v>
      </c>
      <c r="AZ4" s="21" t="s">
        <v>1</v>
      </c>
      <c r="BB4" s="75" t="s">
        <v>2</v>
      </c>
      <c r="BC4" s="76"/>
      <c r="BD4" s="76"/>
      <c r="BE4" s="76"/>
      <c r="BF4" s="76"/>
      <c r="BG4" s="76"/>
      <c r="BI4" s="77" t="s">
        <v>3</v>
      </c>
      <c r="BJ4" s="77"/>
      <c r="BK4" s="77"/>
      <c r="BL4" s="77"/>
      <c r="BM4" s="78"/>
      <c r="BN4" s="78"/>
    </row>
    <row r="5" spans="1:66" ht="16.8">
      <c r="C5" s="20"/>
      <c r="D5" s="20"/>
      <c r="E5" s="20"/>
      <c r="F5" s="20"/>
      <c r="G5" s="20"/>
      <c r="H5" s="60">
        <v>51</v>
      </c>
      <c r="I5" s="60">
        <v>16</v>
      </c>
      <c r="J5" s="60">
        <v>4</v>
      </c>
      <c r="K5" s="60">
        <v>4</v>
      </c>
      <c r="L5" s="60">
        <v>79</v>
      </c>
      <c r="M5" s="60">
        <v>6</v>
      </c>
      <c r="N5" s="60">
        <v>10</v>
      </c>
      <c r="O5" s="60">
        <v>4</v>
      </c>
      <c r="P5" s="60">
        <v>3</v>
      </c>
      <c r="Q5" s="60">
        <v>32</v>
      </c>
      <c r="R5" s="60">
        <v>5</v>
      </c>
      <c r="S5" s="60">
        <v>3</v>
      </c>
      <c r="T5" s="60">
        <v>3</v>
      </c>
      <c r="U5" s="60">
        <v>3</v>
      </c>
      <c r="V5" s="60">
        <v>12</v>
      </c>
      <c r="W5" s="60">
        <v>5</v>
      </c>
      <c r="X5" s="60">
        <v>2</v>
      </c>
      <c r="Y5" s="60">
        <v>1</v>
      </c>
      <c r="Z5" s="60">
        <v>1</v>
      </c>
      <c r="AA5" s="60">
        <v>6</v>
      </c>
      <c r="AB5" s="60">
        <v>3</v>
      </c>
      <c r="AC5" s="60">
        <v>1</v>
      </c>
      <c r="AD5" s="60">
        <v>2</v>
      </c>
      <c r="AE5" s="60">
        <v>1</v>
      </c>
      <c r="AF5" s="60">
        <v>1</v>
      </c>
      <c r="AG5" s="60">
        <v>1</v>
      </c>
      <c r="AH5" s="60">
        <v>1</v>
      </c>
      <c r="AI5" s="60">
        <v>1</v>
      </c>
      <c r="AJ5" s="60">
        <v>1</v>
      </c>
      <c r="AK5" s="60">
        <v>3</v>
      </c>
      <c r="AL5" s="60">
        <v>1</v>
      </c>
      <c r="AM5" s="60">
        <v>3</v>
      </c>
      <c r="AN5" s="60">
        <v>1</v>
      </c>
      <c r="AO5" s="60">
        <v>1</v>
      </c>
      <c r="AP5" s="60">
        <v>1</v>
      </c>
      <c r="AQ5" s="60">
        <v>1</v>
      </c>
      <c r="AR5" s="60">
        <v>1</v>
      </c>
      <c r="AS5" s="60">
        <v>1</v>
      </c>
      <c r="AT5" s="60">
        <v>2</v>
      </c>
      <c r="AU5" s="60">
        <v>10</v>
      </c>
      <c r="AW5" s="60"/>
      <c r="AX5" s="5"/>
      <c r="AY5" s="21" t="s">
        <v>0</v>
      </c>
      <c r="AZ5" s="21" t="s">
        <v>1</v>
      </c>
      <c r="BB5" s="75" t="s">
        <v>2</v>
      </c>
      <c r="BC5" s="76"/>
      <c r="BD5" s="76"/>
      <c r="BE5" s="76"/>
      <c r="BF5" s="76"/>
      <c r="BG5" s="76"/>
      <c r="BI5" s="77" t="s">
        <v>3</v>
      </c>
      <c r="BJ5" s="77"/>
      <c r="BK5" s="77"/>
      <c r="BL5" s="77"/>
      <c r="BM5" s="78"/>
      <c r="BN5" s="78"/>
    </row>
    <row r="6" spans="1:66" ht="30.6" customHeight="1">
      <c r="A6" s="46" t="s">
        <v>4</v>
      </c>
      <c r="B6" t="s">
        <v>5</v>
      </c>
      <c r="C6" s="20" t="s">
        <v>6</v>
      </c>
      <c r="D6" s="20" t="s">
        <v>161</v>
      </c>
      <c r="E6" s="20" t="s">
        <v>162</v>
      </c>
      <c r="F6" s="20" t="s">
        <v>185</v>
      </c>
      <c r="G6" s="20" t="s">
        <v>7</v>
      </c>
      <c r="H6" s="48" t="s">
        <v>8</v>
      </c>
      <c r="I6" s="48" t="s">
        <v>8</v>
      </c>
      <c r="J6" s="48" t="s">
        <v>8</v>
      </c>
      <c r="K6" s="48" t="s">
        <v>8</v>
      </c>
      <c r="L6" s="48" t="s">
        <v>8</v>
      </c>
      <c r="M6" s="48" t="s">
        <v>8</v>
      </c>
      <c r="N6" s="48" t="s">
        <v>8</v>
      </c>
      <c r="O6" s="48" t="s">
        <v>8</v>
      </c>
      <c r="P6" s="48" t="s">
        <v>8</v>
      </c>
      <c r="Q6" s="48" t="s">
        <v>8</v>
      </c>
      <c r="R6" s="48" t="s">
        <v>8</v>
      </c>
      <c r="S6" s="48" t="s">
        <v>8</v>
      </c>
      <c r="T6" s="48" t="s">
        <v>8</v>
      </c>
      <c r="U6" s="48" t="s">
        <v>8</v>
      </c>
      <c r="V6" s="48" t="s">
        <v>8</v>
      </c>
      <c r="W6" s="48" t="s">
        <v>8</v>
      </c>
      <c r="X6" s="48" t="s">
        <v>8</v>
      </c>
      <c r="Y6" s="48" t="s">
        <v>8</v>
      </c>
      <c r="Z6" s="48" t="s">
        <v>8</v>
      </c>
      <c r="AA6" s="48" t="s">
        <v>8</v>
      </c>
      <c r="AB6" s="48" t="s">
        <v>8</v>
      </c>
      <c r="AC6" s="48" t="s">
        <v>8</v>
      </c>
      <c r="AD6" s="48" t="s">
        <v>8</v>
      </c>
      <c r="AE6" s="48" t="s">
        <v>8</v>
      </c>
      <c r="AF6" s="48" t="s">
        <v>8</v>
      </c>
      <c r="AG6" s="48" t="s">
        <v>8</v>
      </c>
      <c r="AH6" s="48" t="s">
        <v>8</v>
      </c>
      <c r="AI6" s="48" t="s">
        <v>8</v>
      </c>
      <c r="AJ6" s="48" t="s">
        <v>8</v>
      </c>
      <c r="AK6" s="48" t="s">
        <v>8</v>
      </c>
      <c r="AL6" s="48" t="s">
        <v>8</v>
      </c>
      <c r="AM6" s="48" t="s">
        <v>8</v>
      </c>
      <c r="AN6" s="48" t="s">
        <v>8</v>
      </c>
      <c r="AO6" s="48" t="s">
        <v>8</v>
      </c>
      <c r="AP6" s="48" t="s">
        <v>8</v>
      </c>
      <c r="AQ6" s="48" t="s">
        <v>8</v>
      </c>
      <c r="AR6" s="48" t="s">
        <v>8</v>
      </c>
      <c r="AS6" s="48" t="s">
        <v>8</v>
      </c>
      <c r="AT6" s="20" t="s">
        <v>8</v>
      </c>
      <c r="AU6" s="20" t="s">
        <v>8</v>
      </c>
      <c r="AW6" s="20" t="s">
        <v>8</v>
      </c>
      <c r="AX6" s="5"/>
      <c r="AY6" s="20" t="s">
        <v>8</v>
      </c>
      <c r="AZ6" s="20" t="s">
        <v>8</v>
      </c>
      <c r="BB6" s="6" t="s">
        <v>9</v>
      </c>
      <c r="BC6" s="6" t="s">
        <v>10</v>
      </c>
      <c r="BD6" s="6" t="s">
        <v>11</v>
      </c>
      <c r="BE6" s="41" t="s">
        <v>12</v>
      </c>
      <c r="BF6" s="6" t="s">
        <v>13</v>
      </c>
      <c r="BG6" s="6" t="s">
        <v>14</v>
      </c>
      <c r="BI6" s="6" t="s">
        <v>9</v>
      </c>
      <c r="BJ6" s="6" t="s">
        <v>10</v>
      </c>
      <c r="BK6" s="6" t="s">
        <v>11</v>
      </c>
      <c r="BL6" s="34" t="s">
        <v>12</v>
      </c>
      <c r="BM6" s="6" t="s">
        <v>13</v>
      </c>
      <c r="BN6" s="6" t="s">
        <v>14</v>
      </c>
    </row>
    <row r="7" spans="1:66" ht="18">
      <c r="A7" s="37" t="s">
        <v>15</v>
      </c>
      <c r="C7" s="7"/>
      <c r="D7" s="7"/>
      <c r="E7" s="7"/>
      <c r="F7" s="7"/>
      <c r="G7" s="7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8"/>
      <c r="AU7" s="8"/>
      <c r="AW7" s="8"/>
      <c r="AY7" s="8"/>
      <c r="AZ7" s="8"/>
      <c r="BB7" s="7"/>
      <c r="BC7" s="7"/>
      <c r="BD7" s="8"/>
      <c r="BE7" s="42"/>
      <c r="BF7" s="8"/>
      <c r="BG7" s="8"/>
      <c r="BI7" s="38">
        <f t="shared" ref="BI7:BN7" si="1">SUBTOTAL(9,BI8:BI32)</f>
        <v>0</v>
      </c>
      <c r="BJ7" s="38">
        <f t="shared" si="1"/>
        <v>0</v>
      </c>
      <c r="BK7" s="39">
        <f t="shared" si="1"/>
        <v>1156073.71</v>
      </c>
      <c r="BL7" s="39">
        <f t="shared" si="1"/>
        <v>0</v>
      </c>
      <c r="BM7" s="44">
        <f t="shared" si="1"/>
        <v>0</v>
      </c>
      <c r="BN7" s="44">
        <f t="shared" si="1"/>
        <v>0</v>
      </c>
    </row>
    <row r="8" spans="1:66">
      <c r="A8" s="49" t="s">
        <v>76</v>
      </c>
      <c r="C8" s="22" t="s">
        <v>75</v>
      </c>
      <c r="D8" s="22">
        <v>78.599999999999994</v>
      </c>
      <c r="E8" s="22">
        <v>100</v>
      </c>
      <c r="F8" s="22">
        <v>550</v>
      </c>
      <c r="G8" s="22" t="s">
        <v>77</v>
      </c>
      <c r="H8" s="62">
        <v>1</v>
      </c>
      <c r="I8" s="62">
        <v>1</v>
      </c>
      <c r="J8" s="62">
        <v>1</v>
      </c>
      <c r="K8" s="62">
        <v>1</v>
      </c>
      <c r="L8" s="62">
        <v>1</v>
      </c>
      <c r="M8" s="62">
        <v>1</v>
      </c>
      <c r="N8" s="62">
        <v>1</v>
      </c>
      <c r="O8" s="62">
        <v>1</v>
      </c>
      <c r="P8" s="62">
        <v>1</v>
      </c>
      <c r="Q8" s="62">
        <v>1</v>
      </c>
      <c r="R8" s="62">
        <v>1</v>
      </c>
      <c r="S8" s="62">
        <v>1</v>
      </c>
      <c r="T8" s="62">
        <v>1</v>
      </c>
      <c r="U8" s="62">
        <v>1</v>
      </c>
      <c r="V8" s="62">
        <v>1</v>
      </c>
      <c r="W8" s="62">
        <v>1</v>
      </c>
      <c r="X8" s="62">
        <v>1</v>
      </c>
      <c r="Y8" s="62">
        <v>1</v>
      </c>
      <c r="Z8" s="62">
        <v>1</v>
      </c>
      <c r="AA8" s="62">
        <v>1</v>
      </c>
      <c r="AB8" s="62">
        <v>1</v>
      </c>
      <c r="AC8" s="62">
        <v>1</v>
      </c>
      <c r="AD8" s="62">
        <v>1</v>
      </c>
      <c r="AE8" s="62">
        <v>1</v>
      </c>
      <c r="AF8" s="62">
        <v>1</v>
      </c>
      <c r="AG8" s="62">
        <v>1</v>
      </c>
      <c r="AH8" s="62">
        <v>1</v>
      </c>
      <c r="AI8" s="62">
        <v>1</v>
      </c>
      <c r="AJ8" s="62">
        <v>1</v>
      </c>
      <c r="AK8" s="62">
        <v>1</v>
      </c>
      <c r="AL8" s="62">
        <v>1</v>
      </c>
      <c r="AM8" s="62">
        <v>1</v>
      </c>
      <c r="AN8" s="62">
        <v>1</v>
      </c>
      <c r="AO8" s="62">
        <v>1</v>
      </c>
      <c r="AP8" s="62">
        <v>1</v>
      </c>
      <c r="AQ8" s="62">
        <v>1</v>
      </c>
      <c r="AR8" s="62">
        <v>1</v>
      </c>
      <c r="AS8" s="62">
        <v>1</v>
      </c>
      <c r="AT8" s="10">
        <v>1</v>
      </c>
      <c r="AU8" s="10">
        <v>1</v>
      </c>
      <c r="AW8" s="10">
        <f>AU8*$AU$5</f>
        <v>10</v>
      </c>
      <c r="AY8" s="10">
        <f t="shared" ref="AY8:AY32" si="2">SUMPRODUCT($H$5:$AT$5,H8:AT8)</f>
        <v>277</v>
      </c>
      <c r="AZ8" s="50">
        <f>AW8+AY8</f>
        <v>287</v>
      </c>
      <c r="BB8" s="58"/>
      <c r="BC8" s="31"/>
      <c r="BD8" s="29">
        <v>530.46</v>
      </c>
      <c r="BE8" s="40"/>
      <c r="BF8" s="11"/>
      <c r="BG8" s="11"/>
      <c r="BI8" s="19">
        <f>$BB8*$AZ8</f>
        <v>0</v>
      </c>
      <c r="BJ8" s="31">
        <f>$BC8*$AZ8</f>
        <v>0</v>
      </c>
      <c r="BK8" s="29">
        <f>$BD8*$AZ8</f>
        <v>152242.02000000002</v>
      </c>
      <c r="BL8" s="40">
        <f>$BE8*$AZ8</f>
        <v>0</v>
      </c>
      <c r="BM8" s="11">
        <f>$BF8*$AZ8</f>
        <v>0</v>
      </c>
      <c r="BN8" s="11">
        <f>$BG8*$AZ8</f>
        <v>0</v>
      </c>
    </row>
    <row r="9" spans="1:66">
      <c r="A9" s="49" t="s">
        <v>101</v>
      </c>
      <c r="C9" s="22" t="s">
        <v>75</v>
      </c>
      <c r="D9" s="22">
        <v>0</v>
      </c>
      <c r="E9" s="22">
        <v>0</v>
      </c>
      <c r="F9" s="22">
        <v>0</v>
      </c>
      <c r="G9" s="22" t="s">
        <v>102</v>
      </c>
      <c r="H9" s="62">
        <v>1</v>
      </c>
      <c r="I9" s="62">
        <v>1</v>
      </c>
      <c r="J9" s="62">
        <v>1</v>
      </c>
      <c r="K9" s="62">
        <v>1</v>
      </c>
      <c r="L9" s="62">
        <v>1</v>
      </c>
      <c r="M9" s="62">
        <v>1</v>
      </c>
      <c r="N9" s="62">
        <v>1</v>
      </c>
      <c r="O9" s="62">
        <v>1</v>
      </c>
      <c r="P9" s="62">
        <v>1</v>
      </c>
      <c r="Q9" s="62">
        <v>1</v>
      </c>
      <c r="R9" s="62">
        <v>1</v>
      </c>
      <c r="S9" s="62">
        <v>1</v>
      </c>
      <c r="T9" s="62">
        <v>1</v>
      </c>
      <c r="U9" s="62">
        <v>1</v>
      </c>
      <c r="V9" s="62">
        <v>1</v>
      </c>
      <c r="W9" s="62">
        <v>1</v>
      </c>
      <c r="X9" s="62">
        <v>1</v>
      </c>
      <c r="Y9" s="62">
        <v>1</v>
      </c>
      <c r="Z9" s="62">
        <v>1</v>
      </c>
      <c r="AA9" s="62">
        <v>1</v>
      </c>
      <c r="AB9" s="62">
        <v>1</v>
      </c>
      <c r="AC9" s="62">
        <v>1</v>
      </c>
      <c r="AD9" s="62">
        <v>1</v>
      </c>
      <c r="AE9" s="62">
        <v>1</v>
      </c>
      <c r="AF9" s="62">
        <v>1</v>
      </c>
      <c r="AG9" s="62">
        <v>1</v>
      </c>
      <c r="AH9" s="62">
        <v>1</v>
      </c>
      <c r="AI9" s="62">
        <v>1</v>
      </c>
      <c r="AJ9" s="62">
        <v>1</v>
      </c>
      <c r="AK9" s="62">
        <v>1</v>
      </c>
      <c r="AL9" s="62">
        <v>1</v>
      </c>
      <c r="AM9" s="62">
        <v>1</v>
      </c>
      <c r="AN9" s="62">
        <v>1</v>
      </c>
      <c r="AO9" s="62">
        <v>1</v>
      </c>
      <c r="AP9" s="62">
        <v>1</v>
      </c>
      <c r="AQ9" s="62">
        <v>1</v>
      </c>
      <c r="AR9" s="62">
        <v>1</v>
      </c>
      <c r="AS9" s="62">
        <v>1</v>
      </c>
      <c r="AT9" s="62">
        <v>1</v>
      </c>
      <c r="AU9" s="62">
        <v>1</v>
      </c>
      <c r="AW9" s="10">
        <v>10</v>
      </c>
      <c r="AY9" s="10">
        <f t="shared" si="2"/>
        <v>277</v>
      </c>
      <c r="AZ9" s="50">
        <f>AW9+AY9</f>
        <v>287</v>
      </c>
      <c r="BB9" s="58"/>
      <c r="BC9" s="31"/>
      <c r="BD9" s="29">
        <v>56.7</v>
      </c>
      <c r="BE9" s="40"/>
      <c r="BF9" s="11"/>
      <c r="BG9" s="11"/>
      <c r="BI9" s="19">
        <f t="shared" ref="BI9:BI11" si="3">$BB9*$AZ9</f>
        <v>0</v>
      </c>
      <c r="BJ9" s="31">
        <f t="shared" ref="BJ9:BJ11" si="4">$BC9*$AZ9</f>
        <v>0</v>
      </c>
      <c r="BK9" s="29">
        <f t="shared" ref="BK9:BK11" si="5">$BD9*$AZ9</f>
        <v>16272.900000000001</v>
      </c>
      <c r="BL9" s="40">
        <f t="shared" ref="BL9:BL11" si="6">$BE9*$AZ9</f>
        <v>0</v>
      </c>
      <c r="BM9" s="11">
        <f t="shared" ref="BM9:BM11" si="7">$BF9*$AZ9</f>
        <v>0</v>
      </c>
      <c r="BN9" s="11">
        <f t="shared" ref="BN9:BN11" si="8">$BG9*$AZ9</f>
        <v>0</v>
      </c>
    </row>
    <row r="10" spans="1:66">
      <c r="A10" s="49" t="s">
        <v>117</v>
      </c>
      <c r="C10" s="22" t="s">
        <v>75</v>
      </c>
      <c r="D10" s="22">
        <v>12</v>
      </c>
      <c r="E10" s="22">
        <v>100</v>
      </c>
      <c r="F10" s="22">
        <v>85</v>
      </c>
      <c r="G10" s="22" t="s">
        <v>118</v>
      </c>
      <c r="H10" s="62">
        <v>0</v>
      </c>
      <c r="I10" s="62">
        <v>0</v>
      </c>
      <c r="J10" s="62">
        <v>0</v>
      </c>
      <c r="K10" s="62">
        <v>0</v>
      </c>
      <c r="L10" s="62">
        <v>1</v>
      </c>
      <c r="M10" s="62">
        <v>0</v>
      </c>
      <c r="N10" s="62">
        <v>0</v>
      </c>
      <c r="O10" s="62">
        <v>1</v>
      </c>
      <c r="P10" s="62">
        <v>1</v>
      </c>
      <c r="Q10" s="62">
        <v>1</v>
      </c>
      <c r="R10" s="62">
        <v>1</v>
      </c>
      <c r="S10" s="62">
        <v>1</v>
      </c>
      <c r="T10" s="62">
        <v>1</v>
      </c>
      <c r="U10" s="62">
        <v>0</v>
      </c>
      <c r="V10" s="62">
        <v>0</v>
      </c>
      <c r="W10" s="62">
        <v>1</v>
      </c>
      <c r="X10" s="62">
        <v>1</v>
      </c>
      <c r="Y10" s="62">
        <v>1</v>
      </c>
      <c r="Z10" s="62">
        <v>1</v>
      </c>
      <c r="AA10" s="62">
        <v>0</v>
      </c>
      <c r="AB10" s="62">
        <v>1</v>
      </c>
      <c r="AC10" s="62">
        <v>1</v>
      </c>
      <c r="AD10" s="62">
        <v>1</v>
      </c>
      <c r="AE10" s="62">
        <v>1</v>
      </c>
      <c r="AF10" s="62">
        <v>1</v>
      </c>
      <c r="AG10" s="62">
        <v>1</v>
      </c>
      <c r="AH10" s="62">
        <v>1</v>
      </c>
      <c r="AI10" s="62">
        <v>1</v>
      </c>
      <c r="AJ10" s="62">
        <v>0</v>
      </c>
      <c r="AK10" s="62">
        <v>0</v>
      </c>
      <c r="AL10" s="62">
        <v>0</v>
      </c>
      <c r="AM10" s="62">
        <v>0</v>
      </c>
      <c r="AN10" s="62">
        <v>1</v>
      </c>
      <c r="AO10" s="62">
        <v>0</v>
      </c>
      <c r="AP10" s="62">
        <v>1</v>
      </c>
      <c r="AQ10" s="62">
        <v>0</v>
      </c>
      <c r="AR10" s="62">
        <v>1</v>
      </c>
      <c r="AS10" s="62">
        <v>0</v>
      </c>
      <c r="AT10" s="10">
        <v>0</v>
      </c>
      <c r="AU10" s="10">
        <v>1</v>
      </c>
      <c r="AW10" s="10">
        <f>AU10*$AU$5</f>
        <v>10</v>
      </c>
      <c r="AY10" s="10">
        <f>SUMPRODUCT($H$5:$AT$5,H10:AT10)</f>
        <v>152</v>
      </c>
      <c r="AZ10" s="50">
        <f t="shared" ref="AZ10" si="9">AW10+AY10</f>
        <v>162</v>
      </c>
      <c r="BB10" s="58"/>
      <c r="BC10" s="31"/>
      <c r="BD10" s="72">
        <v>0</v>
      </c>
      <c r="BE10" s="40"/>
      <c r="BF10" s="11"/>
      <c r="BG10" s="11"/>
      <c r="BI10" s="19">
        <f t="shared" si="3"/>
        <v>0</v>
      </c>
      <c r="BJ10" s="31">
        <f t="shared" si="4"/>
        <v>0</v>
      </c>
      <c r="BK10" s="29">
        <f t="shared" si="5"/>
        <v>0</v>
      </c>
      <c r="BL10" s="40">
        <f t="shared" si="6"/>
        <v>0</v>
      </c>
      <c r="BM10" s="11">
        <f t="shared" si="7"/>
        <v>0</v>
      </c>
      <c r="BN10" s="11">
        <f t="shared" si="8"/>
        <v>0</v>
      </c>
    </row>
    <row r="11" spans="1:66">
      <c r="A11" s="49" t="s">
        <v>79</v>
      </c>
      <c r="C11" s="22" t="s">
        <v>75</v>
      </c>
      <c r="D11" s="22">
        <v>0</v>
      </c>
      <c r="E11" s="22">
        <v>0</v>
      </c>
      <c r="F11" s="22">
        <v>0</v>
      </c>
      <c r="G11" s="22" t="s">
        <v>78</v>
      </c>
      <c r="H11" s="62">
        <v>1</v>
      </c>
      <c r="I11" s="62">
        <v>1</v>
      </c>
      <c r="J11" s="62">
        <v>1</v>
      </c>
      <c r="K11" s="62">
        <v>1</v>
      </c>
      <c r="L11" s="62">
        <v>1</v>
      </c>
      <c r="M11" s="62">
        <v>1</v>
      </c>
      <c r="N11" s="62">
        <v>1</v>
      </c>
      <c r="O11" s="62">
        <v>1</v>
      </c>
      <c r="P11" s="62">
        <v>1</v>
      </c>
      <c r="Q11" s="62">
        <v>1</v>
      </c>
      <c r="R11" s="62">
        <v>1</v>
      </c>
      <c r="S11" s="62">
        <v>1</v>
      </c>
      <c r="T11" s="62">
        <v>1</v>
      </c>
      <c r="U11" s="62">
        <v>1</v>
      </c>
      <c r="V11" s="62">
        <v>1</v>
      </c>
      <c r="W11" s="62">
        <v>1</v>
      </c>
      <c r="X11" s="62">
        <v>1</v>
      </c>
      <c r="Y11" s="62">
        <v>1</v>
      </c>
      <c r="Z11" s="62">
        <v>1</v>
      </c>
      <c r="AA11" s="62">
        <v>1</v>
      </c>
      <c r="AB11" s="62">
        <v>1</v>
      </c>
      <c r="AC11" s="62">
        <v>1</v>
      </c>
      <c r="AD11" s="62">
        <v>1</v>
      </c>
      <c r="AE11" s="62">
        <v>1</v>
      </c>
      <c r="AF11" s="62">
        <v>1</v>
      </c>
      <c r="AG11" s="62">
        <v>1</v>
      </c>
      <c r="AH11" s="62">
        <v>1</v>
      </c>
      <c r="AI11" s="62">
        <v>1</v>
      </c>
      <c r="AJ11" s="62">
        <v>1</v>
      </c>
      <c r="AK11" s="62">
        <v>1</v>
      </c>
      <c r="AL11" s="62">
        <v>1</v>
      </c>
      <c r="AM11" s="62">
        <v>1</v>
      </c>
      <c r="AN11" s="62">
        <v>1</v>
      </c>
      <c r="AO11" s="62">
        <v>1</v>
      </c>
      <c r="AP11" s="62">
        <v>1</v>
      </c>
      <c r="AQ11" s="62">
        <v>1</v>
      </c>
      <c r="AR11" s="62">
        <v>1</v>
      </c>
      <c r="AS11" s="62">
        <v>1</v>
      </c>
      <c r="AT11" s="10">
        <v>1</v>
      </c>
      <c r="AU11" s="10">
        <v>1</v>
      </c>
      <c r="AW11" s="10">
        <f>AU11*$AU$5</f>
        <v>10</v>
      </c>
      <c r="AY11" s="10">
        <f t="shared" ref="AY11" si="10">SUMPRODUCT($H$5:$AT$5,H11:AT11)</f>
        <v>277</v>
      </c>
      <c r="AZ11" s="50">
        <f t="shared" ref="AZ11:AZ32" si="11">AW11+AY11</f>
        <v>287</v>
      </c>
      <c r="BB11" s="58"/>
      <c r="BC11" s="31"/>
      <c r="BD11" s="29">
        <v>104.58</v>
      </c>
      <c r="BE11" s="40"/>
      <c r="BF11" s="11"/>
      <c r="BG11" s="11"/>
      <c r="BI11" s="19">
        <f t="shared" si="3"/>
        <v>0</v>
      </c>
      <c r="BJ11" s="31">
        <f t="shared" si="4"/>
        <v>0</v>
      </c>
      <c r="BK11" s="29">
        <f t="shared" si="5"/>
        <v>30014.46</v>
      </c>
      <c r="BL11" s="40">
        <f t="shared" si="6"/>
        <v>0</v>
      </c>
      <c r="BM11" s="11">
        <f t="shared" si="7"/>
        <v>0</v>
      </c>
      <c r="BN11" s="11">
        <f t="shared" si="8"/>
        <v>0</v>
      </c>
    </row>
    <row r="12" spans="1:66" ht="18">
      <c r="A12" s="37" t="s">
        <v>16</v>
      </c>
      <c r="C12" s="7"/>
      <c r="D12" s="7"/>
      <c r="E12" s="7"/>
      <c r="F12" s="7"/>
      <c r="G12" s="7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8"/>
      <c r="AU12" s="8"/>
      <c r="AW12" s="8"/>
      <c r="AY12" s="8"/>
      <c r="AZ12" s="8"/>
      <c r="BB12" s="7"/>
      <c r="BC12" s="32"/>
      <c r="BD12" s="30"/>
      <c r="BE12" s="43"/>
      <c r="BF12" s="28"/>
      <c r="BG12" s="28"/>
      <c r="BI12" s="23"/>
      <c r="BJ12" s="23"/>
      <c r="BK12" s="23"/>
      <c r="BL12" s="25"/>
      <c r="BM12" s="25"/>
      <c r="BN12" s="12"/>
    </row>
    <row r="13" spans="1:66">
      <c r="A13" s="49" t="s">
        <v>80</v>
      </c>
      <c r="C13" s="22" t="s">
        <v>75</v>
      </c>
      <c r="D13" s="22">
        <v>12</v>
      </c>
      <c r="E13" s="22">
        <v>100</v>
      </c>
      <c r="F13" s="22">
        <v>17</v>
      </c>
      <c r="G13" s="22" t="s">
        <v>82</v>
      </c>
      <c r="H13" s="62">
        <v>1</v>
      </c>
      <c r="I13" s="62">
        <v>0</v>
      </c>
      <c r="J13" s="62">
        <v>1</v>
      </c>
      <c r="K13" s="62">
        <v>0</v>
      </c>
      <c r="L13" s="62">
        <v>0</v>
      </c>
      <c r="M13" s="62">
        <v>0</v>
      </c>
      <c r="N13" s="62">
        <v>1</v>
      </c>
      <c r="O13" s="62">
        <v>0</v>
      </c>
      <c r="P13" s="62">
        <v>1</v>
      </c>
      <c r="Q13" s="62">
        <v>1</v>
      </c>
      <c r="R13" s="62">
        <v>1</v>
      </c>
      <c r="S13" s="62">
        <v>1</v>
      </c>
      <c r="T13" s="62">
        <v>0</v>
      </c>
      <c r="U13" s="62">
        <v>1</v>
      </c>
      <c r="V13" s="62">
        <v>1</v>
      </c>
      <c r="W13" s="62">
        <v>0</v>
      </c>
      <c r="X13" s="62">
        <v>1</v>
      </c>
      <c r="Y13" s="62">
        <v>0</v>
      </c>
      <c r="Z13" s="62">
        <v>0</v>
      </c>
      <c r="AA13" s="62">
        <v>1</v>
      </c>
      <c r="AB13" s="62">
        <v>0</v>
      </c>
      <c r="AC13" s="62">
        <v>1</v>
      </c>
      <c r="AD13" s="62">
        <v>0</v>
      </c>
      <c r="AE13" s="62">
        <v>0</v>
      </c>
      <c r="AF13" s="62">
        <v>0</v>
      </c>
      <c r="AG13" s="62">
        <v>1</v>
      </c>
      <c r="AH13" s="62">
        <v>1</v>
      </c>
      <c r="AI13" s="62">
        <v>1</v>
      </c>
      <c r="AJ13" s="62">
        <v>0</v>
      </c>
      <c r="AK13" s="62">
        <v>0</v>
      </c>
      <c r="AL13" s="62">
        <v>0</v>
      </c>
      <c r="AM13" s="62">
        <v>1</v>
      </c>
      <c r="AN13" s="62">
        <v>0</v>
      </c>
      <c r="AO13" s="62">
        <v>1</v>
      </c>
      <c r="AP13" s="62">
        <v>0</v>
      </c>
      <c r="AQ13" s="62">
        <v>0</v>
      </c>
      <c r="AR13" s="62">
        <v>0</v>
      </c>
      <c r="AS13" s="62">
        <v>0</v>
      </c>
      <c r="AT13" s="10">
        <v>1</v>
      </c>
      <c r="AU13" s="10">
        <v>1</v>
      </c>
      <c r="AW13" s="10">
        <f t="shared" ref="AW13:AW32" si="12">AU13*$AU$5</f>
        <v>10</v>
      </c>
      <c r="AY13" s="10">
        <f t="shared" si="2"/>
        <v>141</v>
      </c>
      <c r="AZ13" s="50">
        <f t="shared" ref="AZ13:AZ16" si="13">AW13+AY13</f>
        <v>151</v>
      </c>
      <c r="BB13" s="58"/>
      <c r="BC13" s="33"/>
      <c r="BD13" s="29">
        <v>60.06</v>
      </c>
      <c r="BE13" s="40"/>
      <c r="BF13" s="11"/>
      <c r="BG13" s="11"/>
      <c r="BI13" s="19">
        <f t="shared" ref="BI13:BI17" si="14">$BB13*$AZ13</f>
        <v>0</v>
      </c>
      <c r="BJ13" s="31">
        <f t="shared" ref="BJ13:BJ17" si="15">$BC13*$AZ13</f>
        <v>0</v>
      </c>
      <c r="BK13" s="29">
        <f t="shared" ref="BK13:BK17" si="16">$BD13*$AZ13</f>
        <v>9069.06</v>
      </c>
      <c r="BL13" s="40">
        <f t="shared" ref="BL13:BL17" si="17">$BE13*$AZ13</f>
        <v>0</v>
      </c>
      <c r="BM13" s="11">
        <f t="shared" ref="BM13:BM17" si="18">$BF13*$AZ13</f>
        <v>0</v>
      </c>
      <c r="BN13" s="11">
        <f t="shared" ref="BN13:BN17" si="19">$BG13*$AZ13</f>
        <v>0</v>
      </c>
    </row>
    <row r="14" spans="1:66">
      <c r="A14" s="49" t="s">
        <v>81</v>
      </c>
      <c r="C14" s="22" t="s">
        <v>75</v>
      </c>
      <c r="D14" s="22">
        <v>12</v>
      </c>
      <c r="E14" s="22">
        <v>100</v>
      </c>
      <c r="F14" s="22">
        <v>25</v>
      </c>
      <c r="G14" s="22" t="s">
        <v>83</v>
      </c>
      <c r="H14" s="62">
        <v>0</v>
      </c>
      <c r="I14" s="62">
        <v>1</v>
      </c>
      <c r="J14" s="62">
        <v>0</v>
      </c>
      <c r="K14" s="62">
        <v>1</v>
      </c>
      <c r="L14" s="62">
        <v>1</v>
      </c>
      <c r="M14" s="62">
        <v>1</v>
      </c>
      <c r="N14" s="62">
        <v>1</v>
      </c>
      <c r="O14" s="62">
        <v>2</v>
      </c>
      <c r="P14" s="62">
        <v>1</v>
      </c>
      <c r="Q14" s="62">
        <v>1</v>
      </c>
      <c r="R14" s="62">
        <v>1</v>
      </c>
      <c r="S14" s="62">
        <v>1</v>
      </c>
      <c r="T14" s="62">
        <v>2</v>
      </c>
      <c r="U14" s="62">
        <v>1</v>
      </c>
      <c r="V14" s="62">
        <v>1</v>
      </c>
      <c r="W14" s="62">
        <v>2</v>
      </c>
      <c r="X14" s="62">
        <v>2</v>
      </c>
      <c r="Y14" s="62">
        <v>2</v>
      </c>
      <c r="Z14" s="62">
        <v>2</v>
      </c>
      <c r="AA14" s="62">
        <v>1</v>
      </c>
      <c r="AB14" s="62">
        <v>2</v>
      </c>
      <c r="AC14" s="62">
        <v>2</v>
      </c>
      <c r="AD14" s="62">
        <v>3</v>
      </c>
      <c r="AE14" s="62">
        <v>3</v>
      </c>
      <c r="AF14" s="62">
        <v>3</v>
      </c>
      <c r="AG14" s="62">
        <v>2</v>
      </c>
      <c r="AH14" s="62">
        <v>3</v>
      </c>
      <c r="AI14" s="62">
        <v>2</v>
      </c>
      <c r="AJ14" s="62">
        <v>2</v>
      </c>
      <c r="AK14" s="62">
        <v>2</v>
      </c>
      <c r="AL14" s="62">
        <v>2</v>
      </c>
      <c r="AM14" s="62">
        <v>2</v>
      </c>
      <c r="AN14" s="62">
        <v>3</v>
      </c>
      <c r="AO14" s="62">
        <v>2</v>
      </c>
      <c r="AP14" s="62">
        <v>5</v>
      </c>
      <c r="AQ14" s="62">
        <v>3</v>
      </c>
      <c r="AR14" s="62">
        <v>4</v>
      </c>
      <c r="AS14" s="62">
        <v>4</v>
      </c>
      <c r="AT14" s="10">
        <v>4</v>
      </c>
      <c r="AU14" s="10">
        <v>5</v>
      </c>
      <c r="AW14" s="10">
        <f t="shared" si="12"/>
        <v>50</v>
      </c>
      <c r="AY14" s="10">
        <f t="shared" si="2"/>
        <v>283</v>
      </c>
      <c r="AZ14" s="50">
        <f t="shared" si="13"/>
        <v>333</v>
      </c>
      <c r="BB14" s="58"/>
      <c r="BC14" s="33"/>
      <c r="BD14" s="29">
        <v>106.47</v>
      </c>
      <c r="BE14" s="40"/>
      <c r="BF14" s="11"/>
      <c r="BG14" s="11"/>
      <c r="BI14" s="19">
        <f t="shared" si="14"/>
        <v>0</v>
      </c>
      <c r="BJ14" s="31">
        <f t="shared" si="15"/>
        <v>0</v>
      </c>
      <c r="BK14" s="29">
        <f t="shared" si="16"/>
        <v>35454.51</v>
      </c>
      <c r="BL14" s="40">
        <f t="shared" si="17"/>
        <v>0</v>
      </c>
      <c r="BM14" s="11">
        <f t="shared" si="18"/>
        <v>0</v>
      </c>
      <c r="BN14" s="11">
        <f t="shared" si="19"/>
        <v>0</v>
      </c>
    </row>
    <row r="15" spans="1:66">
      <c r="A15" s="49" t="s">
        <v>84</v>
      </c>
      <c r="C15" s="22" t="s">
        <v>75</v>
      </c>
      <c r="D15" s="22">
        <v>12</v>
      </c>
      <c r="E15" s="22">
        <v>100</v>
      </c>
      <c r="F15" s="22">
        <v>20</v>
      </c>
      <c r="G15" s="22" t="s">
        <v>85</v>
      </c>
      <c r="H15" s="62">
        <v>0</v>
      </c>
      <c r="I15" s="62">
        <v>1</v>
      </c>
      <c r="J15" s="62">
        <v>0</v>
      </c>
      <c r="K15" s="62">
        <v>0</v>
      </c>
      <c r="L15" s="62">
        <v>1</v>
      </c>
      <c r="M15" s="62">
        <v>1</v>
      </c>
      <c r="N15" s="62">
        <v>1</v>
      </c>
      <c r="O15" s="62">
        <v>1</v>
      </c>
      <c r="P15" s="62">
        <v>1</v>
      </c>
      <c r="Q15" s="62">
        <v>1</v>
      </c>
      <c r="R15" s="62">
        <v>1</v>
      </c>
      <c r="S15" s="62">
        <v>1</v>
      </c>
      <c r="T15" s="62">
        <v>1</v>
      </c>
      <c r="U15" s="62">
        <v>1</v>
      </c>
      <c r="V15" s="62">
        <v>1</v>
      </c>
      <c r="W15" s="62">
        <v>1</v>
      </c>
      <c r="X15" s="62">
        <v>1</v>
      </c>
      <c r="Y15" s="62">
        <v>1</v>
      </c>
      <c r="Z15" s="62">
        <v>1</v>
      </c>
      <c r="AA15" s="62">
        <v>1</v>
      </c>
      <c r="AB15" s="62">
        <v>1</v>
      </c>
      <c r="AC15" s="62">
        <v>1</v>
      </c>
      <c r="AD15" s="62">
        <v>1</v>
      </c>
      <c r="AE15" s="62">
        <v>1</v>
      </c>
      <c r="AF15" s="62">
        <v>2</v>
      </c>
      <c r="AG15" s="62">
        <v>2</v>
      </c>
      <c r="AH15" s="62">
        <v>1</v>
      </c>
      <c r="AI15" s="62">
        <v>1</v>
      </c>
      <c r="AJ15" s="62">
        <v>2</v>
      </c>
      <c r="AK15" s="62">
        <v>2</v>
      </c>
      <c r="AL15" s="62">
        <v>2</v>
      </c>
      <c r="AM15" s="62">
        <v>2</v>
      </c>
      <c r="AN15" s="62">
        <v>2</v>
      </c>
      <c r="AO15" s="62">
        <v>2</v>
      </c>
      <c r="AP15" s="62">
        <v>1</v>
      </c>
      <c r="AQ15" s="62">
        <v>2</v>
      </c>
      <c r="AR15" s="62">
        <v>2</v>
      </c>
      <c r="AS15" s="62">
        <v>2</v>
      </c>
      <c r="AT15" s="10">
        <v>3</v>
      </c>
      <c r="AU15" s="10">
        <v>3</v>
      </c>
      <c r="AW15" s="10">
        <f t="shared" si="12"/>
        <v>30</v>
      </c>
      <c r="AY15" s="10">
        <f t="shared" si="2"/>
        <v>237</v>
      </c>
      <c r="AZ15" s="50">
        <f t="shared" si="13"/>
        <v>267</v>
      </c>
      <c r="BB15" s="58"/>
      <c r="BC15" s="33"/>
      <c r="BD15" s="29">
        <v>73.709999999999994</v>
      </c>
      <c r="BE15" s="40"/>
      <c r="BF15" s="11"/>
      <c r="BG15" s="11"/>
      <c r="BI15" s="19">
        <f t="shared" si="14"/>
        <v>0</v>
      </c>
      <c r="BJ15" s="31">
        <f t="shared" si="15"/>
        <v>0</v>
      </c>
      <c r="BK15" s="29">
        <f t="shared" si="16"/>
        <v>19680.57</v>
      </c>
      <c r="BL15" s="40">
        <f t="shared" si="17"/>
        <v>0</v>
      </c>
      <c r="BM15" s="11">
        <f t="shared" si="18"/>
        <v>0</v>
      </c>
      <c r="BN15" s="11">
        <f t="shared" si="19"/>
        <v>0</v>
      </c>
    </row>
    <row r="16" spans="1:66">
      <c r="A16" s="49" t="s">
        <v>86</v>
      </c>
      <c r="C16" s="22" t="s">
        <v>75</v>
      </c>
      <c r="D16" s="22">
        <v>12</v>
      </c>
      <c r="E16" s="22">
        <v>100</v>
      </c>
      <c r="F16" s="22">
        <v>65</v>
      </c>
      <c r="G16" s="22" t="s">
        <v>87</v>
      </c>
      <c r="H16" s="62">
        <v>1</v>
      </c>
      <c r="I16" s="62">
        <v>1</v>
      </c>
      <c r="J16" s="62">
        <v>2</v>
      </c>
      <c r="K16" s="62">
        <v>2</v>
      </c>
      <c r="L16" s="62">
        <v>2</v>
      </c>
      <c r="M16" s="62">
        <v>2</v>
      </c>
      <c r="N16" s="62">
        <v>2</v>
      </c>
      <c r="O16" s="62">
        <v>2</v>
      </c>
      <c r="P16" s="62">
        <v>2</v>
      </c>
      <c r="Q16" s="62">
        <v>3</v>
      </c>
      <c r="R16" s="62">
        <v>3</v>
      </c>
      <c r="S16" s="62">
        <v>3</v>
      </c>
      <c r="T16" s="62">
        <v>3</v>
      </c>
      <c r="U16" s="62">
        <v>3</v>
      </c>
      <c r="V16" s="62">
        <v>4</v>
      </c>
      <c r="W16" s="62">
        <v>4</v>
      </c>
      <c r="X16" s="62">
        <v>3</v>
      </c>
      <c r="Y16" s="62">
        <v>4</v>
      </c>
      <c r="Z16" s="62">
        <v>4</v>
      </c>
      <c r="AA16" s="62">
        <v>5</v>
      </c>
      <c r="AB16" s="62">
        <v>5</v>
      </c>
      <c r="AC16" s="62">
        <v>4</v>
      </c>
      <c r="AD16" s="62">
        <v>5</v>
      </c>
      <c r="AE16" s="62">
        <v>5</v>
      </c>
      <c r="AF16" s="62">
        <v>5</v>
      </c>
      <c r="AG16" s="62">
        <v>5</v>
      </c>
      <c r="AH16" s="62">
        <v>5</v>
      </c>
      <c r="AI16" s="62">
        <v>7</v>
      </c>
      <c r="AJ16" s="62">
        <v>7</v>
      </c>
      <c r="AK16" s="62">
        <v>8</v>
      </c>
      <c r="AL16" s="62">
        <v>8</v>
      </c>
      <c r="AM16" s="62">
        <v>8</v>
      </c>
      <c r="AN16" s="62">
        <v>8</v>
      </c>
      <c r="AO16" s="62">
        <v>9</v>
      </c>
      <c r="AP16" s="62">
        <v>8</v>
      </c>
      <c r="AQ16" s="62">
        <v>10</v>
      </c>
      <c r="AR16" s="62">
        <v>11</v>
      </c>
      <c r="AS16" s="62">
        <v>13</v>
      </c>
      <c r="AT16" s="10">
        <v>15</v>
      </c>
      <c r="AU16" s="10">
        <v>15</v>
      </c>
      <c r="AW16" s="10">
        <f t="shared" si="12"/>
        <v>150</v>
      </c>
      <c r="AY16" s="10">
        <f t="shared" si="2"/>
        <v>745</v>
      </c>
      <c r="AZ16" s="50">
        <f t="shared" si="13"/>
        <v>895</v>
      </c>
      <c r="BB16" s="58"/>
      <c r="BC16" s="33"/>
      <c r="BD16" s="29">
        <v>175.14</v>
      </c>
      <c r="BE16" s="40"/>
      <c r="BF16" s="11"/>
      <c r="BG16" s="11"/>
      <c r="BI16" s="19">
        <f t="shared" si="14"/>
        <v>0</v>
      </c>
      <c r="BJ16" s="31">
        <f t="shared" si="15"/>
        <v>0</v>
      </c>
      <c r="BK16" s="29">
        <f t="shared" si="16"/>
        <v>156750.29999999999</v>
      </c>
      <c r="BL16" s="40">
        <f t="shared" si="17"/>
        <v>0</v>
      </c>
      <c r="BM16" s="11">
        <f t="shared" si="18"/>
        <v>0</v>
      </c>
      <c r="BN16" s="11">
        <f t="shared" si="19"/>
        <v>0</v>
      </c>
    </row>
    <row r="17" spans="1:66">
      <c r="A17" s="49" t="s">
        <v>88</v>
      </c>
      <c r="C17" s="22" t="s">
        <v>75</v>
      </c>
      <c r="D17" s="22">
        <v>12</v>
      </c>
      <c r="E17" s="22">
        <v>100</v>
      </c>
      <c r="F17" s="22">
        <v>0</v>
      </c>
      <c r="G17" s="22" t="s">
        <v>89</v>
      </c>
      <c r="H17" s="62">
        <v>1</v>
      </c>
      <c r="I17" s="62">
        <v>1</v>
      </c>
      <c r="J17" s="62">
        <v>1</v>
      </c>
      <c r="K17" s="62">
        <v>1</v>
      </c>
      <c r="L17" s="62">
        <v>1</v>
      </c>
      <c r="M17" s="62">
        <v>1</v>
      </c>
      <c r="N17" s="62">
        <v>1</v>
      </c>
      <c r="O17" s="62">
        <v>1</v>
      </c>
      <c r="P17" s="62">
        <v>1</v>
      </c>
      <c r="Q17" s="62">
        <v>1</v>
      </c>
      <c r="R17" s="62">
        <v>1</v>
      </c>
      <c r="S17" s="62">
        <v>1</v>
      </c>
      <c r="T17" s="62">
        <v>1</v>
      </c>
      <c r="U17" s="62">
        <v>1</v>
      </c>
      <c r="V17" s="62">
        <v>1</v>
      </c>
      <c r="W17" s="62">
        <v>1</v>
      </c>
      <c r="X17" s="62">
        <v>1</v>
      </c>
      <c r="Y17" s="62">
        <v>1</v>
      </c>
      <c r="Z17" s="62">
        <v>1</v>
      </c>
      <c r="AA17" s="62">
        <v>1</v>
      </c>
      <c r="AB17" s="62">
        <v>1</v>
      </c>
      <c r="AC17" s="62">
        <v>1</v>
      </c>
      <c r="AD17" s="62">
        <v>1</v>
      </c>
      <c r="AE17" s="62">
        <v>1</v>
      </c>
      <c r="AF17" s="62">
        <v>1</v>
      </c>
      <c r="AG17" s="62">
        <v>1</v>
      </c>
      <c r="AH17" s="62">
        <v>1</v>
      </c>
      <c r="AI17" s="62">
        <v>1</v>
      </c>
      <c r="AJ17" s="62">
        <v>1</v>
      </c>
      <c r="AK17" s="62">
        <v>1</v>
      </c>
      <c r="AL17" s="62">
        <v>1</v>
      </c>
      <c r="AM17" s="62">
        <v>1</v>
      </c>
      <c r="AN17" s="62">
        <v>1</v>
      </c>
      <c r="AO17" s="62">
        <v>1</v>
      </c>
      <c r="AP17" s="62">
        <v>1</v>
      </c>
      <c r="AQ17" s="62">
        <v>1</v>
      </c>
      <c r="AR17" s="62">
        <v>1</v>
      </c>
      <c r="AS17" s="62">
        <v>1</v>
      </c>
      <c r="AT17" s="10">
        <v>1</v>
      </c>
      <c r="AU17" s="10">
        <v>1</v>
      </c>
      <c r="AW17" s="10">
        <f t="shared" si="12"/>
        <v>10</v>
      </c>
      <c r="AY17" s="10">
        <f t="shared" si="2"/>
        <v>277</v>
      </c>
      <c r="AZ17" s="50">
        <f>AW17+AY17+AZ10</f>
        <v>449</v>
      </c>
      <c r="BB17" s="58"/>
      <c r="BC17" s="33"/>
      <c r="BD17" s="29">
        <v>13.86</v>
      </c>
      <c r="BE17" s="40"/>
      <c r="BF17" s="11"/>
      <c r="BG17" s="11"/>
      <c r="BI17" s="19">
        <f t="shared" si="14"/>
        <v>0</v>
      </c>
      <c r="BJ17" s="31">
        <f t="shared" si="15"/>
        <v>0</v>
      </c>
      <c r="BK17" s="29">
        <f t="shared" si="16"/>
        <v>6223.1399999999994</v>
      </c>
      <c r="BL17" s="40">
        <f t="shared" si="17"/>
        <v>0</v>
      </c>
      <c r="BM17" s="11">
        <f t="shared" si="18"/>
        <v>0</v>
      </c>
      <c r="BN17" s="11">
        <f t="shared" si="19"/>
        <v>0</v>
      </c>
    </row>
    <row r="18" spans="1:66" ht="18">
      <c r="A18" s="37" t="s">
        <v>17</v>
      </c>
      <c r="C18" s="7"/>
      <c r="D18" s="7"/>
      <c r="E18" s="7"/>
      <c r="F18" s="7"/>
      <c r="G18" s="7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8"/>
      <c r="AU18" s="8"/>
      <c r="AW18" s="8"/>
      <c r="AY18" s="8"/>
      <c r="AZ18" s="8"/>
      <c r="BB18" s="7"/>
      <c r="BC18" s="32"/>
      <c r="BD18" s="30"/>
      <c r="BE18" s="43"/>
      <c r="BF18" s="28"/>
      <c r="BG18" s="28"/>
      <c r="BI18" s="23"/>
      <c r="BJ18" s="23"/>
      <c r="BK18" s="23"/>
      <c r="BL18" s="25"/>
      <c r="BM18" s="25"/>
      <c r="BN18" s="12"/>
    </row>
    <row r="19" spans="1:66">
      <c r="A19" s="49" t="s">
        <v>91</v>
      </c>
      <c r="C19" s="22" t="s">
        <v>75</v>
      </c>
      <c r="D19" s="22">
        <v>0</v>
      </c>
      <c r="E19" s="22">
        <v>0</v>
      </c>
      <c r="F19" s="22">
        <v>200</v>
      </c>
      <c r="G19" s="22" t="s">
        <v>90</v>
      </c>
      <c r="H19" s="62">
        <v>1</v>
      </c>
      <c r="I19" s="62">
        <v>1</v>
      </c>
      <c r="J19" s="62">
        <v>1</v>
      </c>
      <c r="K19" s="62">
        <v>1</v>
      </c>
      <c r="L19" s="62">
        <v>1</v>
      </c>
      <c r="M19" s="62">
        <v>1</v>
      </c>
      <c r="N19" s="62">
        <v>1</v>
      </c>
      <c r="O19" s="62">
        <v>1</v>
      </c>
      <c r="P19" s="62">
        <v>1</v>
      </c>
      <c r="Q19" s="62">
        <v>1</v>
      </c>
      <c r="R19" s="62">
        <v>1</v>
      </c>
      <c r="S19" s="62">
        <v>1</v>
      </c>
      <c r="T19" s="62">
        <v>1</v>
      </c>
      <c r="U19" s="62">
        <v>1</v>
      </c>
      <c r="V19" s="62">
        <v>1</v>
      </c>
      <c r="W19" s="62">
        <v>1</v>
      </c>
      <c r="X19" s="62">
        <v>1</v>
      </c>
      <c r="Y19" s="62">
        <v>1</v>
      </c>
      <c r="Z19" s="62">
        <v>1</v>
      </c>
      <c r="AA19" s="62">
        <v>1</v>
      </c>
      <c r="AB19" s="62">
        <v>1</v>
      </c>
      <c r="AC19" s="62">
        <v>1</v>
      </c>
      <c r="AD19" s="62">
        <v>1</v>
      </c>
      <c r="AE19" s="62">
        <v>1</v>
      </c>
      <c r="AF19" s="62">
        <v>1</v>
      </c>
      <c r="AG19" s="62">
        <v>1</v>
      </c>
      <c r="AH19" s="62">
        <v>1</v>
      </c>
      <c r="AI19" s="62">
        <v>1</v>
      </c>
      <c r="AJ19" s="62">
        <v>1</v>
      </c>
      <c r="AK19" s="62">
        <v>1</v>
      </c>
      <c r="AL19" s="62">
        <v>1</v>
      </c>
      <c r="AM19" s="62">
        <v>1</v>
      </c>
      <c r="AN19" s="62">
        <v>1</v>
      </c>
      <c r="AO19" s="62">
        <v>1</v>
      </c>
      <c r="AP19" s="62">
        <v>1</v>
      </c>
      <c r="AQ19" s="62">
        <v>1</v>
      </c>
      <c r="AR19" s="62">
        <v>1</v>
      </c>
      <c r="AS19" s="62">
        <v>1</v>
      </c>
      <c r="AT19" s="62">
        <v>1</v>
      </c>
      <c r="AU19" s="62">
        <v>1</v>
      </c>
      <c r="AW19" s="10">
        <f t="shared" si="12"/>
        <v>10</v>
      </c>
      <c r="AY19" s="10">
        <f t="shared" si="2"/>
        <v>277</v>
      </c>
      <c r="AZ19" s="50">
        <f t="shared" ref="AZ19:AZ22" si="20">AW19+AY19</f>
        <v>287</v>
      </c>
      <c r="BB19" s="58"/>
      <c r="BC19" s="31"/>
      <c r="BD19" s="29">
        <v>450</v>
      </c>
      <c r="BE19" s="40"/>
      <c r="BF19" s="11"/>
      <c r="BG19" s="11"/>
      <c r="BI19" s="19">
        <f t="shared" ref="BI19:BI22" si="21">$BB19*$AZ19</f>
        <v>0</v>
      </c>
      <c r="BJ19" s="31">
        <f t="shared" ref="BJ19:BJ22" si="22">$BC19*$AZ19</f>
        <v>0</v>
      </c>
      <c r="BK19" s="29">
        <f t="shared" ref="BK19:BK22" si="23">$BD19*$AZ19</f>
        <v>129150</v>
      </c>
      <c r="BL19" s="40">
        <f t="shared" ref="BL19:BL22" si="24">$BE19*$AZ19</f>
        <v>0</v>
      </c>
      <c r="BM19" s="11">
        <f t="shared" ref="BM19:BM22" si="25">$BF19*$AZ19</f>
        <v>0</v>
      </c>
      <c r="BN19" s="11">
        <f t="shared" ref="BN19:BN22" si="26">$BG19*$AZ19</f>
        <v>0</v>
      </c>
    </row>
    <row r="20" spans="1:66">
      <c r="A20" s="49" t="s">
        <v>96</v>
      </c>
      <c r="C20" s="22" t="s">
        <v>75</v>
      </c>
      <c r="D20" s="22">
        <v>23.4</v>
      </c>
      <c r="E20" s="22">
        <v>109.2</v>
      </c>
      <c r="F20" s="22">
        <v>200</v>
      </c>
      <c r="G20" s="22" t="s">
        <v>97</v>
      </c>
      <c r="H20" s="62">
        <v>1</v>
      </c>
      <c r="I20" s="62">
        <v>1</v>
      </c>
      <c r="J20" s="62">
        <v>1</v>
      </c>
      <c r="K20" s="62">
        <v>1</v>
      </c>
      <c r="L20" s="62">
        <v>1</v>
      </c>
      <c r="M20" s="62">
        <v>1</v>
      </c>
      <c r="N20" s="62">
        <v>1</v>
      </c>
      <c r="O20" s="62">
        <v>1</v>
      </c>
      <c r="P20" s="62">
        <v>1</v>
      </c>
      <c r="Q20" s="62">
        <v>1</v>
      </c>
      <c r="R20" s="62">
        <v>1</v>
      </c>
      <c r="S20" s="62">
        <v>1</v>
      </c>
      <c r="T20" s="62">
        <v>1</v>
      </c>
      <c r="U20" s="62">
        <v>1</v>
      </c>
      <c r="V20" s="62">
        <v>1</v>
      </c>
      <c r="W20" s="62">
        <v>1</v>
      </c>
      <c r="X20" s="62">
        <v>1</v>
      </c>
      <c r="Y20" s="62">
        <v>1</v>
      </c>
      <c r="Z20" s="62">
        <v>1</v>
      </c>
      <c r="AA20" s="62">
        <v>1</v>
      </c>
      <c r="AB20" s="62">
        <v>1</v>
      </c>
      <c r="AC20" s="62">
        <v>1</v>
      </c>
      <c r="AD20" s="62">
        <v>1</v>
      </c>
      <c r="AE20" s="62">
        <v>1</v>
      </c>
      <c r="AF20" s="62">
        <v>1</v>
      </c>
      <c r="AG20" s="62">
        <v>1</v>
      </c>
      <c r="AH20" s="62">
        <v>1</v>
      </c>
      <c r="AI20" s="62">
        <v>1</v>
      </c>
      <c r="AJ20" s="62">
        <v>1</v>
      </c>
      <c r="AK20" s="62">
        <v>1</v>
      </c>
      <c r="AL20" s="62">
        <v>1</v>
      </c>
      <c r="AM20" s="62">
        <v>1</v>
      </c>
      <c r="AN20" s="62">
        <v>1</v>
      </c>
      <c r="AO20" s="62">
        <v>1</v>
      </c>
      <c r="AP20" s="62">
        <v>1</v>
      </c>
      <c r="AQ20" s="62">
        <v>1</v>
      </c>
      <c r="AR20" s="62">
        <v>1</v>
      </c>
      <c r="AS20" s="62">
        <v>1</v>
      </c>
      <c r="AT20" s="62">
        <v>1</v>
      </c>
      <c r="AU20" s="62">
        <v>1</v>
      </c>
      <c r="AW20" s="10">
        <f t="shared" ref="AW20" si="27">AU20*$AU$5</f>
        <v>10</v>
      </c>
      <c r="AY20" s="10">
        <f t="shared" ref="AY20" si="28">SUMPRODUCT($H$5:$AT$5,H20:AT20)</f>
        <v>277</v>
      </c>
      <c r="AZ20" s="50">
        <f t="shared" ref="AZ20" si="29">AW20+AY20</f>
        <v>287</v>
      </c>
      <c r="BB20" s="58"/>
      <c r="BC20" s="31"/>
      <c r="BD20" s="29">
        <v>65</v>
      </c>
      <c r="BE20" s="40"/>
      <c r="BF20" s="11"/>
      <c r="BG20" s="11"/>
      <c r="BI20" s="19">
        <f t="shared" si="21"/>
        <v>0</v>
      </c>
      <c r="BJ20" s="31">
        <f t="shared" si="22"/>
        <v>0</v>
      </c>
      <c r="BK20" s="29">
        <f t="shared" si="23"/>
        <v>18655</v>
      </c>
      <c r="BL20" s="40">
        <f t="shared" si="24"/>
        <v>0</v>
      </c>
      <c r="BM20" s="11">
        <f t="shared" si="25"/>
        <v>0</v>
      </c>
      <c r="BN20" s="11">
        <f t="shared" si="26"/>
        <v>0</v>
      </c>
    </row>
    <row r="21" spans="1:66">
      <c r="A21" s="49" t="s">
        <v>175</v>
      </c>
      <c r="C21" s="22" t="s">
        <v>176</v>
      </c>
      <c r="D21" s="22"/>
      <c r="E21" s="22"/>
      <c r="F21" s="22">
        <v>0</v>
      </c>
      <c r="G21" s="22" t="s">
        <v>177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>
        <v>0</v>
      </c>
      <c r="AT21" s="62">
        <v>0</v>
      </c>
      <c r="AU21" s="62">
        <v>0</v>
      </c>
      <c r="AW21" s="10">
        <f t="shared" ref="AW21" si="30">AU21*$AU$5</f>
        <v>0</v>
      </c>
      <c r="AY21" s="10">
        <f t="shared" ref="AY21" si="31">SUMPRODUCT($H$5:$AT$5,H21:AT21)</f>
        <v>0</v>
      </c>
      <c r="AZ21" s="50">
        <f t="shared" ref="AZ21" si="32">AW21+AY21</f>
        <v>0</v>
      </c>
      <c r="BB21" s="58"/>
      <c r="BC21" s="31"/>
      <c r="BD21" s="29">
        <v>390</v>
      </c>
      <c r="BE21" s="40"/>
      <c r="BF21" s="11"/>
      <c r="BG21" s="11"/>
      <c r="BI21" s="19">
        <f t="shared" si="21"/>
        <v>0</v>
      </c>
      <c r="BJ21" s="31">
        <f t="shared" si="22"/>
        <v>0</v>
      </c>
      <c r="BK21" s="29">
        <f t="shared" si="23"/>
        <v>0</v>
      </c>
      <c r="BL21" s="40">
        <f t="shared" si="24"/>
        <v>0</v>
      </c>
      <c r="BM21" s="11">
        <f t="shared" si="25"/>
        <v>0</v>
      </c>
      <c r="BN21" s="11">
        <f t="shared" si="26"/>
        <v>0</v>
      </c>
    </row>
    <row r="22" spans="1:66">
      <c r="A22" s="49" t="s">
        <v>178</v>
      </c>
      <c r="C22" s="22" t="s">
        <v>176</v>
      </c>
      <c r="D22" s="22"/>
      <c r="E22" s="22"/>
      <c r="F22" s="22">
        <v>0</v>
      </c>
      <c r="G22" s="22" t="s">
        <v>179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>
        <v>0</v>
      </c>
      <c r="AT22" s="62">
        <v>0</v>
      </c>
      <c r="AU22" s="62">
        <v>0</v>
      </c>
      <c r="AW22" s="10">
        <f t="shared" si="12"/>
        <v>0</v>
      </c>
      <c r="AY22" s="10">
        <f t="shared" si="2"/>
        <v>0</v>
      </c>
      <c r="AZ22" s="50">
        <f t="shared" si="20"/>
        <v>0</v>
      </c>
      <c r="BB22" s="58"/>
      <c r="BC22" s="31"/>
      <c r="BD22" s="29">
        <v>60</v>
      </c>
      <c r="BE22" s="40"/>
      <c r="BF22" s="11"/>
      <c r="BG22" s="11"/>
      <c r="BI22" s="19">
        <f t="shared" si="21"/>
        <v>0</v>
      </c>
      <c r="BJ22" s="31">
        <f t="shared" si="22"/>
        <v>0</v>
      </c>
      <c r="BK22" s="29">
        <f t="shared" si="23"/>
        <v>0</v>
      </c>
      <c r="BL22" s="40">
        <f t="shared" si="24"/>
        <v>0</v>
      </c>
      <c r="BM22" s="11">
        <f t="shared" si="25"/>
        <v>0</v>
      </c>
      <c r="BN22" s="11">
        <f t="shared" si="26"/>
        <v>0</v>
      </c>
    </row>
    <row r="23" spans="1:66" ht="18">
      <c r="A23" s="37" t="s">
        <v>100</v>
      </c>
      <c r="C23" s="7"/>
      <c r="D23" s="7"/>
      <c r="E23" s="7"/>
      <c r="F23" s="7"/>
      <c r="G23" s="7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W23" s="61"/>
      <c r="AY23" s="8"/>
      <c r="AZ23" s="8"/>
      <c r="BB23" s="7"/>
      <c r="BC23" s="32"/>
      <c r="BD23" s="30"/>
      <c r="BE23" s="43"/>
      <c r="BF23" s="28"/>
      <c r="BG23" s="28"/>
      <c r="BI23" s="23"/>
      <c r="BJ23" s="23"/>
      <c r="BK23" s="23"/>
      <c r="BL23" s="25"/>
      <c r="BM23" s="25"/>
      <c r="BN23" s="12"/>
    </row>
    <row r="24" spans="1:66">
      <c r="A24" s="49" t="s">
        <v>168</v>
      </c>
      <c r="C24" s="22" t="s">
        <v>75</v>
      </c>
      <c r="D24" s="22">
        <v>72</v>
      </c>
      <c r="E24" s="22">
        <v>90</v>
      </c>
      <c r="F24" s="22">
        <v>0</v>
      </c>
      <c r="G24" s="22" t="s">
        <v>167</v>
      </c>
      <c r="H24" s="62">
        <v>0</v>
      </c>
      <c r="I24" s="62">
        <v>1</v>
      </c>
      <c r="J24" s="62">
        <v>0</v>
      </c>
      <c r="K24" s="62">
        <v>0</v>
      </c>
      <c r="L24" s="62">
        <v>1</v>
      </c>
      <c r="M24" s="62">
        <v>1</v>
      </c>
      <c r="N24" s="62">
        <v>2</v>
      </c>
      <c r="O24" s="62">
        <v>2</v>
      </c>
      <c r="P24" s="62">
        <v>2</v>
      </c>
      <c r="Q24" s="62">
        <v>2</v>
      </c>
      <c r="R24" s="62">
        <v>2</v>
      </c>
      <c r="S24" s="62">
        <v>1</v>
      </c>
      <c r="T24" s="62">
        <v>2</v>
      </c>
      <c r="U24" s="62">
        <v>2</v>
      </c>
      <c r="V24" s="62">
        <v>0</v>
      </c>
      <c r="W24" s="62">
        <v>3</v>
      </c>
      <c r="X24" s="62">
        <v>3</v>
      </c>
      <c r="Y24" s="62">
        <v>2</v>
      </c>
      <c r="Z24" s="62">
        <v>3</v>
      </c>
      <c r="AA24" s="62">
        <v>0</v>
      </c>
      <c r="AB24" s="62">
        <v>1</v>
      </c>
      <c r="AC24" s="62">
        <v>3</v>
      </c>
      <c r="AD24" s="62">
        <v>4</v>
      </c>
      <c r="AE24" s="62">
        <v>4</v>
      </c>
      <c r="AF24" s="62">
        <v>4</v>
      </c>
      <c r="AG24" s="62">
        <v>2</v>
      </c>
      <c r="AH24" s="62">
        <v>5</v>
      </c>
      <c r="AI24" s="62">
        <v>2</v>
      </c>
      <c r="AJ24" s="62">
        <v>0</v>
      </c>
      <c r="AK24" s="62">
        <v>0</v>
      </c>
      <c r="AL24" s="62">
        <v>0</v>
      </c>
      <c r="AM24" s="62">
        <v>0</v>
      </c>
      <c r="AN24" s="62">
        <v>1</v>
      </c>
      <c r="AO24" s="62">
        <v>0</v>
      </c>
      <c r="AP24" s="62">
        <v>6</v>
      </c>
      <c r="AQ24" s="62">
        <v>0</v>
      </c>
      <c r="AR24" s="62">
        <v>2</v>
      </c>
      <c r="AS24" s="62">
        <v>0</v>
      </c>
      <c r="AT24" s="62">
        <v>0</v>
      </c>
      <c r="AU24" s="62">
        <v>6</v>
      </c>
      <c r="AW24" s="10">
        <f t="shared" ref="AW24" si="33">AU24*$AU$5</f>
        <v>60</v>
      </c>
      <c r="AY24" s="10">
        <f t="shared" si="2"/>
        <v>290</v>
      </c>
      <c r="AZ24" s="50">
        <f t="shared" ref="AZ24" si="34">AW24+AY24</f>
        <v>350</v>
      </c>
      <c r="BB24" s="58"/>
      <c r="BC24" s="31"/>
      <c r="BD24" s="72">
        <v>150</v>
      </c>
      <c r="BE24" s="40"/>
      <c r="BF24" s="11"/>
      <c r="BG24" s="11"/>
      <c r="BI24" s="19">
        <f t="shared" ref="BI24:BI25" si="35">$BB24*$AZ24</f>
        <v>0</v>
      </c>
      <c r="BJ24" s="31">
        <f t="shared" ref="BJ24:BJ25" si="36">$BC24*$AZ24</f>
        <v>0</v>
      </c>
      <c r="BK24" s="29">
        <f t="shared" ref="BK24:BK25" si="37">$BD24*$AZ24</f>
        <v>52500</v>
      </c>
      <c r="BL24" s="40">
        <f t="shared" ref="BL24:BL25" si="38">$BE24*$AZ24</f>
        <v>0</v>
      </c>
      <c r="BM24" s="11">
        <f t="shared" ref="BM24:BM25" si="39">$BF24*$AZ24</f>
        <v>0</v>
      </c>
      <c r="BN24" s="11">
        <f t="shared" ref="BN24:BN25" si="40">$BG24*$AZ24</f>
        <v>0</v>
      </c>
    </row>
    <row r="25" spans="1:66">
      <c r="A25" s="49" t="s">
        <v>170</v>
      </c>
      <c r="C25" s="22" t="s">
        <v>75</v>
      </c>
      <c r="D25" s="22"/>
      <c r="E25" s="22"/>
      <c r="F25" s="22">
        <v>0</v>
      </c>
      <c r="G25" s="22" t="s">
        <v>169</v>
      </c>
      <c r="H25" s="62">
        <f>H24*3</f>
        <v>0</v>
      </c>
      <c r="I25" s="62">
        <f t="shared" ref="I25:AU25" si="41">I24*3</f>
        <v>3</v>
      </c>
      <c r="J25" s="62">
        <f t="shared" si="41"/>
        <v>0</v>
      </c>
      <c r="K25" s="62">
        <f t="shared" si="41"/>
        <v>0</v>
      </c>
      <c r="L25" s="62">
        <f t="shared" si="41"/>
        <v>3</v>
      </c>
      <c r="M25" s="62">
        <f t="shared" si="41"/>
        <v>3</v>
      </c>
      <c r="N25" s="62">
        <f t="shared" si="41"/>
        <v>6</v>
      </c>
      <c r="O25" s="62">
        <f t="shared" si="41"/>
        <v>6</v>
      </c>
      <c r="P25" s="62">
        <f t="shared" si="41"/>
        <v>6</v>
      </c>
      <c r="Q25" s="62">
        <f t="shared" si="41"/>
        <v>6</v>
      </c>
      <c r="R25" s="62">
        <f t="shared" si="41"/>
        <v>6</v>
      </c>
      <c r="S25" s="62">
        <f t="shared" si="41"/>
        <v>3</v>
      </c>
      <c r="T25" s="62">
        <f t="shared" si="41"/>
        <v>6</v>
      </c>
      <c r="U25" s="62">
        <f t="shared" si="41"/>
        <v>6</v>
      </c>
      <c r="V25" s="62">
        <f t="shared" si="41"/>
        <v>0</v>
      </c>
      <c r="W25" s="62">
        <f t="shared" si="41"/>
        <v>9</v>
      </c>
      <c r="X25" s="62">
        <f t="shared" si="41"/>
        <v>9</v>
      </c>
      <c r="Y25" s="62">
        <f t="shared" si="41"/>
        <v>6</v>
      </c>
      <c r="Z25" s="62">
        <f t="shared" si="41"/>
        <v>9</v>
      </c>
      <c r="AA25" s="62">
        <f t="shared" si="41"/>
        <v>0</v>
      </c>
      <c r="AB25" s="62">
        <f t="shared" si="41"/>
        <v>3</v>
      </c>
      <c r="AC25" s="62">
        <f t="shared" si="41"/>
        <v>9</v>
      </c>
      <c r="AD25" s="62">
        <f t="shared" si="41"/>
        <v>12</v>
      </c>
      <c r="AE25" s="62">
        <f t="shared" si="41"/>
        <v>12</v>
      </c>
      <c r="AF25" s="62">
        <f t="shared" si="41"/>
        <v>12</v>
      </c>
      <c r="AG25" s="62">
        <f t="shared" si="41"/>
        <v>6</v>
      </c>
      <c r="AH25" s="62">
        <f t="shared" si="41"/>
        <v>15</v>
      </c>
      <c r="AI25" s="62">
        <f t="shared" si="41"/>
        <v>6</v>
      </c>
      <c r="AJ25" s="62">
        <f t="shared" si="41"/>
        <v>0</v>
      </c>
      <c r="AK25" s="62">
        <f t="shared" si="41"/>
        <v>0</v>
      </c>
      <c r="AL25" s="62">
        <f t="shared" si="41"/>
        <v>0</v>
      </c>
      <c r="AM25" s="62">
        <f t="shared" si="41"/>
        <v>0</v>
      </c>
      <c r="AN25" s="62">
        <f t="shared" si="41"/>
        <v>3</v>
      </c>
      <c r="AO25" s="62">
        <f t="shared" si="41"/>
        <v>0</v>
      </c>
      <c r="AP25" s="62">
        <f t="shared" si="41"/>
        <v>18</v>
      </c>
      <c r="AQ25" s="62">
        <f t="shared" si="41"/>
        <v>0</v>
      </c>
      <c r="AR25" s="62">
        <f t="shared" si="41"/>
        <v>6</v>
      </c>
      <c r="AS25" s="62">
        <f t="shared" si="41"/>
        <v>0</v>
      </c>
      <c r="AT25" s="62">
        <f t="shared" si="41"/>
        <v>0</v>
      </c>
      <c r="AU25" s="62">
        <f t="shared" si="41"/>
        <v>18</v>
      </c>
      <c r="AW25" s="10">
        <f t="shared" ref="AW25" si="42">AU25*$AU$5</f>
        <v>180</v>
      </c>
      <c r="AY25" s="10">
        <f t="shared" si="2"/>
        <v>870</v>
      </c>
      <c r="AZ25" s="50">
        <f t="shared" ref="AZ25" si="43">AW25+AY25</f>
        <v>1050</v>
      </c>
      <c r="BB25" s="58"/>
      <c r="BC25" s="31"/>
      <c r="BD25" s="72">
        <v>70</v>
      </c>
      <c r="BE25" s="40"/>
      <c r="BF25" s="11"/>
      <c r="BG25" s="11"/>
      <c r="BI25" s="19">
        <f t="shared" si="35"/>
        <v>0</v>
      </c>
      <c r="BJ25" s="31">
        <f t="shared" si="36"/>
        <v>0</v>
      </c>
      <c r="BK25" s="29">
        <f t="shared" si="37"/>
        <v>73500</v>
      </c>
      <c r="BL25" s="40">
        <f t="shared" si="38"/>
        <v>0</v>
      </c>
      <c r="BM25" s="11">
        <f t="shared" si="39"/>
        <v>0</v>
      </c>
      <c r="BN25" s="11">
        <f t="shared" si="40"/>
        <v>0</v>
      </c>
    </row>
    <row r="26" spans="1:66" ht="18">
      <c r="A26" s="37" t="s">
        <v>114</v>
      </c>
      <c r="C26" s="7"/>
      <c r="D26" s="7"/>
      <c r="E26" s="7"/>
      <c r="F26" s="7"/>
      <c r="G26" s="7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W26" s="61"/>
      <c r="AY26" s="8"/>
      <c r="AZ26" s="8"/>
      <c r="BB26" s="7"/>
      <c r="BC26" s="32"/>
      <c r="BD26" s="30"/>
      <c r="BE26" s="43"/>
      <c r="BF26" s="28"/>
      <c r="BG26" s="28"/>
      <c r="BI26" s="23"/>
      <c r="BJ26" s="23"/>
      <c r="BK26" s="23"/>
      <c r="BL26" s="25"/>
      <c r="BM26" s="25"/>
      <c r="BN26" s="12"/>
    </row>
    <row r="27" spans="1:66">
      <c r="A27" s="49" t="s">
        <v>108</v>
      </c>
      <c r="C27" s="22" t="s">
        <v>75</v>
      </c>
      <c r="D27" s="22">
        <v>49.5</v>
      </c>
      <c r="E27" s="22">
        <v>96.8</v>
      </c>
      <c r="F27" s="22">
        <v>350</v>
      </c>
      <c r="G27" s="22" t="s">
        <v>115</v>
      </c>
      <c r="H27" s="62">
        <f>H85-1</f>
        <v>0</v>
      </c>
      <c r="I27" s="62">
        <f t="shared" ref="I27:AU27" si="44">I85-1</f>
        <v>0</v>
      </c>
      <c r="J27" s="62">
        <f t="shared" si="44"/>
        <v>0</v>
      </c>
      <c r="K27" s="62">
        <f t="shared" si="44"/>
        <v>0</v>
      </c>
      <c r="L27" s="62">
        <f t="shared" si="44"/>
        <v>0</v>
      </c>
      <c r="M27" s="62">
        <f t="shared" si="44"/>
        <v>0</v>
      </c>
      <c r="N27" s="62">
        <f t="shared" si="44"/>
        <v>0</v>
      </c>
      <c r="O27" s="62">
        <f t="shared" si="44"/>
        <v>0</v>
      </c>
      <c r="P27" s="62">
        <f t="shared" si="44"/>
        <v>0</v>
      </c>
      <c r="Q27" s="62">
        <f t="shared" si="44"/>
        <v>0</v>
      </c>
      <c r="R27" s="62">
        <f t="shared" si="44"/>
        <v>0</v>
      </c>
      <c r="S27" s="62">
        <f t="shared" si="44"/>
        <v>0</v>
      </c>
      <c r="T27" s="62">
        <f t="shared" si="44"/>
        <v>0</v>
      </c>
      <c r="U27" s="62">
        <f t="shared" si="44"/>
        <v>0</v>
      </c>
      <c r="V27" s="62">
        <f t="shared" si="44"/>
        <v>0</v>
      </c>
      <c r="W27" s="62">
        <f t="shared" si="44"/>
        <v>0</v>
      </c>
      <c r="X27" s="62">
        <f t="shared" si="44"/>
        <v>0</v>
      </c>
      <c r="Y27" s="62">
        <f t="shared" si="44"/>
        <v>0</v>
      </c>
      <c r="Z27" s="62">
        <f t="shared" si="44"/>
        <v>0</v>
      </c>
      <c r="AA27" s="62">
        <f t="shared" si="44"/>
        <v>0</v>
      </c>
      <c r="AB27" s="62">
        <f t="shared" si="44"/>
        <v>0</v>
      </c>
      <c r="AC27" s="62">
        <f t="shared" si="44"/>
        <v>1</v>
      </c>
      <c r="AD27" s="62">
        <f t="shared" si="44"/>
        <v>1</v>
      </c>
      <c r="AE27" s="62">
        <f t="shared" si="44"/>
        <v>1</v>
      </c>
      <c r="AF27" s="62">
        <f t="shared" si="44"/>
        <v>1</v>
      </c>
      <c r="AG27" s="62">
        <f t="shared" si="44"/>
        <v>1</v>
      </c>
      <c r="AH27" s="62">
        <f t="shared" si="44"/>
        <v>1</v>
      </c>
      <c r="AI27" s="62">
        <f t="shared" si="44"/>
        <v>1</v>
      </c>
      <c r="AJ27" s="62">
        <f t="shared" si="44"/>
        <v>0</v>
      </c>
      <c r="AK27" s="62">
        <f t="shared" si="44"/>
        <v>0</v>
      </c>
      <c r="AL27" s="62">
        <f t="shared" si="44"/>
        <v>0</v>
      </c>
      <c r="AM27" s="62">
        <f t="shared" si="44"/>
        <v>0</v>
      </c>
      <c r="AN27" s="62">
        <f t="shared" si="44"/>
        <v>1</v>
      </c>
      <c r="AO27" s="62">
        <f t="shared" si="44"/>
        <v>0</v>
      </c>
      <c r="AP27" s="62">
        <f t="shared" si="44"/>
        <v>1</v>
      </c>
      <c r="AQ27" s="62">
        <f t="shared" si="44"/>
        <v>1</v>
      </c>
      <c r="AR27" s="62">
        <f t="shared" si="44"/>
        <v>1</v>
      </c>
      <c r="AS27" s="62">
        <f t="shared" si="44"/>
        <v>1</v>
      </c>
      <c r="AT27" s="62">
        <f t="shared" si="44"/>
        <v>1</v>
      </c>
      <c r="AU27" s="62">
        <f t="shared" si="44"/>
        <v>1</v>
      </c>
      <c r="AW27" s="10">
        <f t="shared" ref="AW27:AW29" si="45">AU27*$AU$5</f>
        <v>10</v>
      </c>
      <c r="AY27" s="10">
        <f t="shared" si="2"/>
        <v>15</v>
      </c>
      <c r="AZ27" s="50">
        <f t="shared" ref="AZ27:AZ29" si="46">AW27+AY27</f>
        <v>25</v>
      </c>
      <c r="BB27" s="58"/>
      <c r="BC27" s="31"/>
      <c r="BD27" s="72"/>
      <c r="BE27" s="40"/>
      <c r="BF27" s="11"/>
      <c r="BG27" s="11"/>
      <c r="BI27" s="19">
        <f t="shared" ref="BI27:BI29" si="47">$BB27*$AZ27</f>
        <v>0</v>
      </c>
      <c r="BJ27" s="31">
        <f t="shared" ref="BJ27:BJ29" si="48">$BC27*$AZ27</f>
        <v>0</v>
      </c>
      <c r="BK27" s="29">
        <f t="shared" ref="BK27:BK29" si="49">$BD27*$AZ27</f>
        <v>0</v>
      </c>
      <c r="BL27" s="40">
        <f t="shared" ref="BL27:BL29" si="50">$BE27*$AZ27</f>
        <v>0</v>
      </c>
      <c r="BM27" s="11">
        <f t="shared" ref="BM27:BM29" si="51">$BF27*$AZ27</f>
        <v>0</v>
      </c>
      <c r="BN27" s="11">
        <f t="shared" ref="BN27:BN29" si="52">$BG27*$AZ27</f>
        <v>0</v>
      </c>
    </row>
    <row r="28" spans="1:66">
      <c r="A28" s="49" t="s">
        <v>116</v>
      </c>
      <c r="C28" s="22" t="s">
        <v>75</v>
      </c>
      <c r="D28" s="22">
        <v>12</v>
      </c>
      <c r="E28" s="22">
        <v>100</v>
      </c>
      <c r="F28" s="22"/>
      <c r="G28" s="22" t="s">
        <v>107</v>
      </c>
      <c r="H28" s="62">
        <f>H27</f>
        <v>0</v>
      </c>
      <c r="I28" s="62">
        <f t="shared" ref="I28:AU28" si="53">I27</f>
        <v>0</v>
      </c>
      <c r="J28" s="62">
        <f t="shared" si="53"/>
        <v>0</v>
      </c>
      <c r="K28" s="62">
        <f t="shared" si="53"/>
        <v>0</v>
      </c>
      <c r="L28" s="62">
        <f t="shared" si="53"/>
        <v>0</v>
      </c>
      <c r="M28" s="62">
        <f t="shared" si="53"/>
        <v>0</v>
      </c>
      <c r="N28" s="62">
        <f t="shared" si="53"/>
        <v>0</v>
      </c>
      <c r="O28" s="62">
        <f t="shared" si="53"/>
        <v>0</v>
      </c>
      <c r="P28" s="62">
        <f t="shared" si="53"/>
        <v>0</v>
      </c>
      <c r="Q28" s="62">
        <f t="shared" si="53"/>
        <v>0</v>
      </c>
      <c r="R28" s="62">
        <f t="shared" si="53"/>
        <v>0</v>
      </c>
      <c r="S28" s="62">
        <f t="shared" si="53"/>
        <v>0</v>
      </c>
      <c r="T28" s="62">
        <f t="shared" si="53"/>
        <v>0</v>
      </c>
      <c r="U28" s="62">
        <f t="shared" si="53"/>
        <v>0</v>
      </c>
      <c r="V28" s="62">
        <f t="shared" si="53"/>
        <v>0</v>
      </c>
      <c r="W28" s="62">
        <f t="shared" si="53"/>
        <v>0</v>
      </c>
      <c r="X28" s="62">
        <f t="shared" si="53"/>
        <v>0</v>
      </c>
      <c r="Y28" s="62">
        <f t="shared" si="53"/>
        <v>0</v>
      </c>
      <c r="Z28" s="62">
        <f t="shared" si="53"/>
        <v>0</v>
      </c>
      <c r="AA28" s="62">
        <f t="shared" si="53"/>
        <v>0</v>
      </c>
      <c r="AB28" s="62">
        <f t="shared" si="53"/>
        <v>0</v>
      </c>
      <c r="AC28" s="62">
        <f t="shared" si="53"/>
        <v>1</v>
      </c>
      <c r="AD28" s="62">
        <f t="shared" si="53"/>
        <v>1</v>
      </c>
      <c r="AE28" s="62">
        <f t="shared" si="53"/>
        <v>1</v>
      </c>
      <c r="AF28" s="62">
        <f t="shared" si="53"/>
        <v>1</v>
      </c>
      <c r="AG28" s="62">
        <f t="shared" si="53"/>
        <v>1</v>
      </c>
      <c r="AH28" s="62">
        <f t="shared" si="53"/>
        <v>1</v>
      </c>
      <c r="AI28" s="62">
        <f t="shared" si="53"/>
        <v>1</v>
      </c>
      <c r="AJ28" s="62">
        <f t="shared" si="53"/>
        <v>0</v>
      </c>
      <c r="AK28" s="62">
        <f t="shared" si="53"/>
        <v>0</v>
      </c>
      <c r="AL28" s="62">
        <f t="shared" si="53"/>
        <v>0</v>
      </c>
      <c r="AM28" s="62">
        <f t="shared" si="53"/>
        <v>0</v>
      </c>
      <c r="AN28" s="62">
        <f t="shared" si="53"/>
        <v>1</v>
      </c>
      <c r="AO28" s="62">
        <f t="shared" si="53"/>
        <v>0</v>
      </c>
      <c r="AP28" s="62">
        <f t="shared" si="53"/>
        <v>1</v>
      </c>
      <c r="AQ28" s="62">
        <f t="shared" si="53"/>
        <v>1</v>
      </c>
      <c r="AR28" s="62">
        <f t="shared" si="53"/>
        <v>1</v>
      </c>
      <c r="AS28" s="62">
        <f t="shared" si="53"/>
        <v>1</v>
      </c>
      <c r="AT28" s="62">
        <f t="shared" si="53"/>
        <v>1</v>
      </c>
      <c r="AU28" s="62">
        <f t="shared" si="53"/>
        <v>1</v>
      </c>
      <c r="AW28" s="10">
        <f t="shared" si="45"/>
        <v>10</v>
      </c>
      <c r="AY28" s="10">
        <f t="shared" si="2"/>
        <v>15</v>
      </c>
      <c r="AZ28" s="50">
        <f t="shared" si="46"/>
        <v>25</v>
      </c>
      <c r="BB28" s="58"/>
      <c r="BC28" s="31"/>
      <c r="BD28" s="29">
        <v>27.81</v>
      </c>
      <c r="BE28" s="40"/>
      <c r="BF28" s="11"/>
      <c r="BG28" s="11"/>
      <c r="BI28" s="19">
        <f t="shared" si="47"/>
        <v>0</v>
      </c>
      <c r="BJ28" s="31">
        <f t="shared" si="48"/>
        <v>0</v>
      </c>
      <c r="BK28" s="29">
        <f t="shared" si="49"/>
        <v>695.25</v>
      </c>
      <c r="BL28" s="40">
        <f t="shared" si="50"/>
        <v>0</v>
      </c>
      <c r="BM28" s="11">
        <f t="shared" si="51"/>
        <v>0</v>
      </c>
      <c r="BN28" s="11">
        <f t="shared" si="52"/>
        <v>0</v>
      </c>
    </row>
    <row r="29" spans="1:66">
      <c r="A29" s="49" t="s">
        <v>88</v>
      </c>
      <c r="C29" s="22" t="s">
        <v>75</v>
      </c>
      <c r="D29" s="22">
        <v>12</v>
      </c>
      <c r="E29" s="22">
        <v>100</v>
      </c>
      <c r="F29" s="22"/>
      <c r="G29" s="22" t="s">
        <v>89</v>
      </c>
      <c r="H29" s="62">
        <f>H27</f>
        <v>0</v>
      </c>
      <c r="I29" s="62">
        <f t="shared" ref="I29:AU29" si="54">I27</f>
        <v>0</v>
      </c>
      <c r="J29" s="62">
        <f t="shared" si="54"/>
        <v>0</v>
      </c>
      <c r="K29" s="62">
        <f t="shared" si="54"/>
        <v>0</v>
      </c>
      <c r="L29" s="62">
        <f t="shared" si="54"/>
        <v>0</v>
      </c>
      <c r="M29" s="62">
        <f t="shared" si="54"/>
        <v>0</v>
      </c>
      <c r="N29" s="62">
        <f t="shared" si="54"/>
        <v>0</v>
      </c>
      <c r="O29" s="62">
        <f t="shared" si="54"/>
        <v>0</v>
      </c>
      <c r="P29" s="62">
        <f t="shared" si="54"/>
        <v>0</v>
      </c>
      <c r="Q29" s="62">
        <f t="shared" si="54"/>
        <v>0</v>
      </c>
      <c r="R29" s="62">
        <f t="shared" si="54"/>
        <v>0</v>
      </c>
      <c r="S29" s="62">
        <f t="shared" si="54"/>
        <v>0</v>
      </c>
      <c r="T29" s="62">
        <f t="shared" si="54"/>
        <v>0</v>
      </c>
      <c r="U29" s="62">
        <f t="shared" si="54"/>
        <v>0</v>
      </c>
      <c r="V29" s="62">
        <f t="shared" si="54"/>
        <v>0</v>
      </c>
      <c r="W29" s="62">
        <f t="shared" si="54"/>
        <v>0</v>
      </c>
      <c r="X29" s="62">
        <f t="shared" si="54"/>
        <v>0</v>
      </c>
      <c r="Y29" s="62">
        <f t="shared" si="54"/>
        <v>0</v>
      </c>
      <c r="Z29" s="62">
        <f t="shared" si="54"/>
        <v>0</v>
      </c>
      <c r="AA29" s="62">
        <f t="shared" si="54"/>
        <v>0</v>
      </c>
      <c r="AB29" s="62">
        <f t="shared" si="54"/>
        <v>0</v>
      </c>
      <c r="AC29" s="62">
        <f t="shared" si="54"/>
        <v>1</v>
      </c>
      <c r="AD29" s="62">
        <f t="shared" si="54"/>
        <v>1</v>
      </c>
      <c r="AE29" s="62">
        <f t="shared" si="54"/>
        <v>1</v>
      </c>
      <c r="AF29" s="62">
        <f t="shared" si="54"/>
        <v>1</v>
      </c>
      <c r="AG29" s="62">
        <f t="shared" si="54"/>
        <v>1</v>
      </c>
      <c r="AH29" s="62">
        <f t="shared" si="54"/>
        <v>1</v>
      </c>
      <c r="AI29" s="62">
        <f t="shared" si="54"/>
        <v>1</v>
      </c>
      <c r="AJ29" s="62">
        <f t="shared" si="54"/>
        <v>0</v>
      </c>
      <c r="AK29" s="62">
        <f t="shared" si="54"/>
        <v>0</v>
      </c>
      <c r="AL29" s="62">
        <f t="shared" si="54"/>
        <v>0</v>
      </c>
      <c r="AM29" s="62">
        <f t="shared" si="54"/>
        <v>0</v>
      </c>
      <c r="AN29" s="62">
        <f t="shared" si="54"/>
        <v>1</v>
      </c>
      <c r="AO29" s="62">
        <f t="shared" si="54"/>
        <v>0</v>
      </c>
      <c r="AP29" s="62">
        <f t="shared" si="54"/>
        <v>1</v>
      </c>
      <c r="AQ29" s="62">
        <f t="shared" si="54"/>
        <v>1</v>
      </c>
      <c r="AR29" s="62">
        <f t="shared" si="54"/>
        <v>1</v>
      </c>
      <c r="AS29" s="62">
        <f t="shared" si="54"/>
        <v>1</v>
      </c>
      <c r="AT29" s="62">
        <f t="shared" si="54"/>
        <v>1</v>
      </c>
      <c r="AU29" s="62">
        <f t="shared" si="54"/>
        <v>1</v>
      </c>
      <c r="AW29" s="10">
        <f t="shared" si="45"/>
        <v>10</v>
      </c>
      <c r="AY29" s="10">
        <f t="shared" si="2"/>
        <v>15</v>
      </c>
      <c r="AZ29" s="50">
        <f t="shared" si="46"/>
        <v>25</v>
      </c>
      <c r="BB29" s="58"/>
      <c r="BC29" s="31"/>
      <c r="BD29" s="29">
        <v>13.86</v>
      </c>
      <c r="BE29" s="40"/>
      <c r="BF29" s="11"/>
      <c r="BG29" s="11"/>
      <c r="BI29" s="19">
        <f t="shared" si="47"/>
        <v>0</v>
      </c>
      <c r="BJ29" s="31">
        <f t="shared" si="48"/>
        <v>0</v>
      </c>
      <c r="BK29" s="29">
        <f t="shared" si="49"/>
        <v>346.5</v>
      </c>
      <c r="BL29" s="40">
        <f t="shared" si="50"/>
        <v>0</v>
      </c>
      <c r="BM29" s="11">
        <f t="shared" si="51"/>
        <v>0</v>
      </c>
      <c r="BN29" s="11">
        <f t="shared" si="52"/>
        <v>0</v>
      </c>
    </row>
    <row r="30" spans="1:66" ht="18">
      <c r="A30" s="37" t="s">
        <v>18</v>
      </c>
      <c r="C30" s="7"/>
      <c r="D30" s="7"/>
      <c r="E30" s="7"/>
      <c r="F30" s="7"/>
      <c r="G30" s="7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W30" s="61"/>
      <c r="AY30" s="8"/>
      <c r="AZ30" s="8"/>
      <c r="BB30" s="7"/>
      <c r="BC30" s="32"/>
      <c r="BD30" s="30"/>
      <c r="BE30" s="43"/>
      <c r="BF30" s="28"/>
      <c r="BG30" s="28"/>
      <c r="BI30" s="23"/>
      <c r="BJ30" s="23"/>
      <c r="BK30" s="23"/>
      <c r="BL30" s="25"/>
      <c r="BM30" s="25"/>
      <c r="BN30" s="12"/>
    </row>
    <row r="31" spans="1:66">
      <c r="A31" s="49" t="s">
        <v>92</v>
      </c>
      <c r="C31" s="22" t="s">
        <v>75</v>
      </c>
      <c r="D31" s="22">
        <v>60</v>
      </c>
      <c r="E31" s="22">
        <v>127</v>
      </c>
      <c r="F31" s="22"/>
      <c r="G31" s="22" t="s">
        <v>93</v>
      </c>
      <c r="H31" s="62">
        <f>IF(H27=1,2,1)</f>
        <v>1</v>
      </c>
      <c r="I31" s="62">
        <f t="shared" ref="I31:AU31" si="55">IF(I27=1,2,1)</f>
        <v>1</v>
      </c>
      <c r="J31" s="62">
        <f t="shared" si="55"/>
        <v>1</v>
      </c>
      <c r="K31" s="62">
        <f t="shared" si="55"/>
        <v>1</v>
      </c>
      <c r="L31" s="62">
        <f t="shared" si="55"/>
        <v>1</v>
      </c>
      <c r="M31" s="62">
        <f t="shared" si="55"/>
        <v>1</v>
      </c>
      <c r="N31" s="62">
        <f t="shared" si="55"/>
        <v>1</v>
      </c>
      <c r="O31" s="62">
        <f t="shared" si="55"/>
        <v>1</v>
      </c>
      <c r="P31" s="62">
        <f t="shared" si="55"/>
        <v>1</v>
      </c>
      <c r="Q31" s="62">
        <f t="shared" si="55"/>
        <v>1</v>
      </c>
      <c r="R31" s="62">
        <f t="shared" si="55"/>
        <v>1</v>
      </c>
      <c r="S31" s="62">
        <f t="shared" si="55"/>
        <v>1</v>
      </c>
      <c r="T31" s="62">
        <f t="shared" si="55"/>
        <v>1</v>
      </c>
      <c r="U31" s="62">
        <f t="shared" si="55"/>
        <v>1</v>
      </c>
      <c r="V31" s="62">
        <f t="shared" si="55"/>
        <v>1</v>
      </c>
      <c r="W31" s="62">
        <f t="shared" si="55"/>
        <v>1</v>
      </c>
      <c r="X31" s="62">
        <f t="shared" si="55"/>
        <v>1</v>
      </c>
      <c r="Y31" s="62">
        <f t="shared" si="55"/>
        <v>1</v>
      </c>
      <c r="Z31" s="62">
        <f t="shared" si="55"/>
        <v>1</v>
      </c>
      <c r="AA31" s="62">
        <f t="shared" si="55"/>
        <v>1</v>
      </c>
      <c r="AB31" s="62">
        <f t="shared" si="55"/>
        <v>1</v>
      </c>
      <c r="AC31" s="62">
        <f t="shared" si="55"/>
        <v>2</v>
      </c>
      <c r="AD31" s="62">
        <f t="shared" si="55"/>
        <v>2</v>
      </c>
      <c r="AE31" s="62">
        <f t="shared" si="55"/>
        <v>2</v>
      </c>
      <c r="AF31" s="62">
        <f t="shared" si="55"/>
        <v>2</v>
      </c>
      <c r="AG31" s="62">
        <f t="shared" si="55"/>
        <v>2</v>
      </c>
      <c r="AH31" s="62">
        <f t="shared" si="55"/>
        <v>2</v>
      </c>
      <c r="AI31" s="62">
        <f t="shared" si="55"/>
        <v>2</v>
      </c>
      <c r="AJ31" s="62">
        <f t="shared" si="55"/>
        <v>1</v>
      </c>
      <c r="AK31" s="62">
        <f t="shared" si="55"/>
        <v>1</v>
      </c>
      <c r="AL31" s="62">
        <f t="shared" si="55"/>
        <v>1</v>
      </c>
      <c r="AM31" s="62">
        <f t="shared" si="55"/>
        <v>1</v>
      </c>
      <c r="AN31" s="62">
        <f t="shared" si="55"/>
        <v>2</v>
      </c>
      <c r="AO31" s="62">
        <f t="shared" si="55"/>
        <v>1</v>
      </c>
      <c r="AP31" s="62">
        <f t="shared" si="55"/>
        <v>2</v>
      </c>
      <c r="AQ31" s="62">
        <f t="shared" si="55"/>
        <v>2</v>
      </c>
      <c r="AR31" s="62">
        <f t="shared" si="55"/>
        <v>2</v>
      </c>
      <c r="AS31" s="62">
        <f t="shared" si="55"/>
        <v>2</v>
      </c>
      <c r="AT31" s="62">
        <f t="shared" si="55"/>
        <v>2</v>
      </c>
      <c r="AU31" s="62">
        <f t="shared" si="55"/>
        <v>2</v>
      </c>
      <c r="AW31" s="10">
        <f t="shared" si="12"/>
        <v>20</v>
      </c>
      <c r="AY31" s="10">
        <f t="shared" si="2"/>
        <v>292</v>
      </c>
      <c r="AZ31" s="50">
        <f t="shared" si="11"/>
        <v>312</v>
      </c>
      <c r="BB31" s="58"/>
      <c r="BC31" s="31"/>
      <c r="BD31" s="29">
        <v>160</v>
      </c>
      <c r="BE31" s="40"/>
      <c r="BF31" s="11"/>
      <c r="BG31" s="11"/>
      <c r="BI31" s="19">
        <f t="shared" ref="BI31:BI32" si="56">$BB31*$AZ31</f>
        <v>0</v>
      </c>
      <c r="BJ31" s="31">
        <f t="shared" ref="BJ31:BJ32" si="57">$BC31*$AZ31</f>
        <v>0</v>
      </c>
      <c r="BK31" s="29">
        <f t="shared" ref="BK31:BK32" si="58">$BD31*$AZ31</f>
        <v>49920</v>
      </c>
      <c r="BL31" s="40">
        <f t="shared" ref="BL31:BL32" si="59">$BE31*$AZ31</f>
        <v>0</v>
      </c>
      <c r="BM31" s="11">
        <f t="shared" ref="BM31:BM32" si="60">$BF31*$AZ31</f>
        <v>0</v>
      </c>
      <c r="BN31" s="11">
        <f t="shared" ref="BN31:BN32" si="61">$BG31*$AZ31</f>
        <v>0</v>
      </c>
    </row>
    <row r="32" spans="1:66">
      <c r="A32" s="49" t="s">
        <v>94</v>
      </c>
      <c r="C32" s="22" t="s">
        <v>75</v>
      </c>
      <c r="D32" s="22"/>
      <c r="E32" s="22"/>
      <c r="F32" s="22"/>
      <c r="G32" s="22" t="s">
        <v>95</v>
      </c>
      <c r="H32" s="62">
        <f>H31*2</f>
        <v>2</v>
      </c>
      <c r="I32" s="62">
        <f t="shared" ref="I32:AU32" si="62">I31*2</f>
        <v>2</v>
      </c>
      <c r="J32" s="62">
        <f t="shared" si="62"/>
        <v>2</v>
      </c>
      <c r="K32" s="62">
        <f t="shared" si="62"/>
        <v>2</v>
      </c>
      <c r="L32" s="62">
        <f t="shared" si="62"/>
        <v>2</v>
      </c>
      <c r="M32" s="62">
        <f t="shared" si="62"/>
        <v>2</v>
      </c>
      <c r="N32" s="62">
        <f t="shared" si="62"/>
        <v>2</v>
      </c>
      <c r="O32" s="62">
        <f t="shared" si="62"/>
        <v>2</v>
      </c>
      <c r="P32" s="62">
        <f t="shared" si="62"/>
        <v>2</v>
      </c>
      <c r="Q32" s="62">
        <f t="shared" si="62"/>
        <v>2</v>
      </c>
      <c r="R32" s="62">
        <f t="shared" si="62"/>
        <v>2</v>
      </c>
      <c r="S32" s="62">
        <f t="shared" si="62"/>
        <v>2</v>
      </c>
      <c r="T32" s="62">
        <f t="shared" si="62"/>
        <v>2</v>
      </c>
      <c r="U32" s="62">
        <f t="shared" si="62"/>
        <v>2</v>
      </c>
      <c r="V32" s="62">
        <f t="shared" si="62"/>
        <v>2</v>
      </c>
      <c r="W32" s="62">
        <f t="shared" si="62"/>
        <v>2</v>
      </c>
      <c r="X32" s="62">
        <f t="shared" si="62"/>
        <v>2</v>
      </c>
      <c r="Y32" s="62">
        <f t="shared" si="62"/>
        <v>2</v>
      </c>
      <c r="Z32" s="62">
        <f t="shared" si="62"/>
        <v>2</v>
      </c>
      <c r="AA32" s="62">
        <f t="shared" si="62"/>
        <v>2</v>
      </c>
      <c r="AB32" s="62">
        <f t="shared" si="62"/>
        <v>2</v>
      </c>
      <c r="AC32" s="62">
        <f t="shared" si="62"/>
        <v>4</v>
      </c>
      <c r="AD32" s="62">
        <f t="shared" si="62"/>
        <v>4</v>
      </c>
      <c r="AE32" s="62">
        <f t="shared" si="62"/>
        <v>4</v>
      </c>
      <c r="AF32" s="62">
        <f t="shared" si="62"/>
        <v>4</v>
      </c>
      <c r="AG32" s="62">
        <f t="shared" si="62"/>
        <v>4</v>
      </c>
      <c r="AH32" s="62">
        <f t="shared" si="62"/>
        <v>4</v>
      </c>
      <c r="AI32" s="62">
        <f t="shared" si="62"/>
        <v>4</v>
      </c>
      <c r="AJ32" s="62">
        <f t="shared" si="62"/>
        <v>2</v>
      </c>
      <c r="AK32" s="62">
        <f t="shared" si="62"/>
        <v>2</v>
      </c>
      <c r="AL32" s="62">
        <f t="shared" ref="AL32:AS32" si="63">AL31*2</f>
        <v>2</v>
      </c>
      <c r="AM32" s="62">
        <f t="shared" si="63"/>
        <v>2</v>
      </c>
      <c r="AN32" s="62">
        <f t="shared" si="63"/>
        <v>4</v>
      </c>
      <c r="AO32" s="62">
        <f t="shared" si="63"/>
        <v>2</v>
      </c>
      <c r="AP32" s="62">
        <f t="shared" si="63"/>
        <v>4</v>
      </c>
      <c r="AQ32" s="62">
        <f t="shared" ref="AQ32" si="64">AQ31*2</f>
        <v>4</v>
      </c>
      <c r="AR32" s="62">
        <f t="shared" si="63"/>
        <v>4</v>
      </c>
      <c r="AS32" s="62">
        <f t="shared" si="63"/>
        <v>4</v>
      </c>
      <c r="AT32" s="62">
        <f t="shared" si="62"/>
        <v>4</v>
      </c>
      <c r="AU32" s="62">
        <f t="shared" si="62"/>
        <v>4</v>
      </c>
      <c r="AW32" s="10">
        <f t="shared" si="12"/>
        <v>40</v>
      </c>
      <c r="AY32" s="10">
        <f t="shared" si="2"/>
        <v>584</v>
      </c>
      <c r="AZ32" s="50">
        <f t="shared" si="11"/>
        <v>624</v>
      </c>
      <c r="BB32" s="58"/>
      <c r="BC32" s="31"/>
      <c r="BD32" s="29">
        <v>650</v>
      </c>
      <c r="BE32" s="40"/>
      <c r="BF32" s="11"/>
      <c r="BG32" s="11"/>
      <c r="BI32" s="19">
        <f t="shared" si="56"/>
        <v>0</v>
      </c>
      <c r="BJ32" s="31">
        <f t="shared" si="57"/>
        <v>0</v>
      </c>
      <c r="BK32" s="29">
        <f t="shared" si="58"/>
        <v>405600</v>
      </c>
      <c r="BL32" s="40">
        <f t="shared" si="59"/>
        <v>0</v>
      </c>
      <c r="BM32" s="11">
        <f t="shared" si="60"/>
        <v>0</v>
      </c>
      <c r="BN32" s="11">
        <f t="shared" si="61"/>
        <v>0</v>
      </c>
    </row>
    <row r="33" spans="1:89">
      <c r="A33" s="51"/>
      <c r="C33" s="53"/>
      <c r="D33" s="53"/>
      <c r="E33" s="53"/>
      <c r="F33" s="53"/>
      <c r="G33" s="5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17"/>
      <c r="AU33" s="17"/>
      <c r="AW33" s="17"/>
      <c r="BB33" s="3"/>
      <c r="BC33" s="54"/>
      <c r="BD33" s="54"/>
      <c r="BF33" s="55"/>
      <c r="BG33" s="55"/>
      <c r="BI33" s="3"/>
      <c r="BJ33" s="56"/>
      <c r="BK33" s="57"/>
      <c r="BL33" s="4"/>
      <c r="BM33" s="55"/>
      <c r="BN33" s="55"/>
    </row>
    <row r="34" spans="1:89" s="1" customFormat="1" ht="18">
      <c r="A34" s="37" t="s">
        <v>19</v>
      </c>
      <c r="B34"/>
      <c r="C34" s="16"/>
      <c r="D34" s="16"/>
      <c r="E34" s="16"/>
      <c r="F34" s="16"/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W34" s="52"/>
      <c r="AX34" s="17"/>
      <c r="AY34" s="17"/>
      <c r="AZ34" s="17"/>
      <c r="BA34"/>
      <c r="BB34" s="3"/>
      <c r="BC34" s="3"/>
      <c r="BD34" s="3"/>
      <c r="BE34" s="4"/>
      <c r="BF34" s="3"/>
      <c r="BG34" s="3"/>
      <c r="BI34" s="38">
        <f t="shared" ref="BI34:BN34" si="65">SUBTOTAL(9,BI35:BI68)</f>
        <v>0</v>
      </c>
      <c r="BJ34" s="38">
        <f t="shared" si="65"/>
        <v>98963.61</v>
      </c>
      <c r="BK34" s="39">
        <f t="shared" si="65"/>
        <v>325097.83666666655</v>
      </c>
      <c r="BL34" s="39">
        <f t="shared" si="65"/>
        <v>0</v>
      </c>
      <c r="BM34" s="44">
        <f t="shared" si="65"/>
        <v>0</v>
      </c>
      <c r="BN34" s="44">
        <f t="shared" si="65"/>
        <v>0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>
      <c r="A35" s="49" t="s">
        <v>21</v>
      </c>
      <c r="C35" s="47" t="s">
        <v>20</v>
      </c>
      <c r="D35" s="47">
        <v>6</v>
      </c>
      <c r="E35" s="47">
        <v>94</v>
      </c>
      <c r="F35" s="47">
        <v>10</v>
      </c>
      <c r="G35" s="47" t="s">
        <v>22</v>
      </c>
      <c r="H35" s="62">
        <f t="shared" ref="H35:AU35" si="66">(H13*8)+(H14*16)</f>
        <v>8</v>
      </c>
      <c r="I35" s="62">
        <f t="shared" si="66"/>
        <v>16</v>
      </c>
      <c r="J35" s="62">
        <f t="shared" si="66"/>
        <v>8</v>
      </c>
      <c r="K35" s="62">
        <f t="shared" si="66"/>
        <v>16</v>
      </c>
      <c r="L35" s="62">
        <f t="shared" si="66"/>
        <v>16</v>
      </c>
      <c r="M35" s="62">
        <f t="shared" si="66"/>
        <v>16</v>
      </c>
      <c r="N35" s="62">
        <f t="shared" si="66"/>
        <v>24</v>
      </c>
      <c r="O35" s="62">
        <f t="shared" si="66"/>
        <v>32</v>
      </c>
      <c r="P35" s="62">
        <f t="shared" si="66"/>
        <v>24</v>
      </c>
      <c r="Q35" s="62">
        <f t="shared" si="66"/>
        <v>24</v>
      </c>
      <c r="R35" s="62">
        <f t="shared" si="66"/>
        <v>24</v>
      </c>
      <c r="S35" s="62">
        <f t="shared" si="66"/>
        <v>24</v>
      </c>
      <c r="T35" s="62">
        <f t="shared" si="66"/>
        <v>32</v>
      </c>
      <c r="U35" s="62">
        <f t="shared" si="66"/>
        <v>24</v>
      </c>
      <c r="V35" s="62">
        <f t="shared" si="66"/>
        <v>24</v>
      </c>
      <c r="W35" s="62">
        <f t="shared" si="66"/>
        <v>32</v>
      </c>
      <c r="X35" s="62">
        <f t="shared" si="66"/>
        <v>40</v>
      </c>
      <c r="Y35" s="62">
        <f t="shared" si="66"/>
        <v>32</v>
      </c>
      <c r="Z35" s="62">
        <f t="shared" si="66"/>
        <v>32</v>
      </c>
      <c r="AA35" s="62">
        <f t="shared" si="66"/>
        <v>24</v>
      </c>
      <c r="AB35" s="62">
        <f t="shared" si="66"/>
        <v>32</v>
      </c>
      <c r="AC35" s="62">
        <f t="shared" si="66"/>
        <v>40</v>
      </c>
      <c r="AD35" s="62">
        <f t="shared" si="66"/>
        <v>48</v>
      </c>
      <c r="AE35" s="62">
        <f t="shared" si="66"/>
        <v>48</v>
      </c>
      <c r="AF35" s="62">
        <f t="shared" si="66"/>
        <v>48</v>
      </c>
      <c r="AG35" s="62">
        <f t="shared" si="66"/>
        <v>40</v>
      </c>
      <c r="AH35" s="62">
        <f t="shared" si="66"/>
        <v>56</v>
      </c>
      <c r="AI35" s="62">
        <f t="shared" si="66"/>
        <v>40</v>
      </c>
      <c r="AJ35" s="62">
        <f t="shared" si="66"/>
        <v>32</v>
      </c>
      <c r="AK35" s="62">
        <f t="shared" si="66"/>
        <v>32</v>
      </c>
      <c r="AL35" s="62">
        <f t="shared" si="66"/>
        <v>32</v>
      </c>
      <c r="AM35" s="62">
        <f t="shared" si="66"/>
        <v>40</v>
      </c>
      <c r="AN35" s="62">
        <f t="shared" si="66"/>
        <v>48</v>
      </c>
      <c r="AO35" s="62">
        <f t="shared" si="66"/>
        <v>40</v>
      </c>
      <c r="AP35" s="62">
        <f t="shared" si="66"/>
        <v>80</v>
      </c>
      <c r="AQ35" s="62">
        <f t="shared" si="66"/>
        <v>48</v>
      </c>
      <c r="AR35" s="62">
        <f t="shared" si="66"/>
        <v>64</v>
      </c>
      <c r="AS35" s="62">
        <f t="shared" si="66"/>
        <v>64</v>
      </c>
      <c r="AT35" s="62">
        <f t="shared" si="66"/>
        <v>72</v>
      </c>
      <c r="AU35" s="62">
        <f t="shared" si="66"/>
        <v>88</v>
      </c>
      <c r="AW35" s="10">
        <f t="shared" ref="AW35:AW68" si="67">AU35*$AU$5</f>
        <v>880</v>
      </c>
      <c r="AY35" s="10">
        <f t="shared" ref="AY35:AY68" si="68">SUMPRODUCT($H$5:$AT$5,H35:AT35)</f>
        <v>5656</v>
      </c>
      <c r="AZ35" s="50">
        <f t="shared" ref="AZ35:AZ68" si="69">AW35+AY35</f>
        <v>6536</v>
      </c>
      <c r="BB35" s="19"/>
      <c r="BC35" s="31"/>
      <c r="BD35" s="29">
        <v>3</v>
      </c>
      <c r="BE35" s="26"/>
      <c r="BF35" s="11"/>
      <c r="BG35" s="11"/>
      <c r="BI35" s="19">
        <f t="shared" ref="BI35:BI68" si="70">$BB35*$AZ35</f>
        <v>0</v>
      </c>
      <c r="BJ35" s="31">
        <f t="shared" ref="BJ35:BJ68" si="71">$BC35*$AZ35</f>
        <v>0</v>
      </c>
      <c r="BK35" s="29">
        <f t="shared" ref="BK35:BK68" si="72">$BD35*$AZ35</f>
        <v>19608</v>
      </c>
      <c r="BL35" s="40">
        <f t="shared" ref="BL35:BL68" si="73">$BE35*$AZ35</f>
        <v>0</v>
      </c>
      <c r="BM35" s="11">
        <f t="shared" ref="BM35:BM68" si="74">$BF35*$AZ35</f>
        <v>0</v>
      </c>
      <c r="BN35" s="11">
        <f t="shared" ref="BN35:BN68" si="75">$BG35*$AZ35</f>
        <v>0</v>
      </c>
    </row>
    <row r="36" spans="1:89">
      <c r="A36" s="49" t="s">
        <v>111</v>
      </c>
      <c r="C36" s="47" t="s">
        <v>20</v>
      </c>
      <c r="D36" s="59">
        <v>15</v>
      </c>
      <c r="E36" s="59">
        <v>86</v>
      </c>
      <c r="F36" s="59">
        <v>17</v>
      </c>
      <c r="G36" s="59" t="s">
        <v>110</v>
      </c>
      <c r="H36" s="62">
        <f t="shared" ref="H36:AU36" si="76">H15*8</f>
        <v>0</v>
      </c>
      <c r="I36" s="62">
        <f t="shared" si="76"/>
        <v>8</v>
      </c>
      <c r="J36" s="62">
        <f t="shared" si="76"/>
        <v>0</v>
      </c>
      <c r="K36" s="62">
        <f t="shared" si="76"/>
        <v>0</v>
      </c>
      <c r="L36" s="62">
        <f t="shared" si="76"/>
        <v>8</v>
      </c>
      <c r="M36" s="62">
        <f t="shared" si="76"/>
        <v>8</v>
      </c>
      <c r="N36" s="62">
        <f t="shared" si="76"/>
        <v>8</v>
      </c>
      <c r="O36" s="62">
        <f t="shared" si="76"/>
        <v>8</v>
      </c>
      <c r="P36" s="62">
        <f t="shared" si="76"/>
        <v>8</v>
      </c>
      <c r="Q36" s="62">
        <f t="shared" si="76"/>
        <v>8</v>
      </c>
      <c r="R36" s="62">
        <f t="shared" si="76"/>
        <v>8</v>
      </c>
      <c r="S36" s="62">
        <f t="shared" si="76"/>
        <v>8</v>
      </c>
      <c r="T36" s="62">
        <f t="shared" si="76"/>
        <v>8</v>
      </c>
      <c r="U36" s="62">
        <f t="shared" si="76"/>
        <v>8</v>
      </c>
      <c r="V36" s="62">
        <f t="shared" si="76"/>
        <v>8</v>
      </c>
      <c r="W36" s="62">
        <f t="shared" si="76"/>
        <v>8</v>
      </c>
      <c r="X36" s="62">
        <f t="shared" si="76"/>
        <v>8</v>
      </c>
      <c r="Y36" s="62">
        <f t="shared" si="76"/>
        <v>8</v>
      </c>
      <c r="Z36" s="62">
        <f t="shared" si="76"/>
        <v>8</v>
      </c>
      <c r="AA36" s="62">
        <f t="shared" si="76"/>
        <v>8</v>
      </c>
      <c r="AB36" s="62">
        <f t="shared" si="76"/>
        <v>8</v>
      </c>
      <c r="AC36" s="62">
        <f t="shared" si="76"/>
        <v>8</v>
      </c>
      <c r="AD36" s="62">
        <f t="shared" si="76"/>
        <v>8</v>
      </c>
      <c r="AE36" s="62">
        <f t="shared" si="76"/>
        <v>8</v>
      </c>
      <c r="AF36" s="62">
        <f t="shared" si="76"/>
        <v>16</v>
      </c>
      <c r="AG36" s="62">
        <f t="shared" si="76"/>
        <v>16</v>
      </c>
      <c r="AH36" s="62">
        <f t="shared" si="76"/>
        <v>8</v>
      </c>
      <c r="AI36" s="62">
        <f t="shared" si="76"/>
        <v>8</v>
      </c>
      <c r="AJ36" s="62">
        <f t="shared" si="76"/>
        <v>16</v>
      </c>
      <c r="AK36" s="62">
        <f t="shared" si="76"/>
        <v>16</v>
      </c>
      <c r="AL36" s="62">
        <f t="shared" si="76"/>
        <v>16</v>
      </c>
      <c r="AM36" s="62">
        <f t="shared" si="76"/>
        <v>16</v>
      </c>
      <c r="AN36" s="62">
        <f t="shared" si="76"/>
        <v>16</v>
      </c>
      <c r="AO36" s="62">
        <f t="shared" si="76"/>
        <v>16</v>
      </c>
      <c r="AP36" s="62">
        <f t="shared" si="76"/>
        <v>8</v>
      </c>
      <c r="AQ36" s="62">
        <f t="shared" si="76"/>
        <v>16</v>
      </c>
      <c r="AR36" s="62">
        <f t="shared" si="76"/>
        <v>16</v>
      </c>
      <c r="AS36" s="62">
        <f t="shared" si="76"/>
        <v>16</v>
      </c>
      <c r="AT36" s="62">
        <f t="shared" si="76"/>
        <v>24</v>
      </c>
      <c r="AU36" s="62">
        <f t="shared" si="76"/>
        <v>24</v>
      </c>
      <c r="AW36" s="10">
        <f t="shared" si="67"/>
        <v>240</v>
      </c>
      <c r="AY36" s="10">
        <f t="shared" si="68"/>
        <v>1896</v>
      </c>
      <c r="AZ36" s="50">
        <f t="shared" si="69"/>
        <v>2136</v>
      </c>
      <c r="BB36" s="19"/>
      <c r="BC36" s="31"/>
      <c r="BD36" s="29">
        <v>4</v>
      </c>
      <c r="BE36" s="26"/>
      <c r="BF36" s="11"/>
      <c r="BG36" s="11"/>
      <c r="BI36" s="19">
        <f t="shared" si="70"/>
        <v>0</v>
      </c>
      <c r="BJ36" s="31">
        <f t="shared" si="71"/>
        <v>0</v>
      </c>
      <c r="BK36" s="29">
        <f t="shared" si="72"/>
        <v>8544</v>
      </c>
      <c r="BL36" s="40">
        <f t="shared" si="73"/>
        <v>0</v>
      </c>
      <c r="BM36" s="11">
        <f t="shared" si="74"/>
        <v>0</v>
      </c>
      <c r="BN36" s="11">
        <f t="shared" si="75"/>
        <v>0</v>
      </c>
    </row>
    <row r="37" spans="1:89">
      <c r="A37" s="49" t="s">
        <v>23</v>
      </c>
      <c r="C37" s="47" t="s">
        <v>20</v>
      </c>
      <c r="D37" s="59">
        <v>10</v>
      </c>
      <c r="E37" s="59">
        <v>67.8</v>
      </c>
      <c r="F37" s="59"/>
      <c r="G37" s="59" t="s">
        <v>24</v>
      </c>
      <c r="H37" s="62">
        <f t="shared" ref="H37:AU37" si="77">2+H24*4</f>
        <v>2</v>
      </c>
      <c r="I37" s="62">
        <f t="shared" si="77"/>
        <v>6</v>
      </c>
      <c r="J37" s="62">
        <f t="shared" si="77"/>
        <v>2</v>
      </c>
      <c r="K37" s="62">
        <f t="shared" si="77"/>
        <v>2</v>
      </c>
      <c r="L37" s="62">
        <f t="shared" si="77"/>
        <v>6</v>
      </c>
      <c r="M37" s="62">
        <f t="shared" si="77"/>
        <v>6</v>
      </c>
      <c r="N37" s="62">
        <f t="shared" si="77"/>
        <v>10</v>
      </c>
      <c r="O37" s="62">
        <f t="shared" si="77"/>
        <v>10</v>
      </c>
      <c r="P37" s="62">
        <f t="shared" si="77"/>
        <v>10</v>
      </c>
      <c r="Q37" s="62">
        <f t="shared" si="77"/>
        <v>10</v>
      </c>
      <c r="R37" s="62">
        <f t="shared" si="77"/>
        <v>10</v>
      </c>
      <c r="S37" s="62">
        <f t="shared" si="77"/>
        <v>6</v>
      </c>
      <c r="T37" s="62">
        <f t="shared" si="77"/>
        <v>10</v>
      </c>
      <c r="U37" s="62">
        <f t="shared" si="77"/>
        <v>10</v>
      </c>
      <c r="V37" s="62">
        <f t="shared" si="77"/>
        <v>2</v>
      </c>
      <c r="W37" s="62">
        <f t="shared" si="77"/>
        <v>14</v>
      </c>
      <c r="X37" s="62">
        <f t="shared" si="77"/>
        <v>14</v>
      </c>
      <c r="Y37" s="62">
        <f t="shared" si="77"/>
        <v>10</v>
      </c>
      <c r="Z37" s="62">
        <f t="shared" si="77"/>
        <v>14</v>
      </c>
      <c r="AA37" s="62">
        <f t="shared" si="77"/>
        <v>2</v>
      </c>
      <c r="AB37" s="62">
        <f t="shared" si="77"/>
        <v>6</v>
      </c>
      <c r="AC37" s="62">
        <f t="shared" si="77"/>
        <v>14</v>
      </c>
      <c r="AD37" s="62">
        <f t="shared" si="77"/>
        <v>18</v>
      </c>
      <c r="AE37" s="62">
        <f t="shared" si="77"/>
        <v>18</v>
      </c>
      <c r="AF37" s="62">
        <f t="shared" si="77"/>
        <v>18</v>
      </c>
      <c r="AG37" s="62">
        <f t="shared" si="77"/>
        <v>10</v>
      </c>
      <c r="AH37" s="62">
        <f t="shared" si="77"/>
        <v>22</v>
      </c>
      <c r="AI37" s="62">
        <f t="shared" si="77"/>
        <v>10</v>
      </c>
      <c r="AJ37" s="62">
        <f t="shared" si="77"/>
        <v>2</v>
      </c>
      <c r="AK37" s="62">
        <f t="shared" si="77"/>
        <v>2</v>
      </c>
      <c r="AL37" s="62">
        <f t="shared" si="77"/>
        <v>2</v>
      </c>
      <c r="AM37" s="62">
        <f t="shared" si="77"/>
        <v>2</v>
      </c>
      <c r="AN37" s="62">
        <f t="shared" si="77"/>
        <v>6</v>
      </c>
      <c r="AO37" s="62">
        <f t="shared" si="77"/>
        <v>2</v>
      </c>
      <c r="AP37" s="62">
        <f t="shared" si="77"/>
        <v>26</v>
      </c>
      <c r="AQ37" s="62">
        <f t="shared" si="77"/>
        <v>2</v>
      </c>
      <c r="AR37" s="62">
        <f t="shared" si="77"/>
        <v>10</v>
      </c>
      <c r="AS37" s="62">
        <f t="shared" si="77"/>
        <v>2</v>
      </c>
      <c r="AT37" s="62">
        <f t="shared" si="77"/>
        <v>2</v>
      </c>
      <c r="AU37" s="62">
        <f t="shared" si="77"/>
        <v>26</v>
      </c>
      <c r="AW37" s="10">
        <f t="shared" si="67"/>
        <v>260</v>
      </c>
      <c r="AY37" s="10">
        <f t="shared" si="68"/>
        <v>1714</v>
      </c>
      <c r="AZ37" s="50">
        <f t="shared" si="69"/>
        <v>1974</v>
      </c>
      <c r="BB37" s="19"/>
      <c r="BC37" s="31"/>
      <c r="BD37" s="29">
        <v>1.9</v>
      </c>
      <c r="BE37" s="26"/>
      <c r="BF37" s="11"/>
      <c r="BG37" s="11"/>
      <c r="BI37" s="19">
        <f t="shared" si="70"/>
        <v>0</v>
      </c>
      <c r="BJ37" s="31">
        <f t="shared" si="71"/>
        <v>0</v>
      </c>
      <c r="BK37" s="29">
        <f t="shared" si="72"/>
        <v>3750.6</v>
      </c>
      <c r="BL37" s="40">
        <f t="shared" si="73"/>
        <v>0</v>
      </c>
      <c r="BM37" s="11">
        <f t="shared" si="74"/>
        <v>0</v>
      </c>
      <c r="BN37" s="11">
        <f t="shared" si="75"/>
        <v>0</v>
      </c>
    </row>
    <row r="38" spans="1:89">
      <c r="A38" s="49" t="s">
        <v>25</v>
      </c>
      <c r="C38" s="47" t="s">
        <v>20</v>
      </c>
      <c r="D38" s="59">
        <v>10</v>
      </c>
      <c r="E38" s="59">
        <v>67.8</v>
      </c>
      <c r="F38" s="59"/>
      <c r="G38" s="59" t="s">
        <v>26</v>
      </c>
      <c r="H38" s="62">
        <v>1</v>
      </c>
      <c r="I38" s="62">
        <v>1</v>
      </c>
      <c r="J38" s="62">
        <v>1</v>
      </c>
      <c r="K38" s="62">
        <v>1</v>
      </c>
      <c r="L38" s="62">
        <v>1</v>
      </c>
      <c r="M38" s="62">
        <v>1</v>
      </c>
      <c r="N38" s="62">
        <v>1</v>
      </c>
      <c r="O38" s="62">
        <v>1</v>
      </c>
      <c r="P38" s="62">
        <v>1</v>
      </c>
      <c r="Q38" s="62">
        <v>1</v>
      </c>
      <c r="R38" s="62">
        <v>1</v>
      </c>
      <c r="S38" s="62">
        <v>1</v>
      </c>
      <c r="T38" s="62">
        <v>1</v>
      </c>
      <c r="U38" s="62">
        <v>1</v>
      </c>
      <c r="V38" s="62">
        <v>1</v>
      </c>
      <c r="W38" s="62">
        <v>1</v>
      </c>
      <c r="X38" s="62">
        <v>1</v>
      </c>
      <c r="Y38" s="62">
        <v>1</v>
      </c>
      <c r="Z38" s="62">
        <v>1</v>
      </c>
      <c r="AA38" s="62">
        <v>1</v>
      </c>
      <c r="AB38" s="62">
        <v>1</v>
      </c>
      <c r="AC38" s="62">
        <v>1</v>
      </c>
      <c r="AD38" s="62">
        <v>1</v>
      </c>
      <c r="AE38" s="62">
        <v>1</v>
      </c>
      <c r="AF38" s="62">
        <v>1</v>
      </c>
      <c r="AG38" s="62">
        <v>1</v>
      </c>
      <c r="AH38" s="62">
        <v>1</v>
      </c>
      <c r="AI38" s="62">
        <v>1</v>
      </c>
      <c r="AJ38" s="62">
        <v>1</v>
      </c>
      <c r="AK38" s="62">
        <v>1</v>
      </c>
      <c r="AL38" s="62">
        <v>1</v>
      </c>
      <c r="AM38" s="62">
        <v>1</v>
      </c>
      <c r="AN38" s="62">
        <v>1</v>
      </c>
      <c r="AO38" s="62">
        <v>1</v>
      </c>
      <c r="AP38" s="62">
        <v>1</v>
      </c>
      <c r="AQ38" s="62">
        <v>1</v>
      </c>
      <c r="AR38" s="62">
        <v>1</v>
      </c>
      <c r="AS38" s="62">
        <v>1</v>
      </c>
      <c r="AT38" s="62">
        <v>1</v>
      </c>
      <c r="AU38" s="62">
        <v>1</v>
      </c>
      <c r="AW38" s="10">
        <f t="shared" si="67"/>
        <v>10</v>
      </c>
      <c r="AY38" s="10">
        <f t="shared" si="68"/>
        <v>277</v>
      </c>
      <c r="AZ38" s="50">
        <f t="shared" si="69"/>
        <v>287</v>
      </c>
      <c r="BB38" s="19"/>
      <c r="BC38" s="31"/>
      <c r="BD38" s="29">
        <v>3.5</v>
      </c>
      <c r="BE38" s="26"/>
      <c r="BF38" s="11"/>
      <c r="BG38" s="11"/>
      <c r="BI38" s="19">
        <f t="shared" si="70"/>
        <v>0</v>
      </c>
      <c r="BJ38" s="31">
        <f t="shared" si="71"/>
        <v>0</v>
      </c>
      <c r="BK38" s="29">
        <f t="shared" si="72"/>
        <v>1004.5</v>
      </c>
      <c r="BL38" s="40">
        <f t="shared" si="73"/>
        <v>0</v>
      </c>
      <c r="BM38" s="11">
        <f t="shared" si="74"/>
        <v>0</v>
      </c>
      <c r="BN38" s="11">
        <f t="shared" si="75"/>
        <v>0</v>
      </c>
    </row>
    <row r="39" spans="1:89">
      <c r="A39" s="49" t="s">
        <v>180</v>
      </c>
      <c r="C39" s="47" t="s">
        <v>20</v>
      </c>
      <c r="D39" s="59">
        <v>5.2</v>
      </c>
      <c r="E39" s="59">
        <v>69.7</v>
      </c>
      <c r="F39" s="59"/>
      <c r="G39" s="59" t="s">
        <v>109</v>
      </c>
      <c r="H39" s="62">
        <f t="shared" ref="H39:AU39" si="78">H13*8+H14*16+H15*8+H24*4</f>
        <v>8</v>
      </c>
      <c r="I39" s="62">
        <f t="shared" si="78"/>
        <v>28</v>
      </c>
      <c r="J39" s="62">
        <f t="shared" si="78"/>
        <v>8</v>
      </c>
      <c r="K39" s="62">
        <f t="shared" si="78"/>
        <v>16</v>
      </c>
      <c r="L39" s="62">
        <f t="shared" si="78"/>
        <v>28</v>
      </c>
      <c r="M39" s="62">
        <f t="shared" si="78"/>
        <v>28</v>
      </c>
      <c r="N39" s="62">
        <f t="shared" si="78"/>
        <v>40</v>
      </c>
      <c r="O39" s="62">
        <f t="shared" si="78"/>
        <v>48</v>
      </c>
      <c r="P39" s="62">
        <f t="shared" si="78"/>
        <v>40</v>
      </c>
      <c r="Q39" s="62">
        <f t="shared" si="78"/>
        <v>40</v>
      </c>
      <c r="R39" s="62">
        <f t="shared" si="78"/>
        <v>40</v>
      </c>
      <c r="S39" s="62">
        <f t="shared" si="78"/>
        <v>36</v>
      </c>
      <c r="T39" s="62">
        <f t="shared" si="78"/>
        <v>48</v>
      </c>
      <c r="U39" s="62">
        <f t="shared" si="78"/>
        <v>40</v>
      </c>
      <c r="V39" s="62">
        <f t="shared" si="78"/>
        <v>32</v>
      </c>
      <c r="W39" s="62">
        <f t="shared" si="78"/>
        <v>52</v>
      </c>
      <c r="X39" s="62">
        <f t="shared" si="78"/>
        <v>60</v>
      </c>
      <c r="Y39" s="62">
        <f t="shared" si="78"/>
        <v>48</v>
      </c>
      <c r="Z39" s="62">
        <f t="shared" si="78"/>
        <v>52</v>
      </c>
      <c r="AA39" s="62">
        <f t="shared" si="78"/>
        <v>32</v>
      </c>
      <c r="AB39" s="62">
        <f t="shared" si="78"/>
        <v>44</v>
      </c>
      <c r="AC39" s="62">
        <f t="shared" si="78"/>
        <v>60</v>
      </c>
      <c r="AD39" s="62">
        <f t="shared" si="78"/>
        <v>72</v>
      </c>
      <c r="AE39" s="62">
        <f t="shared" si="78"/>
        <v>72</v>
      </c>
      <c r="AF39" s="62">
        <f t="shared" si="78"/>
        <v>80</v>
      </c>
      <c r="AG39" s="62">
        <f t="shared" si="78"/>
        <v>64</v>
      </c>
      <c r="AH39" s="62">
        <f t="shared" si="78"/>
        <v>84</v>
      </c>
      <c r="AI39" s="62">
        <f t="shared" si="78"/>
        <v>56</v>
      </c>
      <c r="AJ39" s="62">
        <f t="shared" si="78"/>
        <v>48</v>
      </c>
      <c r="AK39" s="62">
        <f t="shared" si="78"/>
        <v>48</v>
      </c>
      <c r="AL39" s="62">
        <f t="shared" si="78"/>
        <v>48</v>
      </c>
      <c r="AM39" s="62">
        <f t="shared" si="78"/>
        <v>56</v>
      </c>
      <c r="AN39" s="62">
        <f t="shared" si="78"/>
        <v>68</v>
      </c>
      <c r="AO39" s="62">
        <f t="shared" si="78"/>
        <v>56</v>
      </c>
      <c r="AP39" s="62">
        <f t="shared" si="78"/>
        <v>112</v>
      </c>
      <c r="AQ39" s="62">
        <f t="shared" si="78"/>
        <v>64</v>
      </c>
      <c r="AR39" s="62">
        <f t="shared" si="78"/>
        <v>88</v>
      </c>
      <c r="AS39" s="62">
        <f t="shared" si="78"/>
        <v>80</v>
      </c>
      <c r="AT39" s="62">
        <f t="shared" si="78"/>
        <v>96</v>
      </c>
      <c r="AU39" s="62">
        <f t="shared" si="78"/>
        <v>136</v>
      </c>
      <c r="AW39" s="10">
        <f t="shared" ref="AW39" si="79">AU39*$AU$5</f>
        <v>1360</v>
      </c>
      <c r="AY39" s="10">
        <f t="shared" si="68"/>
        <v>8712</v>
      </c>
      <c r="AZ39" s="50">
        <f t="shared" si="69"/>
        <v>10072</v>
      </c>
      <c r="BB39" s="19"/>
      <c r="BC39" s="31"/>
      <c r="BD39" s="29">
        <v>0.5</v>
      </c>
      <c r="BE39" s="26"/>
      <c r="BF39" s="11"/>
      <c r="BG39" s="11"/>
      <c r="BI39" s="19">
        <f t="shared" si="70"/>
        <v>0</v>
      </c>
      <c r="BJ39" s="31">
        <f t="shared" si="71"/>
        <v>0</v>
      </c>
      <c r="BK39" s="29">
        <f t="shared" si="72"/>
        <v>5036</v>
      </c>
      <c r="BL39" s="40">
        <f t="shared" si="73"/>
        <v>0</v>
      </c>
      <c r="BM39" s="11">
        <f t="shared" si="74"/>
        <v>0</v>
      </c>
      <c r="BN39" s="11">
        <f t="shared" si="75"/>
        <v>0</v>
      </c>
    </row>
    <row r="40" spans="1:89">
      <c r="A40" s="49" t="s">
        <v>27</v>
      </c>
      <c r="C40" s="47" t="s">
        <v>20</v>
      </c>
      <c r="D40" s="59">
        <v>5.2</v>
      </c>
      <c r="E40" s="59">
        <v>48.5</v>
      </c>
      <c r="F40" s="59"/>
      <c r="G40" s="59" t="s">
        <v>28</v>
      </c>
      <c r="H40" s="62">
        <f t="shared" ref="H40:AU40" si="80">CEILING((H13+H14+H15+H16+H19+H22+H31+H8)/2,1)+(H13+H14+H10)+H32</f>
        <v>6</v>
      </c>
      <c r="I40" s="62">
        <f t="shared" si="80"/>
        <v>6</v>
      </c>
      <c r="J40" s="62">
        <f t="shared" si="80"/>
        <v>6</v>
      </c>
      <c r="K40" s="62">
        <f t="shared" si="80"/>
        <v>6</v>
      </c>
      <c r="L40" s="62">
        <f t="shared" si="80"/>
        <v>8</v>
      </c>
      <c r="M40" s="62">
        <f t="shared" si="80"/>
        <v>7</v>
      </c>
      <c r="N40" s="62">
        <f t="shared" si="80"/>
        <v>8</v>
      </c>
      <c r="O40" s="62">
        <f t="shared" si="80"/>
        <v>9</v>
      </c>
      <c r="P40" s="62">
        <f t="shared" si="80"/>
        <v>9</v>
      </c>
      <c r="Q40" s="62">
        <f t="shared" si="80"/>
        <v>10</v>
      </c>
      <c r="R40" s="62">
        <f t="shared" si="80"/>
        <v>10</v>
      </c>
      <c r="S40" s="62">
        <f t="shared" si="80"/>
        <v>10</v>
      </c>
      <c r="T40" s="62">
        <f t="shared" si="80"/>
        <v>10</v>
      </c>
      <c r="U40" s="62">
        <f t="shared" si="80"/>
        <v>9</v>
      </c>
      <c r="V40" s="62">
        <f t="shared" si="80"/>
        <v>9</v>
      </c>
      <c r="W40" s="62">
        <f t="shared" si="80"/>
        <v>10</v>
      </c>
      <c r="X40" s="62">
        <f t="shared" si="80"/>
        <v>11</v>
      </c>
      <c r="Y40" s="62">
        <f t="shared" si="80"/>
        <v>10</v>
      </c>
      <c r="Z40" s="62">
        <f t="shared" si="80"/>
        <v>10</v>
      </c>
      <c r="AA40" s="62">
        <f t="shared" si="80"/>
        <v>10</v>
      </c>
      <c r="AB40" s="62">
        <f t="shared" si="80"/>
        <v>11</v>
      </c>
      <c r="AC40" s="62">
        <f t="shared" si="80"/>
        <v>14</v>
      </c>
      <c r="AD40" s="62">
        <f t="shared" si="80"/>
        <v>15</v>
      </c>
      <c r="AE40" s="62">
        <f t="shared" si="80"/>
        <v>15</v>
      </c>
      <c r="AF40" s="62">
        <f t="shared" si="80"/>
        <v>15</v>
      </c>
      <c r="AG40" s="62">
        <f t="shared" si="80"/>
        <v>15</v>
      </c>
      <c r="AH40" s="62">
        <f t="shared" si="80"/>
        <v>16</v>
      </c>
      <c r="AI40" s="62">
        <f t="shared" si="80"/>
        <v>16</v>
      </c>
      <c r="AJ40" s="62">
        <f t="shared" si="80"/>
        <v>11</v>
      </c>
      <c r="AK40" s="62">
        <f t="shared" si="80"/>
        <v>12</v>
      </c>
      <c r="AL40" s="62">
        <f t="shared" si="80"/>
        <v>12</v>
      </c>
      <c r="AM40" s="62">
        <f t="shared" si="80"/>
        <v>13</v>
      </c>
      <c r="AN40" s="62">
        <f t="shared" si="80"/>
        <v>17</v>
      </c>
      <c r="AO40" s="62">
        <f t="shared" si="80"/>
        <v>14</v>
      </c>
      <c r="AP40" s="62">
        <f t="shared" si="80"/>
        <v>19</v>
      </c>
      <c r="AQ40" s="62">
        <f t="shared" si="80"/>
        <v>17</v>
      </c>
      <c r="AR40" s="62">
        <f t="shared" si="80"/>
        <v>20</v>
      </c>
      <c r="AS40" s="62">
        <f t="shared" si="80"/>
        <v>20</v>
      </c>
      <c r="AT40" s="62">
        <f t="shared" si="80"/>
        <v>23</v>
      </c>
      <c r="AU40" s="62">
        <f t="shared" si="80"/>
        <v>25</v>
      </c>
      <c r="AW40" s="10">
        <f t="shared" si="67"/>
        <v>250</v>
      </c>
      <c r="AY40" s="10">
        <f t="shared" si="68"/>
        <v>2389</v>
      </c>
      <c r="AZ40" s="50">
        <f t="shared" si="69"/>
        <v>2639</v>
      </c>
      <c r="BB40" s="19"/>
      <c r="BC40" s="31"/>
      <c r="BD40" s="29">
        <v>0.18</v>
      </c>
      <c r="BE40" s="26"/>
      <c r="BF40" s="11"/>
      <c r="BG40" s="11"/>
      <c r="BI40" s="19">
        <f t="shared" si="70"/>
        <v>0</v>
      </c>
      <c r="BJ40" s="31">
        <f t="shared" si="71"/>
        <v>0</v>
      </c>
      <c r="BK40" s="29">
        <f t="shared" si="72"/>
        <v>475.02</v>
      </c>
      <c r="BL40" s="40">
        <f t="shared" si="73"/>
        <v>0</v>
      </c>
      <c r="BM40" s="11">
        <f t="shared" si="74"/>
        <v>0</v>
      </c>
      <c r="BN40" s="11">
        <f t="shared" si="75"/>
        <v>0</v>
      </c>
    </row>
    <row r="41" spans="1:89">
      <c r="A41" s="49" t="s">
        <v>164</v>
      </c>
      <c r="C41" s="47" t="s">
        <v>20</v>
      </c>
      <c r="D41" s="59">
        <v>5.2</v>
      </c>
      <c r="E41" s="59">
        <v>48.5</v>
      </c>
      <c r="F41" s="59"/>
      <c r="G41" s="59" t="s">
        <v>28</v>
      </c>
      <c r="H41" s="62">
        <f t="shared" ref="H41:AU41" si="81">H16*4+H10-H44</f>
        <v>4</v>
      </c>
      <c r="I41" s="62">
        <f t="shared" si="81"/>
        <v>4</v>
      </c>
      <c r="J41" s="62">
        <f t="shared" si="81"/>
        <v>8</v>
      </c>
      <c r="K41" s="62">
        <f t="shared" si="81"/>
        <v>8</v>
      </c>
      <c r="L41" s="62">
        <f t="shared" si="81"/>
        <v>9</v>
      </c>
      <c r="M41" s="62">
        <f t="shared" si="81"/>
        <v>8</v>
      </c>
      <c r="N41" s="62">
        <f t="shared" si="81"/>
        <v>8</v>
      </c>
      <c r="O41" s="62">
        <f t="shared" si="81"/>
        <v>9</v>
      </c>
      <c r="P41" s="62">
        <f t="shared" si="81"/>
        <v>9</v>
      </c>
      <c r="Q41" s="62">
        <f t="shared" si="81"/>
        <v>13</v>
      </c>
      <c r="R41" s="62">
        <f t="shared" si="81"/>
        <v>13</v>
      </c>
      <c r="S41" s="62">
        <f t="shared" si="81"/>
        <v>13</v>
      </c>
      <c r="T41" s="62">
        <f t="shared" si="81"/>
        <v>13</v>
      </c>
      <c r="U41" s="62">
        <f t="shared" si="81"/>
        <v>12</v>
      </c>
      <c r="V41" s="62">
        <f t="shared" si="81"/>
        <v>16</v>
      </c>
      <c r="W41" s="62">
        <f t="shared" si="81"/>
        <v>1</v>
      </c>
      <c r="X41" s="62">
        <f t="shared" si="81"/>
        <v>1</v>
      </c>
      <c r="Y41" s="62">
        <f t="shared" si="81"/>
        <v>1</v>
      </c>
      <c r="Z41" s="62">
        <f t="shared" si="81"/>
        <v>1</v>
      </c>
      <c r="AA41" s="62">
        <f t="shared" si="81"/>
        <v>20</v>
      </c>
      <c r="AB41" s="62">
        <f t="shared" si="81"/>
        <v>1</v>
      </c>
      <c r="AC41" s="62">
        <f t="shared" si="81"/>
        <v>17</v>
      </c>
      <c r="AD41" s="62">
        <f t="shared" si="81"/>
        <v>21</v>
      </c>
      <c r="AE41" s="62">
        <f t="shared" si="81"/>
        <v>21</v>
      </c>
      <c r="AF41" s="62">
        <f t="shared" si="81"/>
        <v>21</v>
      </c>
      <c r="AG41" s="62">
        <f t="shared" si="81"/>
        <v>21</v>
      </c>
      <c r="AH41" s="62">
        <f t="shared" si="81"/>
        <v>21</v>
      </c>
      <c r="AI41" s="62">
        <f t="shared" si="81"/>
        <v>29</v>
      </c>
      <c r="AJ41" s="62">
        <f t="shared" si="81"/>
        <v>0</v>
      </c>
      <c r="AK41" s="62">
        <f t="shared" si="81"/>
        <v>0</v>
      </c>
      <c r="AL41" s="62">
        <f t="shared" si="81"/>
        <v>0</v>
      </c>
      <c r="AM41" s="62">
        <f t="shared" si="81"/>
        <v>0</v>
      </c>
      <c r="AN41" s="62">
        <f t="shared" si="81"/>
        <v>33</v>
      </c>
      <c r="AO41" s="62">
        <f t="shared" si="81"/>
        <v>0</v>
      </c>
      <c r="AP41" s="62">
        <f t="shared" si="81"/>
        <v>33</v>
      </c>
      <c r="AQ41" s="62">
        <f t="shared" si="81"/>
        <v>40</v>
      </c>
      <c r="AR41" s="62">
        <f t="shared" si="81"/>
        <v>45</v>
      </c>
      <c r="AS41" s="62">
        <f t="shared" si="81"/>
        <v>52</v>
      </c>
      <c r="AT41" s="62">
        <f t="shared" si="81"/>
        <v>60</v>
      </c>
      <c r="AU41" s="62">
        <f t="shared" si="81"/>
        <v>61</v>
      </c>
      <c r="AW41" s="10">
        <f t="shared" ref="AW41" si="82">AU41*$AU$5</f>
        <v>610</v>
      </c>
      <c r="AY41" s="10">
        <f t="shared" si="68"/>
        <v>2648</v>
      </c>
      <c r="AZ41" s="50">
        <f t="shared" ref="AZ41" si="83">AW41+AY41</f>
        <v>3258</v>
      </c>
      <c r="BB41" s="19"/>
      <c r="BC41" s="31"/>
      <c r="BD41" s="29">
        <v>0.18</v>
      </c>
      <c r="BE41" s="26"/>
      <c r="BF41" s="11"/>
      <c r="BG41" s="11"/>
      <c r="BI41" s="19">
        <f t="shared" si="70"/>
        <v>0</v>
      </c>
      <c r="BJ41" s="31">
        <f t="shared" si="71"/>
        <v>0</v>
      </c>
      <c r="BK41" s="29">
        <f t="shared" si="72"/>
        <v>586.43999999999994</v>
      </c>
      <c r="BL41" s="40">
        <f t="shared" si="73"/>
        <v>0</v>
      </c>
      <c r="BM41" s="11">
        <f t="shared" si="74"/>
        <v>0</v>
      </c>
      <c r="BN41" s="11">
        <f t="shared" si="75"/>
        <v>0</v>
      </c>
    </row>
    <row r="42" spans="1:89">
      <c r="A42" s="49" t="s">
        <v>29</v>
      </c>
      <c r="C42" s="47" t="s">
        <v>20</v>
      </c>
      <c r="D42" s="59">
        <v>6.2</v>
      </c>
      <c r="E42" s="59">
        <v>66.099999999999994</v>
      </c>
      <c r="F42" s="59"/>
      <c r="G42" s="59" t="s">
        <v>30</v>
      </c>
      <c r="H42" s="62">
        <f t="shared" ref="H42:AU42" si="84">H31*2+H8+H13+H14+H13+H15+CEILING((H16/4),1)+H19+H22+H13+H14+H16+H32</f>
        <v>11</v>
      </c>
      <c r="I42" s="62">
        <f t="shared" si="84"/>
        <v>11</v>
      </c>
      <c r="J42" s="62">
        <f t="shared" si="84"/>
        <v>12</v>
      </c>
      <c r="K42" s="62">
        <f t="shared" si="84"/>
        <v>11</v>
      </c>
      <c r="L42" s="62">
        <f t="shared" si="84"/>
        <v>12</v>
      </c>
      <c r="M42" s="62">
        <f t="shared" si="84"/>
        <v>12</v>
      </c>
      <c r="N42" s="62">
        <f t="shared" si="84"/>
        <v>15</v>
      </c>
      <c r="O42" s="62">
        <f t="shared" si="84"/>
        <v>14</v>
      </c>
      <c r="P42" s="62">
        <f t="shared" si="84"/>
        <v>15</v>
      </c>
      <c r="Q42" s="62">
        <f t="shared" si="84"/>
        <v>16</v>
      </c>
      <c r="R42" s="62">
        <f t="shared" si="84"/>
        <v>16</v>
      </c>
      <c r="S42" s="62">
        <f t="shared" si="84"/>
        <v>16</v>
      </c>
      <c r="T42" s="62">
        <f t="shared" si="84"/>
        <v>15</v>
      </c>
      <c r="U42" s="62">
        <f t="shared" si="84"/>
        <v>16</v>
      </c>
      <c r="V42" s="62">
        <f t="shared" si="84"/>
        <v>17</v>
      </c>
      <c r="W42" s="62">
        <f t="shared" si="84"/>
        <v>16</v>
      </c>
      <c r="X42" s="62">
        <f t="shared" si="84"/>
        <v>18</v>
      </c>
      <c r="Y42" s="62">
        <f t="shared" si="84"/>
        <v>16</v>
      </c>
      <c r="Z42" s="62">
        <f t="shared" si="84"/>
        <v>16</v>
      </c>
      <c r="AA42" s="62">
        <f t="shared" si="84"/>
        <v>19</v>
      </c>
      <c r="AB42" s="62">
        <f t="shared" si="84"/>
        <v>18</v>
      </c>
      <c r="AC42" s="62">
        <f t="shared" si="84"/>
        <v>23</v>
      </c>
      <c r="AD42" s="62">
        <f t="shared" si="84"/>
        <v>24</v>
      </c>
      <c r="AE42" s="62">
        <f t="shared" si="84"/>
        <v>24</v>
      </c>
      <c r="AF42" s="62">
        <f t="shared" si="84"/>
        <v>25</v>
      </c>
      <c r="AG42" s="62">
        <f t="shared" si="84"/>
        <v>26</v>
      </c>
      <c r="AH42" s="62">
        <f t="shared" si="84"/>
        <v>27</v>
      </c>
      <c r="AI42" s="62">
        <f t="shared" si="84"/>
        <v>27</v>
      </c>
      <c r="AJ42" s="62">
        <f t="shared" si="84"/>
        <v>21</v>
      </c>
      <c r="AK42" s="62">
        <f t="shared" si="84"/>
        <v>22</v>
      </c>
      <c r="AL42" s="62">
        <f t="shared" si="84"/>
        <v>22</v>
      </c>
      <c r="AM42" s="62">
        <f t="shared" si="84"/>
        <v>25</v>
      </c>
      <c r="AN42" s="62">
        <f t="shared" si="84"/>
        <v>28</v>
      </c>
      <c r="AO42" s="62">
        <f t="shared" si="84"/>
        <v>27</v>
      </c>
      <c r="AP42" s="62">
        <f t="shared" si="84"/>
        <v>31</v>
      </c>
      <c r="AQ42" s="62">
        <f t="shared" si="84"/>
        <v>31</v>
      </c>
      <c r="AR42" s="62">
        <f t="shared" si="84"/>
        <v>34</v>
      </c>
      <c r="AS42" s="62">
        <f t="shared" si="84"/>
        <v>37</v>
      </c>
      <c r="AT42" s="62">
        <f t="shared" si="84"/>
        <v>43</v>
      </c>
      <c r="AU42" s="62">
        <f t="shared" si="84"/>
        <v>45</v>
      </c>
      <c r="AW42" s="10">
        <f t="shared" si="67"/>
        <v>450</v>
      </c>
      <c r="AY42" s="10">
        <f t="shared" si="68"/>
        <v>4011</v>
      </c>
      <c r="AZ42" s="50">
        <f t="shared" si="69"/>
        <v>4461</v>
      </c>
      <c r="BB42" s="19"/>
      <c r="BC42" s="33"/>
      <c r="BD42" s="29">
        <v>1</v>
      </c>
      <c r="BE42" s="26"/>
      <c r="BF42" s="11"/>
      <c r="BG42" s="11"/>
      <c r="BI42" s="19">
        <f t="shared" si="70"/>
        <v>0</v>
      </c>
      <c r="BJ42" s="31">
        <f t="shared" si="71"/>
        <v>0</v>
      </c>
      <c r="BK42" s="29">
        <f t="shared" si="72"/>
        <v>4461</v>
      </c>
      <c r="BL42" s="40">
        <f t="shared" si="73"/>
        <v>0</v>
      </c>
      <c r="BM42" s="11">
        <f t="shared" si="74"/>
        <v>0</v>
      </c>
      <c r="BN42" s="11">
        <f t="shared" si="75"/>
        <v>0</v>
      </c>
    </row>
    <row r="43" spans="1:89">
      <c r="A43" s="49" t="s">
        <v>163</v>
      </c>
      <c r="C43" s="47" t="s">
        <v>20</v>
      </c>
      <c r="D43" s="59">
        <v>6.2</v>
      </c>
      <c r="E43" s="59">
        <v>66.099999999999994</v>
      </c>
      <c r="F43" s="59"/>
      <c r="G43" s="59" t="s">
        <v>30</v>
      </c>
      <c r="H43" s="62">
        <f t="shared" ref="H43:AU43" si="85">H16*4+H10*2+H13+H14-H44</f>
        <v>5</v>
      </c>
      <c r="I43" s="62">
        <f t="shared" si="85"/>
        <v>5</v>
      </c>
      <c r="J43" s="62">
        <f t="shared" si="85"/>
        <v>9</v>
      </c>
      <c r="K43" s="62">
        <f t="shared" si="85"/>
        <v>9</v>
      </c>
      <c r="L43" s="62">
        <f t="shared" si="85"/>
        <v>11</v>
      </c>
      <c r="M43" s="62">
        <f t="shared" si="85"/>
        <v>9</v>
      </c>
      <c r="N43" s="62">
        <f t="shared" si="85"/>
        <v>10</v>
      </c>
      <c r="O43" s="62">
        <f t="shared" si="85"/>
        <v>12</v>
      </c>
      <c r="P43" s="62">
        <f t="shared" si="85"/>
        <v>12</v>
      </c>
      <c r="Q43" s="62">
        <f t="shared" si="85"/>
        <v>16</v>
      </c>
      <c r="R43" s="62">
        <f t="shared" si="85"/>
        <v>16</v>
      </c>
      <c r="S43" s="62">
        <f t="shared" si="85"/>
        <v>16</v>
      </c>
      <c r="T43" s="62">
        <f t="shared" si="85"/>
        <v>16</v>
      </c>
      <c r="U43" s="62">
        <f t="shared" si="85"/>
        <v>14</v>
      </c>
      <c r="V43" s="62">
        <f t="shared" si="85"/>
        <v>18</v>
      </c>
      <c r="W43" s="62">
        <f t="shared" si="85"/>
        <v>4</v>
      </c>
      <c r="X43" s="62">
        <f t="shared" si="85"/>
        <v>5</v>
      </c>
      <c r="Y43" s="62">
        <f t="shared" si="85"/>
        <v>4</v>
      </c>
      <c r="Z43" s="62">
        <f t="shared" si="85"/>
        <v>4</v>
      </c>
      <c r="AA43" s="62">
        <f t="shared" si="85"/>
        <v>22</v>
      </c>
      <c r="AB43" s="62">
        <f t="shared" si="85"/>
        <v>4</v>
      </c>
      <c r="AC43" s="62">
        <f t="shared" si="85"/>
        <v>21</v>
      </c>
      <c r="AD43" s="62">
        <f t="shared" si="85"/>
        <v>25</v>
      </c>
      <c r="AE43" s="62">
        <f t="shared" si="85"/>
        <v>25</v>
      </c>
      <c r="AF43" s="62">
        <f t="shared" si="85"/>
        <v>25</v>
      </c>
      <c r="AG43" s="62">
        <f t="shared" si="85"/>
        <v>25</v>
      </c>
      <c r="AH43" s="62">
        <f t="shared" si="85"/>
        <v>26</v>
      </c>
      <c r="AI43" s="62">
        <f t="shared" si="85"/>
        <v>33</v>
      </c>
      <c r="AJ43" s="62">
        <f t="shared" si="85"/>
        <v>2</v>
      </c>
      <c r="AK43" s="62">
        <f t="shared" si="85"/>
        <v>2</v>
      </c>
      <c r="AL43" s="62">
        <f t="shared" si="85"/>
        <v>2</v>
      </c>
      <c r="AM43" s="62">
        <f t="shared" si="85"/>
        <v>3</v>
      </c>
      <c r="AN43" s="62">
        <f t="shared" si="85"/>
        <v>37</v>
      </c>
      <c r="AO43" s="62">
        <f t="shared" si="85"/>
        <v>3</v>
      </c>
      <c r="AP43" s="62">
        <f t="shared" si="85"/>
        <v>39</v>
      </c>
      <c r="AQ43" s="62">
        <f t="shared" si="85"/>
        <v>43</v>
      </c>
      <c r="AR43" s="62">
        <f t="shared" si="85"/>
        <v>50</v>
      </c>
      <c r="AS43" s="62">
        <f t="shared" si="85"/>
        <v>56</v>
      </c>
      <c r="AT43" s="62">
        <f t="shared" si="85"/>
        <v>65</v>
      </c>
      <c r="AU43" s="62">
        <f t="shared" si="85"/>
        <v>68</v>
      </c>
      <c r="AW43" s="10">
        <f t="shared" ref="AW43" si="86">AU43*$AU$5</f>
        <v>680</v>
      </c>
      <c r="AY43" s="10">
        <f t="shared" si="68"/>
        <v>3224</v>
      </c>
      <c r="AZ43" s="50">
        <f t="shared" ref="AZ43" si="87">AW43+AY43</f>
        <v>3904</v>
      </c>
      <c r="BB43" s="19"/>
      <c r="BC43" s="33"/>
      <c r="BD43" s="29">
        <v>1</v>
      </c>
      <c r="BE43" s="26"/>
      <c r="BF43" s="11"/>
      <c r="BG43" s="11"/>
      <c r="BI43" s="19">
        <f t="shared" si="70"/>
        <v>0</v>
      </c>
      <c r="BJ43" s="31">
        <f t="shared" si="71"/>
        <v>0</v>
      </c>
      <c r="BK43" s="29">
        <f t="shared" si="72"/>
        <v>3904</v>
      </c>
      <c r="BL43" s="40">
        <f t="shared" si="73"/>
        <v>0</v>
      </c>
      <c r="BM43" s="11">
        <f t="shared" si="74"/>
        <v>0</v>
      </c>
      <c r="BN43" s="11">
        <f t="shared" si="75"/>
        <v>0</v>
      </c>
    </row>
    <row r="44" spans="1:89">
      <c r="A44" s="49" t="s">
        <v>120</v>
      </c>
      <c r="C44" s="47" t="s">
        <v>20</v>
      </c>
      <c r="D44" s="59">
        <v>6.2</v>
      </c>
      <c r="E44" s="59">
        <v>93</v>
      </c>
      <c r="F44" s="59"/>
      <c r="G44" s="59" t="s">
        <v>119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f>W16*4</f>
        <v>16</v>
      </c>
      <c r="X44" s="62">
        <f>X16*4</f>
        <v>12</v>
      </c>
      <c r="Y44" s="62">
        <f>Y16*4</f>
        <v>16</v>
      </c>
      <c r="Z44" s="62">
        <f>Z16*4</f>
        <v>16</v>
      </c>
      <c r="AA44" s="62">
        <v>0</v>
      </c>
      <c r="AB44" s="62">
        <f>AB16*4</f>
        <v>20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f>AJ16*4</f>
        <v>28</v>
      </c>
      <c r="AK44" s="62">
        <f>AK16*4</f>
        <v>32</v>
      </c>
      <c r="AL44" s="62">
        <f>AL16*4</f>
        <v>32</v>
      </c>
      <c r="AM44" s="62">
        <f>AM16*4</f>
        <v>32</v>
      </c>
      <c r="AN44" s="62">
        <v>0</v>
      </c>
      <c r="AO44" s="62">
        <f>AO16*4</f>
        <v>36</v>
      </c>
      <c r="AP44" s="62">
        <v>0</v>
      </c>
      <c r="AQ44" s="62">
        <v>0</v>
      </c>
      <c r="AR44" s="62">
        <v>0</v>
      </c>
      <c r="AS44" s="62">
        <v>0</v>
      </c>
      <c r="AT44" s="62">
        <v>0</v>
      </c>
      <c r="AU44" s="62">
        <v>0</v>
      </c>
      <c r="AW44" s="10">
        <f t="shared" ref="AW44" si="88">AU44*$AU$5</f>
        <v>0</v>
      </c>
      <c r="AY44" s="10">
        <f t="shared" si="68"/>
        <v>484</v>
      </c>
      <c r="AZ44" s="50">
        <f t="shared" ref="AZ44" si="89">AW44+AY44</f>
        <v>484</v>
      </c>
      <c r="BB44" s="19"/>
      <c r="BC44" s="33"/>
      <c r="BD44" s="72">
        <v>3</v>
      </c>
      <c r="BE44" s="26"/>
      <c r="BF44" s="11"/>
      <c r="BG44" s="11"/>
      <c r="BI44" s="19">
        <f t="shared" si="70"/>
        <v>0</v>
      </c>
      <c r="BJ44" s="31">
        <f t="shared" si="71"/>
        <v>0</v>
      </c>
      <c r="BK44" s="29">
        <f t="shared" si="72"/>
        <v>1452</v>
      </c>
      <c r="BL44" s="40">
        <f t="shared" si="73"/>
        <v>0</v>
      </c>
      <c r="BM44" s="11">
        <f t="shared" si="74"/>
        <v>0</v>
      </c>
      <c r="BN44" s="11">
        <f t="shared" si="75"/>
        <v>0</v>
      </c>
    </row>
    <row r="45" spans="1:89">
      <c r="A45" s="49" t="s">
        <v>73</v>
      </c>
      <c r="C45" s="47" t="s">
        <v>20</v>
      </c>
      <c r="D45" s="59">
        <v>6</v>
      </c>
      <c r="E45" s="59">
        <v>94</v>
      </c>
      <c r="F45" s="59">
        <v>40</v>
      </c>
      <c r="G45" s="59" t="s">
        <v>74</v>
      </c>
      <c r="H45" s="64">
        <f t="shared" ref="H45:AU45" si="90">(H16*4)/2</f>
        <v>2</v>
      </c>
      <c r="I45" s="64">
        <f t="shared" si="90"/>
        <v>2</v>
      </c>
      <c r="J45" s="64">
        <f t="shared" si="90"/>
        <v>4</v>
      </c>
      <c r="K45" s="64">
        <f t="shared" si="90"/>
        <v>4</v>
      </c>
      <c r="L45" s="64">
        <f t="shared" si="90"/>
        <v>4</v>
      </c>
      <c r="M45" s="64">
        <f t="shared" si="90"/>
        <v>4</v>
      </c>
      <c r="N45" s="64">
        <f t="shared" si="90"/>
        <v>4</v>
      </c>
      <c r="O45" s="64">
        <f t="shared" si="90"/>
        <v>4</v>
      </c>
      <c r="P45" s="64">
        <f t="shared" si="90"/>
        <v>4</v>
      </c>
      <c r="Q45" s="64">
        <f t="shared" si="90"/>
        <v>6</v>
      </c>
      <c r="R45" s="64">
        <f t="shared" si="90"/>
        <v>6</v>
      </c>
      <c r="S45" s="64">
        <f t="shared" si="90"/>
        <v>6</v>
      </c>
      <c r="T45" s="64">
        <f t="shared" si="90"/>
        <v>6</v>
      </c>
      <c r="U45" s="64">
        <f t="shared" si="90"/>
        <v>6</v>
      </c>
      <c r="V45" s="64">
        <f t="shared" si="90"/>
        <v>8</v>
      </c>
      <c r="W45" s="64">
        <f t="shared" si="90"/>
        <v>8</v>
      </c>
      <c r="X45" s="64">
        <f t="shared" si="90"/>
        <v>6</v>
      </c>
      <c r="Y45" s="64">
        <f t="shared" si="90"/>
        <v>8</v>
      </c>
      <c r="Z45" s="64">
        <f t="shared" si="90"/>
        <v>8</v>
      </c>
      <c r="AA45" s="64">
        <f t="shared" si="90"/>
        <v>10</v>
      </c>
      <c r="AB45" s="64">
        <f t="shared" si="90"/>
        <v>10</v>
      </c>
      <c r="AC45" s="64">
        <f t="shared" si="90"/>
        <v>8</v>
      </c>
      <c r="AD45" s="64">
        <f t="shared" si="90"/>
        <v>10</v>
      </c>
      <c r="AE45" s="64">
        <f t="shared" si="90"/>
        <v>10</v>
      </c>
      <c r="AF45" s="64">
        <f t="shared" si="90"/>
        <v>10</v>
      </c>
      <c r="AG45" s="64">
        <f t="shared" si="90"/>
        <v>10</v>
      </c>
      <c r="AH45" s="64">
        <f t="shared" si="90"/>
        <v>10</v>
      </c>
      <c r="AI45" s="64">
        <f t="shared" si="90"/>
        <v>14</v>
      </c>
      <c r="AJ45" s="64">
        <f t="shared" si="90"/>
        <v>14</v>
      </c>
      <c r="AK45" s="64">
        <f t="shared" si="90"/>
        <v>16</v>
      </c>
      <c r="AL45" s="64">
        <f t="shared" si="90"/>
        <v>16</v>
      </c>
      <c r="AM45" s="64">
        <f t="shared" si="90"/>
        <v>16</v>
      </c>
      <c r="AN45" s="64">
        <f t="shared" si="90"/>
        <v>16</v>
      </c>
      <c r="AO45" s="64">
        <f t="shared" si="90"/>
        <v>18</v>
      </c>
      <c r="AP45" s="64">
        <f t="shared" si="90"/>
        <v>16</v>
      </c>
      <c r="AQ45" s="64">
        <f t="shared" si="90"/>
        <v>20</v>
      </c>
      <c r="AR45" s="64">
        <f t="shared" si="90"/>
        <v>22</v>
      </c>
      <c r="AS45" s="64">
        <f t="shared" si="90"/>
        <v>26</v>
      </c>
      <c r="AT45" s="64">
        <f t="shared" si="90"/>
        <v>30</v>
      </c>
      <c r="AU45" s="64">
        <f t="shared" si="90"/>
        <v>30</v>
      </c>
      <c r="AW45" s="10">
        <f t="shared" si="67"/>
        <v>300</v>
      </c>
      <c r="AY45" s="10">
        <f t="shared" si="68"/>
        <v>1490</v>
      </c>
      <c r="AZ45" s="50">
        <f t="shared" si="69"/>
        <v>1790</v>
      </c>
      <c r="BB45" s="19"/>
      <c r="BC45" s="33"/>
      <c r="BD45" s="29">
        <v>70</v>
      </c>
      <c r="BE45" s="26"/>
      <c r="BF45" s="11"/>
      <c r="BG45" s="11"/>
      <c r="BI45" s="19">
        <f t="shared" si="70"/>
        <v>0</v>
      </c>
      <c r="BJ45" s="31">
        <f t="shared" si="71"/>
        <v>0</v>
      </c>
      <c r="BK45" s="29">
        <f t="shared" si="72"/>
        <v>125300</v>
      </c>
      <c r="BL45" s="40">
        <f t="shared" si="73"/>
        <v>0</v>
      </c>
      <c r="BM45" s="11">
        <f t="shared" si="74"/>
        <v>0</v>
      </c>
      <c r="BN45" s="11">
        <f t="shared" si="75"/>
        <v>0</v>
      </c>
    </row>
    <row r="46" spans="1:89">
      <c r="A46" s="49" t="s">
        <v>106</v>
      </c>
      <c r="C46" s="47" t="s">
        <v>20</v>
      </c>
      <c r="D46" s="59">
        <v>6</v>
      </c>
      <c r="E46" s="59">
        <v>91</v>
      </c>
      <c r="F46" s="59"/>
      <c r="G46" s="59" t="s">
        <v>105</v>
      </c>
      <c r="H46" s="64">
        <f t="shared" ref="H46:AU46" si="91">(H16*4)/2</f>
        <v>2</v>
      </c>
      <c r="I46" s="64">
        <f t="shared" si="91"/>
        <v>2</v>
      </c>
      <c r="J46" s="64">
        <f t="shared" si="91"/>
        <v>4</v>
      </c>
      <c r="K46" s="64">
        <f t="shared" si="91"/>
        <v>4</v>
      </c>
      <c r="L46" s="64">
        <f t="shared" si="91"/>
        <v>4</v>
      </c>
      <c r="M46" s="64">
        <f t="shared" si="91"/>
        <v>4</v>
      </c>
      <c r="N46" s="64">
        <f t="shared" si="91"/>
        <v>4</v>
      </c>
      <c r="O46" s="64">
        <f t="shared" si="91"/>
        <v>4</v>
      </c>
      <c r="P46" s="64">
        <f t="shared" si="91"/>
        <v>4</v>
      </c>
      <c r="Q46" s="64">
        <f t="shared" si="91"/>
        <v>6</v>
      </c>
      <c r="R46" s="64">
        <f t="shared" si="91"/>
        <v>6</v>
      </c>
      <c r="S46" s="64">
        <f t="shared" si="91"/>
        <v>6</v>
      </c>
      <c r="T46" s="64">
        <f t="shared" si="91"/>
        <v>6</v>
      </c>
      <c r="U46" s="64">
        <f t="shared" si="91"/>
        <v>6</v>
      </c>
      <c r="V46" s="64">
        <f t="shared" si="91"/>
        <v>8</v>
      </c>
      <c r="W46" s="64">
        <f t="shared" si="91"/>
        <v>8</v>
      </c>
      <c r="X46" s="64">
        <f t="shared" si="91"/>
        <v>6</v>
      </c>
      <c r="Y46" s="64">
        <f t="shared" si="91"/>
        <v>8</v>
      </c>
      <c r="Z46" s="64">
        <f t="shared" si="91"/>
        <v>8</v>
      </c>
      <c r="AA46" s="64">
        <f t="shared" si="91"/>
        <v>10</v>
      </c>
      <c r="AB46" s="64">
        <f t="shared" si="91"/>
        <v>10</v>
      </c>
      <c r="AC46" s="64">
        <f t="shared" si="91"/>
        <v>8</v>
      </c>
      <c r="AD46" s="64">
        <f t="shared" si="91"/>
        <v>10</v>
      </c>
      <c r="AE46" s="64">
        <f t="shared" si="91"/>
        <v>10</v>
      </c>
      <c r="AF46" s="64">
        <f t="shared" si="91"/>
        <v>10</v>
      </c>
      <c r="AG46" s="64">
        <f t="shared" si="91"/>
        <v>10</v>
      </c>
      <c r="AH46" s="64">
        <f t="shared" si="91"/>
        <v>10</v>
      </c>
      <c r="AI46" s="64">
        <f t="shared" si="91"/>
        <v>14</v>
      </c>
      <c r="AJ46" s="64">
        <f t="shared" si="91"/>
        <v>14</v>
      </c>
      <c r="AK46" s="64">
        <f t="shared" si="91"/>
        <v>16</v>
      </c>
      <c r="AL46" s="64">
        <f t="shared" si="91"/>
        <v>16</v>
      </c>
      <c r="AM46" s="64">
        <f t="shared" si="91"/>
        <v>16</v>
      </c>
      <c r="AN46" s="64">
        <f t="shared" si="91"/>
        <v>16</v>
      </c>
      <c r="AO46" s="64">
        <f t="shared" si="91"/>
        <v>18</v>
      </c>
      <c r="AP46" s="64">
        <f t="shared" si="91"/>
        <v>16</v>
      </c>
      <c r="AQ46" s="64">
        <f t="shared" si="91"/>
        <v>20</v>
      </c>
      <c r="AR46" s="64">
        <f t="shared" si="91"/>
        <v>22</v>
      </c>
      <c r="AS46" s="64">
        <f t="shared" si="91"/>
        <v>26</v>
      </c>
      <c r="AT46" s="64">
        <f t="shared" si="91"/>
        <v>30</v>
      </c>
      <c r="AU46" s="64">
        <f t="shared" si="91"/>
        <v>30</v>
      </c>
      <c r="AW46" s="10">
        <f t="shared" si="67"/>
        <v>300</v>
      </c>
      <c r="AY46" s="10">
        <f t="shared" si="68"/>
        <v>1490</v>
      </c>
      <c r="AZ46" s="50">
        <f t="shared" si="69"/>
        <v>1790</v>
      </c>
      <c r="BB46" s="19"/>
      <c r="BC46" s="33"/>
      <c r="BD46" s="29">
        <v>70</v>
      </c>
      <c r="BE46" s="26"/>
      <c r="BF46" s="11"/>
      <c r="BG46" s="11"/>
      <c r="BI46" s="19">
        <f t="shared" si="70"/>
        <v>0</v>
      </c>
      <c r="BJ46" s="31">
        <f t="shared" si="71"/>
        <v>0</v>
      </c>
      <c r="BK46" s="29">
        <f t="shared" si="72"/>
        <v>125300</v>
      </c>
      <c r="BL46" s="40">
        <f t="shared" si="73"/>
        <v>0</v>
      </c>
      <c r="BM46" s="11">
        <f t="shared" si="74"/>
        <v>0</v>
      </c>
      <c r="BN46" s="11">
        <f t="shared" si="75"/>
        <v>0</v>
      </c>
    </row>
    <row r="47" spans="1:89">
      <c r="A47" s="49" t="s">
        <v>31</v>
      </c>
      <c r="C47" s="47" t="s">
        <v>32</v>
      </c>
      <c r="D47" s="47"/>
      <c r="E47" s="47"/>
      <c r="F47" s="47"/>
      <c r="G47" s="2"/>
      <c r="H47" s="62">
        <v>1</v>
      </c>
      <c r="I47" s="62">
        <v>1</v>
      </c>
      <c r="J47" s="62">
        <v>1</v>
      </c>
      <c r="K47" s="62">
        <v>1</v>
      </c>
      <c r="L47" s="62">
        <v>1</v>
      </c>
      <c r="M47" s="62">
        <v>1</v>
      </c>
      <c r="N47" s="62">
        <v>1</v>
      </c>
      <c r="O47" s="62">
        <v>1</v>
      </c>
      <c r="P47" s="62">
        <v>1</v>
      </c>
      <c r="Q47" s="62">
        <v>1</v>
      </c>
      <c r="R47" s="62">
        <v>1</v>
      </c>
      <c r="S47" s="62">
        <v>1</v>
      </c>
      <c r="T47" s="62">
        <v>1</v>
      </c>
      <c r="U47" s="62">
        <v>1</v>
      </c>
      <c r="V47" s="62">
        <v>1</v>
      </c>
      <c r="W47" s="62">
        <v>1</v>
      </c>
      <c r="X47" s="62">
        <v>1</v>
      </c>
      <c r="Y47" s="62">
        <v>1</v>
      </c>
      <c r="Z47" s="62">
        <v>1</v>
      </c>
      <c r="AA47" s="62">
        <v>1</v>
      </c>
      <c r="AB47" s="62">
        <v>1</v>
      </c>
      <c r="AC47" s="62">
        <v>1</v>
      </c>
      <c r="AD47" s="62">
        <v>1</v>
      </c>
      <c r="AE47" s="62">
        <v>1</v>
      </c>
      <c r="AF47" s="62">
        <v>1</v>
      </c>
      <c r="AG47" s="62">
        <v>1</v>
      </c>
      <c r="AH47" s="62">
        <v>1</v>
      </c>
      <c r="AI47" s="62">
        <v>1</v>
      </c>
      <c r="AJ47" s="62">
        <v>1</v>
      </c>
      <c r="AK47" s="62">
        <v>1</v>
      </c>
      <c r="AL47" s="62">
        <v>1</v>
      </c>
      <c r="AM47" s="62">
        <v>1</v>
      </c>
      <c r="AN47" s="62">
        <v>1</v>
      </c>
      <c r="AO47" s="62">
        <v>1</v>
      </c>
      <c r="AP47" s="62">
        <v>1</v>
      </c>
      <c r="AQ47" s="62">
        <v>1</v>
      </c>
      <c r="AR47" s="62">
        <v>1</v>
      </c>
      <c r="AS47" s="62">
        <v>1</v>
      </c>
      <c r="AT47" s="62">
        <v>1</v>
      </c>
      <c r="AU47" s="62">
        <v>1</v>
      </c>
      <c r="AW47" s="10">
        <f t="shared" si="67"/>
        <v>10</v>
      </c>
      <c r="AY47" s="10">
        <f t="shared" si="68"/>
        <v>277</v>
      </c>
      <c r="AZ47" s="50">
        <f t="shared" si="69"/>
        <v>287</v>
      </c>
      <c r="BB47" s="19"/>
      <c r="BC47" s="35">
        <v>6.19</v>
      </c>
      <c r="BD47" s="29"/>
      <c r="BE47" s="26"/>
      <c r="BF47" s="11"/>
      <c r="BG47" s="11"/>
      <c r="BI47" s="19">
        <f t="shared" si="70"/>
        <v>0</v>
      </c>
      <c r="BJ47" s="31">
        <f t="shared" si="71"/>
        <v>1776.5300000000002</v>
      </c>
      <c r="BK47" s="29">
        <f t="shared" si="72"/>
        <v>0</v>
      </c>
      <c r="BL47" s="40">
        <f t="shared" si="73"/>
        <v>0</v>
      </c>
      <c r="BM47" s="11">
        <f t="shared" si="74"/>
        <v>0</v>
      </c>
      <c r="BN47" s="11">
        <f t="shared" si="75"/>
        <v>0</v>
      </c>
    </row>
    <row r="48" spans="1:89">
      <c r="A48" s="49" t="s">
        <v>104</v>
      </c>
      <c r="C48" s="47" t="s">
        <v>32</v>
      </c>
      <c r="D48" s="47"/>
      <c r="E48" s="47"/>
      <c r="F48" s="47"/>
      <c r="G48" s="47"/>
      <c r="H48" s="62">
        <v>4</v>
      </c>
      <c r="I48" s="62">
        <v>4</v>
      </c>
      <c r="J48" s="62">
        <v>4</v>
      </c>
      <c r="K48" s="62">
        <v>4</v>
      </c>
      <c r="L48" s="62">
        <v>4</v>
      </c>
      <c r="M48" s="62">
        <v>4</v>
      </c>
      <c r="N48" s="62">
        <v>4</v>
      </c>
      <c r="O48" s="62">
        <v>4</v>
      </c>
      <c r="P48" s="62">
        <v>4</v>
      </c>
      <c r="Q48" s="62">
        <v>4</v>
      </c>
      <c r="R48" s="62">
        <v>4</v>
      </c>
      <c r="S48" s="62">
        <v>4</v>
      </c>
      <c r="T48" s="62">
        <v>4</v>
      </c>
      <c r="U48" s="62">
        <v>4</v>
      </c>
      <c r="V48" s="62">
        <v>4</v>
      </c>
      <c r="W48" s="62">
        <v>4</v>
      </c>
      <c r="X48" s="62">
        <v>4</v>
      </c>
      <c r="Y48" s="62">
        <v>4</v>
      </c>
      <c r="Z48" s="62">
        <v>4</v>
      </c>
      <c r="AA48" s="62">
        <v>4</v>
      </c>
      <c r="AB48" s="62">
        <v>4</v>
      </c>
      <c r="AC48" s="62">
        <v>4</v>
      </c>
      <c r="AD48" s="62">
        <v>4</v>
      </c>
      <c r="AE48" s="62">
        <v>4</v>
      </c>
      <c r="AF48" s="62">
        <v>4</v>
      </c>
      <c r="AG48" s="62">
        <v>4</v>
      </c>
      <c r="AH48" s="62">
        <v>4</v>
      </c>
      <c r="AI48" s="62">
        <v>4</v>
      </c>
      <c r="AJ48" s="62">
        <v>4</v>
      </c>
      <c r="AK48" s="62">
        <v>4</v>
      </c>
      <c r="AL48" s="62">
        <v>4</v>
      </c>
      <c r="AM48" s="62">
        <v>4</v>
      </c>
      <c r="AN48" s="62">
        <v>4</v>
      </c>
      <c r="AO48" s="62">
        <v>4</v>
      </c>
      <c r="AP48" s="62">
        <v>4</v>
      </c>
      <c r="AQ48" s="62">
        <v>4</v>
      </c>
      <c r="AR48" s="62">
        <v>4</v>
      </c>
      <c r="AS48" s="62">
        <v>4</v>
      </c>
      <c r="AT48" s="62">
        <v>0</v>
      </c>
      <c r="AU48" s="62">
        <v>0</v>
      </c>
      <c r="AW48" s="10">
        <f t="shared" si="67"/>
        <v>0</v>
      </c>
      <c r="AY48" s="10">
        <f t="shared" si="68"/>
        <v>1100</v>
      </c>
      <c r="AZ48" s="50">
        <f t="shared" si="69"/>
        <v>1100</v>
      </c>
      <c r="BB48" s="19"/>
      <c r="BC48" s="35">
        <v>17.5</v>
      </c>
      <c r="BD48" s="29"/>
      <c r="BE48" s="26"/>
      <c r="BF48" s="11"/>
      <c r="BG48" s="11"/>
      <c r="BI48" s="19">
        <f t="shared" si="70"/>
        <v>0</v>
      </c>
      <c r="BJ48" s="31">
        <f t="shared" si="71"/>
        <v>19250</v>
      </c>
      <c r="BK48" s="29">
        <f t="shared" si="72"/>
        <v>0</v>
      </c>
      <c r="BL48" s="40">
        <f t="shared" si="73"/>
        <v>0</v>
      </c>
      <c r="BM48" s="11">
        <f t="shared" si="74"/>
        <v>0</v>
      </c>
      <c r="BN48" s="11">
        <f t="shared" si="75"/>
        <v>0</v>
      </c>
    </row>
    <row r="49" spans="1:66">
      <c r="A49" s="49" t="s">
        <v>172</v>
      </c>
      <c r="C49" s="47" t="s">
        <v>63</v>
      </c>
      <c r="D49" s="47">
        <v>36</v>
      </c>
      <c r="E49" s="47">
        <v>85</v>
      </c>
      <c r="F49" s="47"/>
      <c r="G49" s="47" t="s">
        <v>171</v>
      </c>
      <c r="H49" s="62">
        <v>1</v>
      </c>
      <c r="I49" s="62">
        <v>1</v>
      </c>
      <c r="J49" s="62">
        <v>1</v>
      </c>
      <c r="K49" s="62">
        <v>1</v>
      </c>
      <c r="L49" s="62">
        <v>1</v>
      </c>
      <c r="M49" s="62">
        <v>1</v>
      </c>
      <c r="N49" s="62">
        <v>1</v>
      </c>
      <c r="O49" s="62">
        <v>1</v>
      </c>
      <c r="P49" s="62">
        <v>1</v>
      </c>
      <c r="Q49" s="62">
        <v>1</v>
      </c>
      <c r="R49" s="62">
        <v>1</v>
      </c>
      <c r="S49" s="62">
        <v>1</v>
      </c>
      <c r="T49" s="62">
        <v>1</v>
      </c>
      <c r="U49" s="62">
        <v>1</v>
      </c>
      <c r="V49" s="62">
        <v>1</v>
      </c>
      <c r="W49" s="62">
        <v>1</v>
      </c>
      <c r="X49" s="62">
        <v>1</v>
      </c>
      <c r="Y49" s="62">
        <v>1</v>
      </c>
      <c r="Z49" s="62">
        <v>1</v>
      </c>
      <c r="AA49" s="62">
        <v>1</v>
      </c>
      <c r="AB49" s="62">
        <v>1</v>
      </c>
      <c r="AC49" s="62">
        <v>1</v>
      </c>
      <c r="AD49" s="62">
        <v>1</v>
      </c>
      <c r="AE49" s="62">
        <v>1</v>
      </c>
      <c r="AF49" s="62">
        <v>1</v>
      </c>
      <c r="AG49" s="62">
        <v>1</v>
      </c>
      <c r="AH49" s="62">
        <v>1</v>
      </c>
      <c r="AI49" s="62">
        <v>1</v>
      </c>
      <c r="AJ49" s="62">
        <v>1</v>
      </c>
      <c r="AK49" s="62">
        <v>1</v>
      </c>
      <c r="AL49" s="62">
        <v>1</v>
      </c>
      <c r="AM49" s="62">
        <v>1</v>
      </c>
      <c r="AN49" s="62">
        <v>1</v>
      </c>
      <c r="AO49" s="62">
        <v>1</v>
      </c>
      <c r="AP49" s="62">
        <v>1</v>
      </c>
      <c r="AQ49" s="62">
        <v>1</v>
      </c>
      <c r="AR49" s="62">
        <v>1</v>
      </c>
      <c r="AS49" s="62">
        <v>1</v>
      </c>
      <c r="AT49" s="62">
        <v>1</v>
      </c>
      <c r="AU49" s="62">
        <v>1</v>
      </c>
      <c r="AW49" s="10">
        <f t="shared" si="67"/>
        <v>10</v>
      </c>
      <c r="AY49" s="10">
        <f t="shared" si="68"/>
        <v>277</v>
      </c>
      <c r="AZ49" s="50">
        <f t="shared" si="69"/>
        <v>287</v>
      </c>
      <c r="BB49" s="19"/>
      <c r="BC49" s="35">
        <v>150</v>
      </c>
      <c r="BD49" s="29"/>
      <c r="BE49" s="26"/>
      <c r="BF49" s="11"/>
      <c r="BG49" s="11"/>
      <c r="BI49" s="19">
        <f t="shared" si="70"/>
        <v>0</v>
      </c>
      <c r="BJ49" s="31">
        <f t="shared" si="71"/>
        <v>43050</v>
      </c>
      <c r="BK49" s="29">
        <f t="shared" si="72"/>
        <v>0</v>
      </c>
      <c r="BL49" s="40">
        <f t="shared" si="73"/>
        <v>0</v>
      </c>
      <c r="BM49" s="11">
        <f t="shared" si="74"/>
        <v>0</v>
      </c>
      <c r="BN49" s="11">
        <f t="shared" si="75"/>
        <v>0</v>
      </c>
    </row>
    <row r="50" spans="1:66">
      <c r="A50" s="49" t="s">
        <v>34</v>
      </c>
      <c r="C50" s="47" t="s">
        <v>33</v>
      </c>
      <c r="D50" s="47">
        <v>36</v>
      </c>
      <c r="E50" s="47">
        <v>85</v>
      </c>
      <c r="F50" s="47"/>
      <c r="G50" s="47"/>
      <c r="H50" s="62">
        <v>1</v>
      </c>
      <c r="I50" s="62">
        <v>1</v>
      </c>
      <c r="J50" s="62">
        <v>1</v>
      </c>
      <c r="K50" s="62">
        <v>1</v>
      </c>
      <c r="L50" s="62">
        <v>1</v>
      </c>
      <c r="M50" s="62">
        <v>1</v>
      </c>
      <c r="N50" s="62">
        <v>1</v>
      </c>
      <c r="O50" s="62">
        <v>1</v>
      </c>
      <c r="P50" s="62">
        <v>1</v>
      </c>
      <c r="Q50" s="62">
        <v>1</v>
      </c>
      <c r="R50" s="62">
        <v>1</v>
      </c>
      <c r="S50" s="62">
        <v>1</v>
      </c>
      <c r="T50" s="62">
        <v>1</v>
      </c>
      <c r="U50" s="62">
        <v>1</v>
      </c>
      <c r="V50" s="62">
        <v>1</v>
      </c>
      <c r="W50" s="62">
        <v>1</v>
      </c>
      <c r="X50" s="62">
        <v>1</v>
      </c>
      <c r="Y50" s="62">
        <v>1</v>
      </c>
      <c r="Z50" s="62">
        <v>1</v>
      </c>
      <c r="AA50" s="62">
        <v>1</v>
      </c>
      <c r="AB50" s="62">
        <v>1</v>
      </c>
      <c r="AC50" s="62">
        <v>1</v>
      </c>
      <c r="AD50" s="62">
        <v>1</v>
      </c>
      <c r="AE50" s="62">
        <v>1</v>
      </c>
      <c r="AF50" s="62">
        <v>1</v>
      </c>
      <c r="AG50" s="62">
        <v>1</v>
      </c>
      <c r="AH50" s="62">
        <v>1</v>
      </c>
      <c r="AI50" s="62">
        <v>1</v>
      </c>
      <c r="AJ50" s="62">
        <v>1</v>
      </c>
      <c r="AK50" s="62">
        <v>1</v>
      </c>
      <c r="AL50" s="62">
        <v>1</v>
      </c>
      <c r="AM50" s="62">
        <v>1</v>
      </c>
      <c r="AN50" s="62">
        <v>1</v>
      </c>
      <c r="AO50" s="62">
        <v>1</v>
      </c>
      <c r="AP50" s="62">
        <v>1</v>
      </c>
      <c r="AQ50" s="62">
        <v>1</v>
      </c>
      <c r="AR50" s="62">
        <v>1</v>
      </c>
      <c r="AS50" s="62">
        <v>1</v>
      </c>
      <c r="AT50" s="62">
        <v>1</v>
      </c>
      <c r="AU50" s="62">
        <v>1</v>
      </c>
      <c r="AW50" s="10">
        <f t="shared" si="67"/>
        <v>10</v>
      </c>
      <c r="AY50" s="10">
        <f t="shared" si="68"/>
        <v>277</v>
      </c>
      <c r="AZ50" s="50">
        <f t="shared" si="69"/>
        <v>287</v>
      </c>
      <c r="BB50" s="19"/>
      <c r="BC50" s="35">
        <v>18.2</v>
      </c>
      <c r="BD50" s="29"/>
      <c r="BE50" s="26"/>
      <c r="BF50" s="11"/>
      <c r="BG50" s="11"/>
      <c r="BI50" s="19">
        <f t="shared" si="70"/>
        <v>0</v>
      </c>
      <c r="BJ50" s="31">
        <f t="shared" si="71"/>
        <v>5223.3999999999996</v>
      </c>
      <c r="BK50" s="29">
        <f t="shared" si="72"/>
        <v>0</v>
      </c>
      <c r="BL50" s="40">
        <f t="shared" si="73"/>
        <v>0</v>
      </c>
      <c r="BM50" s="11">
        <f t="shared" si="74"/>
        <v>0</v>
      </c>
      <c r="BN50" s="11">
        <f t="shared" si="75"/>
        <v>0</v>
      </c>
    </row>
    <row r="51" spans="1:66">
      <c r="A51" s="49" t="s">
        <v>35</v>
      </c>
      <c r="C51" s="47" t="s">
        <v>33</v>
      </c>
      <c r="D51" s="47">
        <v>36</v>
      </c>
      <c r="E51" s="47">
        <v>85</v>
      </c>
      <c r="F51" s="47"/>
      <c r="G51" s="47"/>
      <c r="H51" s="62">
        <v>4</v>
      </c>
      <c r="I51" s="62">
        <v>4</v>
      </c>
      <c r="J51" s="62">
        <v>4</v>
      </c>
      <c r="K51" s="62">
        <v>4</v>
      </c>
      <c r="L51" s="62">
        <v>4</v>
      </c>
      <c r="M51" s="62">
        <v>4</v>
      </c>
      <c r="N51" s="62">
        <v>4</v>
      </c>
      <c r="O51" s="62">
        <v>4</v>
      </c>
      <c r="P51" s="62">
        <v>4</v>
      </c>
      <c r="Q51" s="62">
        <v>4</v>
      </c>
      <c r="R51" s="62">
        <v>4</v>
      </c>
      <c r="S51" s="62">
        <v>4</v>
      </c>
      <c r="T51" s="62">
        <v>4</v>
      </c>
      <c r="U51" s="62">
        <v>4</v>
      </c>
      <c r="V51" s="62">
        <v>4</v>
      </c>
      <c r="W51" s="62">
        <v>4</v>
      </c>
      <c r="X51" s="62">
        <v>4</v>
      </c>
      <c r="Y51" s="62">
        <v>4</v>
      </c>
      <c r="Z51" s="62">
        <v>4</v>
      </c>
      <c r="AA51" s="62">
        <v>4</v>
      </c>
      <c r="AB51" s="62">
        <v>4</v>
      </c>
      <c r="AC51" s="62">
        <v>4</v>
      </c>
      <c r="AD51" s="62">
        <v>4</v>
      </c>
      <c r="AE51" s="62">
        <v>4</v>
      </c>
      <c r="AF51" s="62">
        <v>4</v>
      </c>
      <c r="AG51" s="62">
        <v>4</v>
      </c>
      <c r="AH51" s="62">
        <v>4</v>
      </c>
      <c r="AI51" s="62">
        <v>4</v>
      </c>
      <c r="AJ51" s="62">
        <v>4</v>
      </c>
      <c r="AK51" s="62">
        <v>4</v>
      </c>
      <c r="AL51" s="62">
        <v>4</v>
      </c>
      <c r="AM51" s="62">
        <v>4</v>
      </c>
      <c r="AN51" s="62">
        <v>4</v>
      </c>
      <c r="AO51" s="62">
        <v>4</v>
      </c>
      <c r="AP51" s="62">
        <v>4</v>
      </c>
      <c r="AQ51" s="62">
        <v>4</v>
      </c>
      <c r="AR51" s="62">
        <v>4</v>
      </c>
      <c r="AS51" s="62">
        <v>4</v>
      </c>
      <c r="AT51" s="62">
        <v>4</v>
      </c>
      <c r="AU51" s="62">
        <v>4</v>
      </c>
      <c r="AW51" s="10">
        <f t="shared" si="67"/>
        <v>40</v>
      </c>
      <c r="AY51" s="10">
        <f t="shared" si="68"/>
        <v>1108</v>
      </c>
      <c r="AZ51" s="50">
        <f t="shared" si="69"/>
        <v>1148</v>
      </c>
      <c r="BB51" s="19"/>
      <c r="BC51" s="35">
        <v>21.5</v>
      </c>
      <c r="BD51" s="29"/>
      <c r="BE51" s="26"/>
      <c r="BF51" s="11"/>
      <c r="BG51" s="11"/>
      <c r="BI51" s="19">
        <f t="shared" si="70"/>
        <v>0</v>
      </c>
      <c r="BJ51" s="31">
        <f t="shared" si="71"/>
        <v>24682</v>
      </c>
      <c r="BK51" s="29">
        <f t="shared" si="72"/>
        <v>0</v>
      </c>
      <c r="BL51" s="40">
        <f t="shared" si="73"/>
        <v>0</v>
      </c>
      <c r="BM51" s="11">
        <f t="shared" si="74"/>
        <v>0</v>
      </c>
      <c r="BN51" s="11">
        <f t="shared" si="75"/>
        <v>0</v>
      </c>
    </row>
    <row r="52" spans="1:66">
      <c r="A52" s="49" t="s">
        <v>36</v>
      </c>
      <c r="C52" s="47" t="s">
        <v>20</v>
      </c>
      <c r="D52" s="47"/>
      <c r="E52" s="47"/>
      <c r="F52" s="47"/>
      <c r="G52" s="47" t="s">
        <v>37</v>
      </c>
      <c r="H52" s="66">
        <f t="shared" ref="H52:AU52" si="92">(H35+H36+H45)/1500</f>
        <v>6.6666666666666671E-3</v>
      </c>
      <c r="I52" s="66">
        <f t="shared" si="92"/>
        <v>1.7333333333333333E-2</v>
      </c>
      <c r="J52" s="66">
        <f t="shared" si="92"/>
        <v>8.0000000000000002E-3</v>
      </c>
      <c r="K52" s="66">
        <f t="shared" si="92"/>
        <v>1.3333333333333334E-2</v>
      </c>
      <c r="L52" s="66">
        <f t="shared" si="92"/>
        <v>1.8666666666666668E-2</v>
      </c>
      <c r="M52" s="66">
        <f t="shared" si="92"/>
        <v>1.8666666666666668E-2</v>
      </c>
      <c r="N52" s="66">
        <f t="shared" si="92"/>
        <v>2.4E-2</v>
      </c>
      <c r="O52" s="66">
        <f t="shared" si="92"/>
        <v>2.9333333333333333E-2</v>
      </c>
      <c r="P52" s="66">
        <f t="shared" si="92"/>
        <v>2.4E-2</v>
      </c>
      <c r="Q52" s="66">
        <f t="shared" si="92"/>
        <v>2.5333333333333333E-2</v>
      </c>
      <c r="R52" s="66">
        <f t="shared" si="92"/>
        <v>2.5333333333333333E-2</v>
      </c>
      <c r="S52" s="66">
        <f t="shared" si="92"/>
        <v>2.5333333333333333E-2</v>
      </c>
      <c r="T52" s="66">
        <f t="shared" si="92"/>
        <v>3.0666666666666665E-2</v>
      </c>
      <c r="U52" s="66">
        <f t="shared" si="92"/>
        <v>2.5333333333333333E-2</v>
      </c>
      <c r="V52" s="66">
        <f t="shared" si="92"/>
        <v>2.6666666666666668E-2</v>
      </c>
      <c r="W52" s="66">
        <f t="shared" si="92"/>
        <v>3.2000000000000001E-2</v>
      </c>
      <c r="X52" s="66">
        <f t="shared" si="92"/>
        <v>3.5999999999999997E-2</v>
      </c>
      <c r="Y52" s="66">
        <f t="shared" si="92"/>
        <v>3.2000000000000001E-2</v>
      </c>
      <c r="Z52" s="66">
        <f t="shared" si="92"/>
        <v>3.2000000000000001E-2</v>
      </c>
      <c r="AA52" s="66">
        <f t="shared" si="92"/>
        <v>2.8000000000000001E-2</v>
      </c>
      <c r="AB52" s="66">
        <f t="shared" si="92"/>
        <v>3.3333333333333333E-2</v>
      </c>
      <c r="AC52" s="66">
        <f t="shared" si="92"/>
        <v>3.7333333333333336E-2</v>
      </c>
      <c r="AD52" s="66">
        <f t="shared" si="92"/>
        <v>4.3999999999999997E-2</v>
      </c>
      <c r="AE52" s="66">
        <f t="shared" si="92"/>
        <v>4.3999999999999997E-2</v>
      </c>
      <c r="AF52" s="66">
        <f t="shared" si="92"/>
        <v>4.9333333333333333E-2</v>
      </c>
      <c r="AG52" s="66">
        <f t="shared" si="92"/>
        <v>4.3999999999999997E-2</v>
      </c>
      <c r="AH52" s="66">
        <f t="shared" si="92"/>
        <v>4.9333333333333333E-2</v>
      </c>
      <c r="AI52" s="66">
        <f t="shared" si="92"/>
        <v>4.1333333333333333E-2</v>
      </c>
      <c r="AJ52" s="66">
        <f t="shared" si="92"/>
        <v>4.1333333333333333E-2</v>
      </c>
      <c r="AK52" s="66">
        <f t="shared" si="92"/>
        <v>4.2666666666666665E-2</v>
      </c>
      <c r="AL52" s="66">
        <f t="shared" si="92"/>
        <v>4.2666666666666665E-2</v>
      </c>
      <c r="AM52" s="66">
        <f t="shared" si="92"/>
        <v>4.8000000000000001E-2</v>
      </c>
      <c r="AN52" s="66">
        <f t="shared" si="92"/>
        <v>5.3333333333333337E-2</v>
      </c>
      <c r="AO52" s="66">
        <f t="shared" si="92"/>
        <v>4.9333333333333333E-2</v>
      </c>
      <c r="AP52" s="66">
        <f t="shared" si="92"/>
        <v>6.933333333333333E-2</v>
      </c>
      <c r="AQ52" s="66">
        <f t="shared" si="92"/>
        <v>5.6000000000000001E-2</v>
      </c>
      <c r="AR52" s="66">
        <f t="shared" si="92"/>
        <v>6.8000000000000005E-2</v>
      </c>
      <c r="AS52" s="66">
        <f t="shared" si="92"/>
        <v>7.0666666666666669E-2</v>
      </c>
      <c r="AT52" s="66">
        <f t="shared" si="92"/>
        <v>8.4000000000000005E-2</v>
      </c>
      <c r="AU52" s="66">
        <f t="shared" si="92"/>
        <v>9.4666666666666663E-2</v>
      </c>
      <c r="AW52" s="10">
        <f t="shared" si="67"/>
        <v>0.94666666666666666</v>
      </c>
      <c r="AY52" s="10">
        <f t="shared" si="68"/>
        <v>6.0280000000000005</v>
      </c>
      <c r="AZ52" s="50">
        <f t="shared" si="69"/>
        <v>6.9746666666666668</v>
      </c>
      <c r="BB52" s="19"/>
      <c r="BC52" s="35"/>
      <c r="BD52" s="29">
        <v>25</v>
      </c>
      <c r="BE52" s="26"/>
      <c r="BF52" s="11"/>
      <c r="BG52" s="11"/>
      <c r="BI52" s="19">
        <f t="shared" si="70"/>
        <v>0</v>
      </c>
      <c r="BJ52" s="31">
        <f t="shared" si="71"/>
        <v>0</v>
      </c>
      <c r="BK52" s="29">
        <f t="shared" si="72"/>
        <v>174.36666666666667</v>
      </c>
      <c r="BL52" s="40">
        <f t="shared" si="73"/>
        <v>0</v>
      </c>
      <c r="BM52" s="11">
        <f t="shared" si="74"/>
        <v>0</v>
      </c>
      <c r="BN52" s="11">
        <f t="shared" si="75"/>
        <v>0</v>
      </c>
    </row>
    <row r="53" spans="1:66">
      <c r="A53" s="49" t="s">
        <v>38</v>
      </c>
      <c r="C53" s="47" t="s">
        <v>20</v>
      </c>
      <c r="D53" s="47"/>
      <c r="E53" s="47"/>
      <c r="F53" s="47"/>
      <c r="G53" s="47" t="s">
        <v>39</v>
      </c>
      <c r="H53" s="62">
        <f t="shared" ref="H53:AU53" si="93">CEILING((((H13*8*2)+(H14*16*2))/10)+5,1)</f>
        <v>7</v>
      </c>
      <c r="I53" s="62">
        <f t="shared" si="93"/>
        <v>9</v>
      </c>
      <c r="J53" s="62">
        <f t="shared" si="93"/>
        <v>7</v>
      </c>
      <c r="K53" s="62">
        <f t="shared" si="93"/>
        <v>9</v>
      </c>
      <c r="L53" s="62">
        <f t="shared" si="93"/>
        <v>9</v>
      </c>
      <c r="M53" s="62">
        <f t="shared" si="93"/>
        <v>9</v>
      </c>
      <c r="N53" s="62">
        <f t="shared" si="93"/>
        <v>10</v>
      </c>
      <c r="O53" s="62">
        <f t="shared" si="93"/>
        <v>12</v>
      </c>
      <c r="P53" s="62">
        <f t="shared" si="93"/>
        <v>10</v>
      </c>
      <c r="Q53" s="62">
        <f t="shared" si="93"/>
        <v>10</v>
      </c>
      <c r="R53" s="62">
        <f t="shared" si="93"/>
        <v>10</v>
      </c>
      <c r="S53" s="62">
        <f t="shared" si="93"/>
        <v>10</v>
      </c>
      <c r="T53" s="62">
        <f t="shared" si="93"/>
        <v>12</v>
      </c>
      <c r="U53" s="62">
        <f t="shared" si="93"/>
        <v>10</v>
      </c>
      <c r="V53" s="62">
        <f t="shared" si="93"/>
        <v>10</v>
      </c>
      <c r="W53" s="62">
        <f t="shared" si="93"/>
        <v>12</v>
      </c>
      <c r="X53" s="62">
        <f t="shared" si="93"/>
        <v>13</v>
      </c>
      <c r="Y53" s="62">
        <f t="shared" si="93"/>
        <v>12</v>
      </c>
      <c r="Z53" s="62">
        <f t="shared" si="93"/>
        <v>12</v>
      </c>
      <c r="AA53" s="62">
        <f t="shared" si="93"/>
        <v>10</v>
      </c>
      <c r="AB53" s="62">
        <f t="shared" si="93"/>
        <v>12</v>
      </c>
      <c r="AC53" s="62">
        <f t="shared" si="93"/>
        <v>13</v>
      </c>
      <c r="AD53" s="62">
        <f t="shared" si="93"/>
        <v>15</v>
      </c>
      <c r="AE53" s="62">
        <f t="shared" si="93"/>
        <v>15</v>
      </c>
      <c r="AF53" s="62">
        <f t="shared" si="93"/>
        <v>15</v>
      </c>
      <c r="AG53" s="62">
        <f t="shared" si="93"/>
        <v>13</v>
      </c>
      <c r="AH53" s="62">
        <f t="shared" si="93"/>
        <v>17</v>
      </c>
      <c r="AI53" s="62">
        <f t="shared" si="93"/>
        <v>13</v>
      </c>
      <c r="AJ53" s="62">
        <f t="shared" si="93"/>
        <v>12</v>
      </c>
      <c r="AK53" s="62">
        <f t="shared" si="93"/>
        <v>12</v>
      </c>
      <c r="AL53" s="62">
        <f t="shared" si="93"/>
        <v>12</v>
      </c>
      <c r="AM53" s="62">
        <f t="shared" si="93"/>
        <v>13</v>
      </c>
      <c r="AN53" s="62">
        <f t="shared" si="93"/>
        <v>15</v>
      </c>
      <c r="AO53" s="62">
        <f t="shared" si="93"/>
        <v>13</v>
      </c>
      <c r="AP53" s="62">
        <f t="shared" si="93"/>
        <v>21</v>
      </c>
      <c r="AQ53" s="62">
        <f t="shared" si="93"/>
        <v>15</v>
      </c>
      <c r="AR53" s="62">
        <f t="shared" si="93"/>
        <v>18</v>
      </c>
      <c r="AS53" s="62">
        <f t="shared" si="93"/>
        <v>18</v>
      </c>
      <c r="AT53" s="62">
        <f t="shared" si="93"/>
        <v>20</v>
      </c>
      <c r="AU53" s="62">
        <f t="shared" si="93"/>
        <v>23</v>
      </c>
      <c r="AW53" s="10">
        <f t="shared" si="67"/>
        <v>230</v>
      </c>
      <c r="AY53" s="10">
        <f t="shared" si="68"/>
        <v>2655</v>
      </c>
      <c r="AZ53" s="50">
        <f t="shared" si="69"/>
        <v>2885</v>
      </c>
      <c r="BB53" s="19"/>
      <c r="BC53" s="35"/>
      <c r="BD53" s="29">
        <v>1.5</v>
      </c>
      <c r="BE53" s="26"/>
      <c r="BF53" s="11"/>
      <c r="BG53" s="11"/>
      <c r="BI53" s="19">
        <f t="shared" si="70"/>
        <v>0</v>
      </c>
      <c r="BJ53" s="31">
        <f t="shared" si="71"/>
        <v>0</v>
      </c>
      <c r="BK53" s="29">
        <f t="shared" si="72"/>
        <v>4327.5</v>
      </c>
      <c r="BL53" s="40">
        <f t="shared" si="73"/>
        <v>0</v>
      </c>
      <c r="BM53" s="11">
        <f t="shared" si="74"/>
        <v>0</v>
      </c>
      <c r="BN53" s="11">
        <f t="shared" si="75"/>
        <v>0</v>
      </c>
    </row>
    <row r="54" spans="1:66">
      <c r="A54" s="49" t="s">
        <v>113</v>
      </c>
      <c r="C54" s="71" t="s">
        <v>20</v>
      </c>
      <c r="D54" s="71"/>
      <c r="E54" s="71"/>
      <c r="F54" s="71"/>
      <c r="G54" s="47" t="s">
        <v>112</v>
      </c>
      <c r="H54" s="62">
        <f t="shared" ref="H54:AU54" si="94">CEILING(H36/8,1)</f>
        <v>0</v>
      </c>
      <c r="I54" s="62">
        <f t="shared" si="94"/>
        <v>1</v>
      </c>
      <c r="J54" s="62">
        <f t="shared" si="94"/>
        <v>0</v>
      </c>
      <c r="K54" s="62">
        <f t="shared" si="94"/>
        <v>0</v>
      </c>
      <c r="L54" s="62">
        <f t="shared" si="94"/>
        <v>1</v>
      </c>
      <c r="M54" s="62">
        <f t="shared" si="94"/>
        <v>1</v>
      </c>
      <c r="N54" s="62">
        <f t="shared" si="94"/>
        <v>1</v>
      </c>
      <c r="O54" s="62">
        <f t="shared" si="94"/>
        <v>1</v>
      </c>
      <c r="P54" s="62">
        <f t="shared" si="94"/>
        <v>1</v>
      </c>
      <c r="Q54" s="62">
        <f t="shared" si="94"/>
        <v>1</v>
      </c>
      <c r="R54" s="62">
        <f t="shared" si="94"/>
        <v>1</v>
      </c>
      <c r="S54" s="62">
        <f t="shared" si="94"/>
        <v>1</v>
      </c>
      <c r="T54" s="62">
        <f t="shared" si="94"/>
        <v>1</v>
      </c>
      <c r="U54" s="62">
        <f t="shared" si="94"/>
        <v>1</v>
      </c>
      <c r="V54" s="62">
        <f t="shared" si="94"/>
        <v>1</v>
      </c>
      <c r="W54" s="62">
        <f t="shared" si="94"/>
        <v>1</v>
      </c>
      <c r="X54" s="62">
        <f t="shared" si="94"/>
        <v>1</v>
      </c>
      <c r="Y54" s="62">
        <f t="shared" si="94"/>
        <v>1</v>
      </c>
      <c r="Z54" s="62">
        <f t="shared" si="94"/>
        <v>1</v>
      </c>
      <c r="AA54" s="62">
        <f t="shared" si="94"/>
        <v>1</v>
      </c>
      <c r="AB54" s="62">
        <f t="shared" si="94"/>
        <v>1</v>
      </c>
      <c r="AC54" s="62">
        <f t="shared" si="94"/>
        <v>1</v>
      </c>
      <c r="AD54" s="62">
        <f t="shared" si="94"/>
        <v>1</v>
      </c>
      <c r="AE54" s="62">
        <f t="shared" si="94"/>
        <v>1</v>
      </c>
      <c r="AF54" s="62">
        <f t="shared" si="94"/>
        <v>2</v>
      </c>
      <c r="AG54" s="62">
        <f t="shared" si="94"/>
        <v>2</v>
      </c>
      <c r="AH54" s="62">
        <f t="shared" si="94"/>
        <v>1</v>
      </c>
      <c r="AI54" s="62">
        <f t="shared" si="94"/>
        <v>1</v>
      </c>
      <c r="AJ54" s="62">
        <f t="shared" si="94"/>
        <v>2</v>
      </c>
      <c r="AK54" s="62">
        <f t="shared" si="94"/>
        <v>2</v>
      </c>
      <c r="AL54" s="62">
        <f t="shared" si="94"/>
        <v>2</v>
      </c>
      <c r="AM54" s="62">
        <f t="shared" si="94"/>
        <v>2</v>
      </c>
      <c r="AN54" s="62">
        <f t="shared" si="94"/>
        <v>2</v>
      </c>
      <c r="AO54" s="62">
        <f t="shared" si="94"/>
        <v>2</v>
      </c>
      <c r="AP54" s="62">
        <f t="shared" si="94"/>
        <v>1</v>
      </c>
      <c r="AQ54" s="62">
        <f t="shared" si="94"/>
        <v>2</v>
      </c>
      <c r="AR54" s="62">
        <f t="shared" si="94"/>
        <v>2</v>
      </c>
      <c r="AS54" s="62">
        <f t="shared" si="94"/>
        <v>2</v>
      </c>
      <c r="AT54" s="62">
        <f t="shared" si="94"/>
        <v>3</v>
      </c>
      <c r="AU54" s="62">
        <f t="shared" si="94"/>
        <v>3</v>
      </c>
      <c r="AW54" s="10">
        <f t="shared" ref="AW54" si="95">AU54*$AU$5</f>
        <v>30</v>
      </c>
      <c r="AY54" s="10">
        <f t="shared" si="68"/>
        <v>237</v>
      </c>
      <c r="AZ54" s="50">
        <f t="shared" ref="AZ54" si="96">AW54+AY54</f>
        <v>267</v>
      </c>
      <c r="BB54" s="19"/>
      <c r="BC54" s="35"/>
      <c r="BD54" s="72">
        <v>1.5</v>
      </c>
      <c r="BE54" s="26"/>
      <c r="BF54" s="11"/>
      <c r="BG54" s="11"/>
      <c r="BI54" s="19">
        <f t="shared" si="70"/>
        <v>0</v>
      </c>
      <c r="BJ54" s="31">
        <f t="shared" si="71"/>
        <v>0</v>
      </c>
      <c r="BK54" s="29">
        <f t="shared" si="72"/>
        <v>400.5</v>
      </c>
      <c r="BL54" s="40">
        <f t="shared" si="73"/>
        <v>0</v>
      </c>
      <c r="BM54" s="11">
        <f t="shared" si="74"/>
        <v>0</v>
      </c>
      <c r="BN54" s="11">
        <f t="shared" si="75"/>
        <v>0</v>
      </c>
    </row>
    <row r="55" spans="1:66">
      <c r="A55" s="49" t="s">
        <v>40</v>
      </c>
      <c r="C55" s="47" t="s">
        <v>20</v>
      </c>
      <c r="D55" s="47"/>
      <c r="E55" s="47"/>
      <c r="F55" s="47"/>
      <c r="G55" s="47" t="s">
        <v>41</v>
      </c>
      <c r="H55" s="62">
        <f t="shared" ref="H55:AU55" si="97">H38</f>
        <v>1</v>
      </c>
      <c r="I55" s="62">
        <f t="shared" si="97"/>
        <v>1</v>
      </c>
      <c r="J55" s="62">
        <f t="shared" si="97"/>
        <v>1</v>
      </c>
      <c r="K55" s="62">
        <f t="shared" si="97"/>
        <v>1</v>
      </c>
      <c r="L55" s="62">
        <f t="shared" si="97"/>
        <v>1</v>
      </c>
      <c r="M55" s="62">
        <f t="shared" si="97"/>
        <v>1</v>
      </c>
      <c r="N55" s="62">
        <f t="shared" si="97"/>
        <v>1</v>
      </c>
      <c r="O55" s="62">
        <f t="shared" si="97"/>
        <v>1</v>
      </c>
      <c r="P55" s="62">
        <f t="shared" si="97"/>
        <v>1</v>
      </c>
      <c r="Q55" s="62">
        <f t="shared" si="97"/>
        <v>1</v>
      </c>
      <c r="R55" s="62">
        <f t="shared" si="97"/>
        <v>1</v>
      </c>
      <c r="S55" s="62">
        <f t="shared" si="97"/>
        <v>1</v>
      </c>
      <c r="T55" s="62">
        <f t="shared" si="97"/>
        <v>1</v>
      </c>
      <c r="U55" s="62">
        <f t="shared" si="97"/>
        <v>1</v>
      </c>
      <c r="V55" s="62">
        <f t="shared" si="97"/>
        <v>1</v>
      </c>
      <c r="W55" s="62">
        <f t="shared" si="97"/>
        <v>1</v>
      </c>
      <c r="X55" s="62">
        <f t="shared" si="97"/>
        <v>1</v>
      </c>
      <c r="Y55" s="62">
        <f t="shared" si="97"/>
        <v>1</v>
      </c>
      <c r="Z55" s="62">
        <f t="shared" si="97"/>
        <v>1</v>
      </c>
      <c r="AA55" s="62">
        <f t="shared" si="97"/>
        <v>1</v>
      </c>
      <c r="AB55" s="62">
        <f t="shared" si="97"/>
        <v>1</v>
      </c>
      <c r="AC55" s="62">
        <f t="shared" si="97"/>
        <v>1</v>
      </c>
      <c r="AD55" s="62">
        <f t="shared" si="97"/>
        <v>1</v>
      </c>
      <c r="AE55" s="62">
        <f t="shared" si="97"/>
        <v>1</v>
      </c>
      <c r="AF55" s="62">
        <f t="shared" si="97"/>
        <v>1</v>
      </c>
      <c r="AG55" s="62">
        <f t="shared" si="97"/>
        <v>1</v>
      </c>
      <c r="AH55" s="62">
        <f t="shared" si="97"/>
        <v>1</v>
      </c>
      <c r="AI55" s="62">
        <f t="shared" si="97"/>
        <v>1</v>
      </c>
      <c r="AJ55" s="62">
        <f t="shared" si="97"/>
        <v>1</v>
      </c>
      <c r="AK55" s="62">
        <f t="shared" si="97"/>
        <v>1</v>
      </c>
      <c r="AL55" s="62">
        <f t="shared" si="97"/>
        <v>1</v>
      </c>
      <c r="AM55" s="62">
        <f t="shared" si="97"/>
        <v>1</v>
      </c>
      <c r="AN55" s="62">
        <f t="shared" si="97"/>
        <v>1</v>
      </c>
      <c r="AO55" s="62">
        <f t="shared" si="97"/>
        <v>1</v>
      </c>
      <c r="AP55" s="62">
        <f t="shared" si="97"/>
        <v>1</v>
      </c>
      <c r="AQ55" s="62">
        <f t="shared" si="97"/>
        <v>1</v>
      </c>
      <c r="AR55" s="62">
        <f t="shared" si="97"/>
        <v>1</v>
      </c>
      <c r="AS55" s="62">
        <f t="shared" si="97"/>
        <v>1</v>
      </c>
      <c r="AT55" s="62">
        <f t="shared" si="97"/>
        <v>1</v>
      </c>
      <c r="AU55" s="62">
        <f t="shared" si="97"/>
        <v>1</v>
      </c>
      <c r="AW55" s="10">
        <f t="shared" si="67"/>
        <v>10</v>
      </c>
      <c r="AY55" s="10">
        <f t="shared" si="68"/>
        <v>277</v>
      </c>
      <c r="AZ55" s="50">
        <f t="shared" si="69"/>
        <v>287</v>
      </c>
      <c r="BB55" s="19"/>
      <c r="BC55" s="35"/>
      <c r="BD55" s="29">
        <v>0.5</v>
      </c>
      <c r="BE55" s="26"/>
      <c r="BF55" s="11"/>
      <c r="BG55" s="11"/>
      <c r="BI55" s="19">
        <f t="shared" si="70"/>
        <v>0</v>
      </c>
      <c r="BJ55" s="31">
        <f t="shared" si="71"/>
        <v>0</v>
      </c>
      <c r="BK55" s="29">
        <f t="shared" si="72"/>
        <v>143.5</v>
      </c>
      <c r="BL55" s="40">
        <f t="shared" si="73"/>
        <v>0</v>
      </c>
      <c r="BM55" s="11">
        <f t="shared" si="74"/>
        <v>0</v>
      </c>
      <c r="BN55" s="11">
        <f t="shared" si="75"/>
        <v>0</v>
      </c>
    </row>
    <row r="56" spans="1:66">
      <c r="A56" s="49" t="s">
        <v>42</v>
      </c>
      <c r="C56" s="47" t="s">
        <v>20</v>
      </c>
      <c r="D56" s="47"/>
      <c r="E56" s="47"/>
      <c r="F56" s="47"/>
      <c r="G56" s="47" t="s">
        <v>43</v>
      </c>
      <c r="H56" s="62">
        <f t="shared" ref="H56:AU56" si="98">(CEILING((H39/4+(H41+H43)/4),1)+5)</f>
        <v>10</v>
      </c>
      <c r="I56" s="62">
        <f t="shared" si="98"/>
        <v>15</v>
      </c>
      <c r="J56" s="62">
        <f t="shared" si="98"/>
        <v>12</v>
      </c>
      <c r="K56" s="62">
        <f t="shared" si="98"/>
        <v>14</v>
      </c>
      <c r="L56" s="62">
        <f t="shared" si="98"/>
        <v>17</v>
      </c>
      <c r="M56" s="62">
        <f t="shared" si="98"/>
        <v>17</v>
      </c>
      <c r="N56" s="62">
        <f t="shared" si="98"/>
        <v>20</v>
      </c>
      <c r="O56" s="62">
        <f t="shared" si="98"/>
        <v>23</v>
      </c>
      <c r="P56" s="62">
        <f t="shared" si="98"/>
        <v>21</v>
      </c>
      <c r="Q56" s="62">
        <f t="shared" si="98"/>
        <v>23</v>
      </c>
      <c r="R56" s="62">
        <f t="shared" si="98"/>
        <v>23</v>
      </c>
      <c r="S56" s="62">
        <f t="shared" si="98"/>
        <v>22</v>
      </c>
      <c r="T56" s="62">
        <f t="shared" si="98"/>
        <v>25</v>
      </c>
      <c r="U56" s="62">
        <f t="shared" si="98"/>
        <v>22</v>
      </c>
      <c r="V56" s="62">
        <f t="shared" si="98"/>
        <v>22</v>
      </c>
      <c r="W56" s="62">
        <f t="shared" si="98"/>
        <v>20</v>
      </c>
      <c r="X56" s="62">
        <f t="shared" si="98"/>
        <v>22</v>
      </c>
      <c r="Y56" s="62">
        <f t="shared" si="98"/>
        <v>19</v>
      </c>
      <c r="Z56" s="62">
        <f t="shared" si="98"/>
        <v>20</v>
      </c>
      <c r="AA56" s="62">
        <f t="shared" si="98"/>
        <v>24</v>
      </c>
      <c r="AB56" s="62">
        <f t="shared" si="98"/>
        <v>18</v>
      </c>
      <c r="AC56" s="62">
        <f t="shared" si="98"/>
        <v>30</v>
      </c>
      <c r="AD56" s="62">
        <f t="shared" si="98"/>
        <v>35</v>
      </c>
      <c r="AE56" s="62">
        <f t="shared" si="98"/>
        <v>35</v>
      </c>
      <c r="AF56" s="62">
        <f t="shared" si="98"/>
        <v>37</v>
      </c>
      <c r="AG56" s="62">
        <f t="shared" si="98"/>
        <v>33</v>
      </c>
      <c r="AH56" s="62">
        <f t="shared" si="98"/>
        <v>38</v>
      </c>
      <c r="AI56" s="62">
        <f t="shared" si="98"/>
        <v>35</v>
      </c>
      <c r="AJ56" s="62">
        <f t="shared" si="98"/>
        <v>18</v>
      </c>
      <c r="AK56" s="62">
        <f t="shared" si="98"/>
        <v>18</v>
      </c>
      <c r="AL56" s="62">
        <f t="shared" si="98"/>
        <v>18</v>
      </c>
      <c r="AM56" s="62">
        <f t="shared" si="98"/>
        <v>20</v>
      </c>
      <c r="AN56" s="62">
        <f t="shared" si="98"/>
        <v>40</v>
      </c>
      <c r="AO56" s="62">
        <f t="shared" si="98"/>
        <v>20</v>
      </c>
      <c r="AP56" s="62">
        <f t="shared" si="98"/>
        <v>51</v>
      </c>
      <c r="AQ56" s="62">
        <f t="shared" si="98"/>
        <v>42</v>
      </c>
      <c r="AR56" s="62">
        <f t="shared" si="98"/>
        <v>51</v>
      </c>
      <c r="AS56" s="62">
        <f t="shared" si="98"/>
        <v>52</v>
      </c>
      <c r="AT56" s="62">
        <f t="shared" si="98"/>
        <v>61</v>
      </c>
      <c r="AU56" s="62">
        <f t="shared" si="98"/>
        <v>72</v>
      </c>
      <c r="AW56" s="10">
        <f t="shared" si="67"/>
        <v>720</v>
      </c>
      <c r="AY56" s="10">
        <f t="shared" si="68"/>
        <v>5163</v>
      </c>
      <c r="AZ56" s="50">
        <f t="shared" si="69"/>
        <v>5883</v>
      </c>
      <c r="BB56" s="19"/>
      <c r="BC56" s="35"/>
      <c r="BD56" s="29">
        <v>0.2</v>
      </c>
      <c r="BE56" s="26"/>
      <c r="BF56" s="11"/>
      <c r="BG56" s="11"/>
      <c r="BI56" s="19">
        <f t="shared" si="70"/>
        <v>0</v>
      </c>
      <c r="BJ56" s="31">
        <f t="shared" si="71"/>
        <v>0</v>
      </c>
      <c r="BK56" s="29">
        <f t="shared" si="72"/>
        <v>1176.6000000000001</v>
      </c>
      <c r="BL56" s="40">
        <f t="shared" si="73"/>
        <v>0</v>
      </c>
      <c r="BM56" s="11">
        <f t="shared" si="74"/>
        <v>0</v>
      </c>
      <c r="BN56" s="11">
        <f t="shared" si="75"/>
        <v>0</v>
      </c>
    </row>
    <row r="57" spans="1:66">
      <c r="A57" s="49" t="s">
        <v>44</v>
      </c>
      <c r="C57" s="47" t="s">
        <v>20</v>
      </c>
      <c r="D57" s="47"/>
      <c r="E57" s="47"/>
      <c r="F57" s="47"/>
      <c r="G57" s="47" t="s">
        <v>45</v>
      </c>
      <c r="H57" s="62">
        <f t="shared" ref="H57:AU57" si="99">5+CEILING(((H16*4)+H39)*1.2/10,1)</f>
        <v>7</v>
      </c>
      <c r="I57" s="62">
        <f t="shared" si="99"/>
        <v>9</v>
      </c>
      <c r="J57" s="62">
        <f t="shared" si="99"/>
        <v>7</v>
      </c>
      <c r="K57" s="62">
        <f t="shared" si="99"/>
        <v>8</v>
      </c>
      <c r="L57" s="62">
        <f t="shared" si="99"/>
        <v>10</v>
      </c>
      <c r="M57" s="62">
        <f t="shared" si="99"/>
        <v>10</v>
      </c>
      <c r="N57" s="62">
        <f t="shared" si="99"/>
        <v>11</v>
      </c>
      <c r="O57" s="62">
        <f t="shared" si="99"/>
        <v>12</v>
      </c>
      <c r="P57" s="62">
        <f t="shared" si="99"/>
        <v>11</v>
      </c>
      <c r="Q57" s="62">
        <f t="shared" si="99"/>
        <v>12</v>
      </c>
      <c r="R57" s="62">
        <f t="shared" si="99"/>
        <v>12</v>
      </c>
      <c r="S57" s="62">
        <f t="shared" si="99"/>
        <v>11</v>
      </c>
      <c r="T57" s="62">
        <f t="shared" si="99"/>
        <v>13</v>
      </c>
      <c r="U57" s="62">
        <f t="shared" si="99"/>
        <v>12</v>
      </c>
      <c r="V57" s="62">
        <f t="shared" si="99"/>
        <v>11</v>
      </c>
      <c r="W57" s="62">
        <f t="shared" si="99"/>
        <v>14</v>
      </c>
      <c r="X57" s="62">
        <f t="shared" si="99"/>
        <v>14</v>
      </c>
      <c r="Y57" s="62">
        <f t="shared" si="99"/>
        <v>13</v>
      </c>
      <c r="Z57" s="62">
        <f t="shared" si="99"/>
        <v>14</v>
      </c>
      <c r="AA57" s="62">
        <f t="shared" si="99"/>
        <v>12</v>
      </c>
      <c r="AB57" s="62">
        <f t="shared" si="99"/>
        <v>13</v>
      </c>
      <c r="AC57" s="62">
        <f t="shared" si="99"/>
        <v>15</v>
      </c>
      <c r="AD57" s="62">
        <f t="shared" si="99"/>
        <v>17</v>
      </c>
      <c r="AE57" s="62">
        <f t="shared" si="99"/>
        <v>17</v>
      </c>
      <c r="AF57" s="62">
        <f t="shared" si="99"/>
        <v>17</v>
      </c>
      <c r="AG57" s="62">
        <f t="shared" si="99"/>
        <v>16</v>
      </c>
      <c r="AH57" s="62">
        <f t="shared" si="99"/>
        <v>18</v>
      </c>
      <c r="AI57" s="62">
        <f t="shared" si="99"/>
        <v>16</v>
      </c>
      <c r="AJ57" s="62">
        <f t="shared" si="99"/>
        <v>15</v>
      </c>
      <c r="AK57" s="62">
        <f t="shared" si="99"/>
        <v>15</v>
      </c>
      <c r="AL57" s="62">
        <f t="shared" si="99"/>
        <v>15</v>
      </c>
      <c r="AM57" s="62">
        <f t="shared" si="99"/>
        <v>16</v>
      </c>
      <c r="AN57" s="62">
        <f t="shared" si="99"/>
        <v>17</v>
      </c>
      <c r="AO57" s="62">
        <f t="shared" si="99"/>
        <v>17</v>
      </c>
      <c r="AP57" s="62">
        <f t="shared" si="99"/>
        <v>23</v>
      </c>
      <c r="AQ57" s="62">
        <f t="shared" si="99"/>
        <v>18</v>
      </c>
      <c r="AR57" s="62">
        <f t="shared" si="99"/>
        <v>21</v>
      </c>
      <c r="AS57" s="62">
        <f t="shared" si="99"/>
        <v>21</v>
      </c>
      <c r="AT57" s="62">
        <f t="shared" si="99"/>
        <v>24</v>
      </c>
      <c r="AU57" s="62">
        <f t="shared" si="99"/>
        <v>29</v>
      </c>
      <c r="AW57" s="10">
        <f t="shared" si="67"/>
        <v>290</v>
      </c>
      <c r="AY57" s="10">
        <f t="shared" si="68"/>
        <v>2943</v>
      </c>
      <c r="AZ57" s="50">
        <f t="shared" si="69"/>
        <v>3233</v>
      </c>
      <c r="BB57" s="19"/>
      <c r="BC57" s="35"/>
      <c r="BD57" s="29">
        <v>3.5</v>
      </c>
      <c r="BE57" s="26"/>
      <c r="BF57" s="11"/>
      <c r="BG57" s="11"/>
      <c r="BI57" s="19">
        <f t="shared" si="70"/>
        <v>0</v>
      </c>
      <c r="BJ57" s="31">
        <f t="shared" si="71"/>
        <v>0</v>
      </c>
      <c r="BK57" s="29">
        <f t="shared" si="72"/>
        <v>11315.5</v>
      </c>
      <c r="BL57" s="40">
        <f t="shared" si="73"/>
        <v>0</v>
      </c>
      <c r="BM57" s="11">
        <f t="shared" si="74"/>
        <v>0</v>
      </c>
      <c r="BN57" s="11">
        <f t="shared" si="75"/>
        <v>0</v>
      </c>
    </row>
    <row r="58" spans="1:66">
      <c r="A58" s="49" t="s">
        <v>46</v>
      </c>
      <c r="C58" s="47" t="s">
        <v>20</v>
      </c>
      <c r="D58" s="47"/>
      <c r="E58" s="47"/>
      <c r="F58" s="47"/>
      <c r="G58" s="47" t="s">
        <v>47</v>
      </c>
      <c r="H58" s="62">
        <v>5</v>
      </c>
      <c r="I58" s="62">
        <v>5</v>
      </c>
      <c r="J58" s="62">
        <v>5</v>
      </c>
      <c r="K58" s="62">
        <v>5</v>
      </c>
      <c r="L58" s="62">
        <v>5</v>
      </c>
      <c r="M58" s="62">
        <v>5</v>
      </c>
      <c r="N58" s="62">
        <v>5</v>
      </c>
      <c r="O58" s="62">
        <v>5</v>
      </c>
      <c r="P58" s="62">
        <v>5</v>
      </c>
      <c r="Q58" s="62">
        <v>5</v>
      </c>
      <c r="R58" s="62">
        <v>5</v>
      </c>
      <c r="S58" s="62">
        <v>5</v>
      </c>
      <c r="T58" s="62">
        <v>5</v>
      </c>
      <c r="U58" s="62">
        <v>5</v>
      </c>
      <c r="V58" s="62">
        <v>5</v>
      </c>
      <c r="W58" s="62">
        <v>5</v>
      </c>
      <c r="X58" s="62">
        <v>5</v>
      </c>
      <c r="Y58" s="62">
        <v>5</v>
      </c>
      <c r="Z58" s="62">
        <v>5</v>
      </c>
      <c r="AA58" s="62">
        <v>5</v>
      </c>
      <c r="AB58" s="62">
        <v>5</v>
      </c>
      <c r="AC58" s="62">
        <v>5</v>
      </c>
      <c r="AD58" s="62">
        <v>5</v>
      </c>
      <c r="AE58" s="62">
        <v>5</v>
      </c>
      <c r="AF58" s="62">
        <v>5</v>
      </c>
      <c r="AG58" s="62">
        <v>5</v>
      </c>
      <c r="AH58" s="62">
        <v>5</v>
      </c>
      <c r="AI58" s="62">
        <v>5</v>
      </c>
      <c r="AJ58" s="62">
        <v>5</v>
      </c>
      <c r="AK58" s="62">
        <v>5</v>
      </c>
      <c r="AL58" s="62">
        <v>5</v>
      </c>
      <c r="AM58" s="62">
        <v>5</v>
      </c>
      <c r="AN58" s="62">
        <v>5</v>
      </c>
      <c r="AO58" s="62">
        <v>5</v>
      </c>
      <c r="AP58" s="62">
        <v>5</v>
      </c>
      <c r="AQ58" s="62">
        <v>5</v>
      </c>
      <c r="AR58" s="62">
        <v>5</v>
      </c>
      <c r="AS58" s="62">
        <v>5</v>
      </c>
      <c r="AT58" s="62">
        <v>5</v>
      </c>
      <c r="AU58" s="62">
        <v>5</v>
      </c>
      <c r="AW58" s="10">
        <f t="shared" si="67"/>
        <v>50</v>
      </c>
      <c r="AY58" s="10">
        <f t="shared" si="68"/>
        <v>1385</v>
      </c>
      <c r="AZ58" s="50">
        <f t="shared" si="69"/>
        <v>1435</v>
      </c>
      <c r="BB58" s="19"/>
      <c r="BC58" s="35"/>
      <c r="BD58" s="29">
        <v>3.75</v>
      </c>
      <c r="BE58" s="26"/>
      <c r="BF58" s="11"/>
      <c r="BG58" s="11"/>
      <c r="BI58" s="19">
        <f t="shared" si="70"/>
        <v>0</v>
      </c>
      <c r="BJ58" s="31">
        <f t="shared" si="71"/>
        <v>0</v>
      </c>
      <c r="BK58" s="29">
        <f t="shared" si="72"/>
        <v>5381.25</v>
      </c>
      <c r="BL58" s="40">
        <f t="shared" si="73"/>
        <v>0</v>
      </c>
      <c r="BM58" s="11">
        <f t="shared" si="74"/>
        <v>0</v>
      </c>
      <c r="BN58" s="11">
        <f t="shared" si="75"/>
        <v>0</v>
      </c>
    </row>
    <row r="59" spans="1:66">
      <c r="A59" s="49" t="s">
        <v>48</v>
      </c>
      <c r="C59" s="47" t="s">
        <v>20</v>
      </c>
      <c r="D59" s="47"/>
      <c r="E59" s="47"/>
      <c r="F59" s="47"/>
      <c r="G59" s="47" t="s">
        <v>37</v>
      </c>
      <c r="H59" s="66">
        <f t="shared" ref="H59:AU59" si="100">(H40+H42+H39)/1500</f>
        <v>1.6666666666666666E-2</v>
      </c>
      <c r="I59" s="66">
        <f t="shared" si="100"/>
        <v>0.03</v>
      </c>
      <c r="J59" s="66">
        <f t="shared" si="100"/>
        <v>1.7333333333333333E-2</v>
      </c>
      <c r="K59" s="66">
        <f t="shared" si="100"/>
        <v>2.1999999999999999E-2</v>
      </c>
      <c r="L59" s="66">
        <f t="shared" si="100"/>
        <v>3.2000000000000001E-2</v>
      </c>
      <c r="M59" s="66">
        <f t="shared" si="100"/>
        <v>3.1333333333333331E-2</v>
      </c>
      <c r="N59" s="66">
        <f t="shared" si="100"/>
        <v>4.2000000000000003E-2</v>
      </c>
      <c r="O59" s="66">
        <f t="shared" si="100"/>
        <v>4.7333333333333331E-2</v>
      </c>
      <c r="P59" s="66">
        <f t="shared" si="100"/>
        <v>4.2666666666666665E-2</v>
      </c>
      <c r="Q59" s="66">
        <f t="shared" si="100"/>
        <v>4.3999999999999997E-2</v>
      </c>
      <c r="R59" s="66">
        <f t="shared" si="100"/>
        <v>4.3999999999999997E-2</v>
      </c>
      <c r="S59" s="66">
        <f t="shared" si="100"/>
        <v>4.1333333333333333E-2</v>
      </c>
      <c r="T59" s="66">
        <f t="shared" si="100"/>
        <v>4.8666666666666664E-2</v>
      </c>
      <c r="U59" s="66">
        <f t="shared" si="100"/>
        <v>4.3333333333333335E-2</v>
      </c>
      <c r="V59" s="66">
        <f t="shared" si="100"/>
        <v>3.8666666666666669E-2</v>
      </c>
      <c r="W59" s="66">
        <f t="shared" si="100"/>
        <v>5.1999999999999998E-2</v>
      </c>
      <c r="X59" s="66">
        <f t="shared" si="100"/>
        <v>5.9333333333333335E-2</v>
      </c>
      <c r="Y59" s="66">
        <f t="shared" si="100"/>
        <v>4.9333333333333333E-2</v>
      </c>
      <c r="Z59" s="66">
        <f t="shared" si="100"/>
        <v>5.1999999999999998E-2</v>
      </c>
      <c r="AA59" s="66">
        <f t="shared" si="100"/>
        <v>4.0666666666666663E-2</v>
      </c>
      <c r="AB59" s="66">
        <f t="shared" si="100"/>
        <v>4.8666666666666664E-2</v>
      </c>
      <c r="AC59" s="66">
        <f t="shared" si="100"/>
        <v>6.4666666666666664E-2</v>
      </c>
      <c r="AD59" s="66">
        <f t="shared" si="100"/>
        <v>7.3999999999999996E-2</v>
      </c>
      <c r="AE59" s="66">
        <f t="shared" si="100"/>
        <v>7.3999999999999996E-2</v>
      </c>
      <c r="AF59" s="66">
        <f t="shared" si="100"/>
        <v>0.08</v>
      </c>
      <c r="AG59" s="66">
        <f t="shared" si="100"/>
        <v>7.0000000000000007E-2</v>
      </c>
      <c r="AH59" s="66">
        <f t="shared" si="100"/>
        <v>8.4666666666666668E-2</v>
      </c>
      <c r="AI59" s="66">
        <f t="shared" si="100"/>
        <v>6.6000000000000003E-2</v>
      </c>
      <c r="AJ59" s="66">
        <f t="shared" si="100"/>
        <v>5.3333333333333337E-2</v>
      </c>
      <c r="AK59" s="66">
        <f t="shared" si="100"/>
        <v>5.4666666666666669E-2</v>
      </c>
      <c r="AL59" s="66">
        <f t="shared" si="100"/>
        <v>5.4666666666666669E-2</v>
      </c>
      <c r="AM59" s="66">
        <f t="shared" si="100"/>
        <v>6.2666666666666662E-2</v>
      </c>
      <c r="AN59" s="66">
        <f t="shared" si="100"/>
        <v>7.5333333333333335E-2</v>
      </c>
      <c r="AO59" s="66">
        <f t="shared" si="100"/>
        <v>6.4666666666666664E-2</v>
      </c>
      <c r="AP59" s="66">
        <f t="shared" si="100"/>
        <v>0.108</v>
      </c>
      <c r="AQ59" s="66">
        <f t="shared" si="100"/>
        <v>7.4666666666666673E-2</v>
      </c>
      <c r="AR59" s="66">
        <f t="shared" si="100"/>
        <v>9.4666666666666663E-2</v>
      </c>
      <c r="AS59" s="66">
        <f t="shared" si="100"/>
        <v>9.1333333333333336E-2</v>
      </c>
      <c r="AT59" s="66">
        <f t="shared" si="100"/>
        <v>0.108</v>
      </c>
      <c r="AU59" s="66">
        <f t="shared" si="100"/>
        <v>0.13733333333333334</v>
      </c>
      <c r="AW59" s="10">
        <f t="shared" si="67"/>
        <v>1.3733333333333333</v>
      </c>
      <c r="AY59" s="10">
        <f t="shared" si="68"/>
        <v>10.074666666666669</v>
      </c>
      <c r="AZ59" s="50">
        <f t="shared" si="69"/>
        <v>11.448000000000002</v>
      </c>
      <c r="BB59" s="19"/>
      <c r="BC59" s="35"/>
      <c r="BD59" s="29">
        <v>25</v>
      </c>
      <c r="BE59" s="26"/>
      <c r="BF59" s="11"/>
      <c r="BG59" s="11"/>
      <c r="BI59" s="19">
        <f t="shared" si="70"/>
        <v>0</v>
      </c>
      <c r="BJ59" s="31">
        <f t="shared" si="71"/>
        <v>0</v>
      </c>
      <c r="BK59" s="29">
        <f t="shared" si="72"/>
        <v>286.20000000000005</v>
      </c>
      <c r="BL59" s="40">
        <f t="shared" si="73"/>
        <v>0</v>
      </c>
      <c r="BM59" s="11">
        <f t="shared" si="74"/>
        <v>0</v>
      </c>
      <c r="BN59" s="11">
        <f t="shared" si="75"/>
        <v>0</v>
      </c>
    </row>
    <row r="60" spans="1:66">
      <c r="A60" s="49" t="s">
        <v>49</v>
      </c>
      <c r="C60" s="47" t="s">
        <v>20</v>
      </c>
      <c r="D60" s="47">
        <v>6</v>
      </c>
      <c r="E60" s="47">
        <v>44</v>
      </c>
      <c r="F60" s="47"/>
      <c r="G60" s="47" t="s">
        <v>50</v>
      </c>
      <c r="H60" s="62">
        <f>H56</f>
        <v>10</v>
      </c>
      <c r="I60" s="62">
        <f t="shared" ref="I60:Q60" si="101">I56</f>
        <v>15</v>
      </c>
      <c r="J60" s="62">
        <f t="shared" si="101"/>
        <v>12</v>
      </c>
      <c r="K60" s="62">
        <f t="shared" si="101"/>
        <v>14</v>
      </c>
      <c r="L60" s="62">
        <f t="shared" si="101"/>
        <v>17</v>
      </c>
      <c r="M60" s="62">
        <f t="shared" si="101"/>
        <v>17</v>
      </c>
      <c r="N60" s="62">
        <f t="shared" si="101"/>
        <v>20</v>
      </c>
      <c r="O60" s="62">
        <f t="shared" si="101"/>
        <v>23</v>
      </c>
      <c r="P60" s="62">
        <f t="shared" si="101"/>
        <v>21</v>
      </c>
      <c r="Q60" s="62">
        <f t="shared" si="101"/>
        <v>23</v>
      </c>
      <c r="R60" s="62">
        <f t="shared" ref="R60:AK60" si="102">R56</f>
        <v>23</v>
      </c>
      <c r="S60" s="62">
        <f t="shared" si="102"/>
        <v>22</v>
      </c>
      <c r="T60" s="62">
        <f t="shared" si="102"/>
        <v>25</v>
      </c>
      <c r="U60" s="62">
        <f t="shared" si="102"/>
        <v>22</v>
      </c>
      <c r="V60" s="62">
        <f t="shared" si="102"/>
        <v>22</v>
      </c>
      <c r="W60" s="62">
        <f t="shared" si="102"/>
        <v>20</v>
      </c>
      <c r="X60" s="62">
        <f t="shared" si="102"/>
        <v>22</v>
      </c>
      <c r="Y60" s="62">
        <f t="shared" si="102"/>
        <v>19</v>
      </c>
      <c r="Z60" s="62">
        <f t="shared" si="102"/>
        <v>20</v>
      </c>
      <c r="AA60" s="62">
        <f t="shared" si="102"/>
        <v>24</v>
      </c>
      <c r="AB60" s="62">
        <f t="shared" si="102"/>
        <v>18</v>
      </c>
      <c r="AC60" s="62">
        <f t="shared" si="102"/>
        <v>30</v>
      </c>
      <c r="AD60" s="62">
        <f t="shared" si="102"/>
        <v>35</v>
      </c>
      <c r="AE60" s="62">
        <f t="shared" si="102"/>
        <v>35</v>
      </c>
      <c r="AF60" s="62">
        <f t="shared" si="102"/>
        <v>37</v>
      </c>
      <c r="AG60" s="62">
        <f t="shared" si="102"/>
        <v>33</v>
      </c>
      <c r="AH60" s="62">
        <f t="shared" si="102"/>
        <v>38</v>
      </c>
      <c r="AI60" s="62">
        <f t="shared" si="102"/>
        <v>35</v>
      </c>
      <c r="AJ60" s="62">
        <f t="shared" si="102"/>
        <v>18</v>
      </c>
      <c r="AK60" s="62">
        <f t="shared" si="102"/>
        <v>18</v>
      </c>
      <c r="AL60" s="62">
        <f t="shared" ref="AL60:AS60" si="103">AL56</f>
        <v>18</v>
      </c>
      <c r="AM60" s="62">
        <f t="shared" si="103"/>
        <v>20</v>
      </c>
      <c r="AN60" s="62">
        <f t="shared" si="103"/>
        <v>40</v>
      </c>
      <c r="AO60" s="62">
        <f t="shared" si="103"/>
        <v>20</v>
      </c>
      <c r="AP60" s="62">
        <f t="shared" si="103"/>
        <v>51</v>
      </c>
      <c r="AQ60" s="62">
        <f t="shared" ref="AQ60" si="104">AQ56</f>
        <v>42</v>
      </c>
      <c r="AR60" s="62">
        <f t="shared" si="103"/>
        <v>51</v>
      </c>
      <c r="AS60" s="62">
        <f t="shared" si="103"/>
        <v>52</v>
      </c>
      <c r="AT60" s="62">
        <f t="shared" ref="AT60:AU60" si="105">AT56</f>
        <v>61</v>
      </c>
      <c r="AU60" s="62">
        <f t="shared" si="105"/>
        <v>72</v>
      </c>
      <c r="AW60" s="10">
        <f t="shared" si="67"/>
        <v>720</v>
      </c>
      <c r="AY60" s="10">
        <f t="shared" si="68"/>
        <v>5163</v>
      </c>
      <c r="AZ60" s="50">
        <f t="shared" si="69"/>
        <v>5883</v>
      </c>
      <c r="BB60" s="19"/>
      <c r="BC60" s="35"/>
      <c r="BD60" s="29">
        <v>0.2</v>
      </c>
      <c r="BE60" s="26"/>
      <c r="BF60" s="11"/>
      <c r="BG60" s="11"/>
      <c r="BI60" s="19">
        <f t="shared" si="70"/>
        <v>0</v>
      </c>
      <c r="BJ60" s="31">
        <f t="shared" si="71"/>
        <v>0</v>
      </c>
      <c r="BK60" s="29">
        <f t="shared" si="72"/>
        <v>1176.6000000000001</v>
      </c>
      <c r="BL60" s="40">
        <f t="shared" si="73"/>
        <v>0</v>
      </c>
      <c r="BM60" s="11">
        <f t="shared" si="74"/>
        <v>0</v>
      </c>
      <c r="BN60" s="11">
        <f t="shared" si="75"/>
        <v>0</v>
      </c>
    </row>
    <row r="61" spans="1:66">
      <c r="A61" s="49" t="s">
        <v>51</v>
      </c>
      <c r="C61" s="47" t="s">
        <v>20</v>
      </c>
      <c r="D61" s="47"/>
      <c r="E61" s="47"/>
      <c r="F61" s="47"/>
      <c r="G61" s="47" t="s">
        <v>52</v>
      </c>
      <c r="H61" s="62">
        <f t="shared" ref="H61:Q61" si="106">H60</f>
        <v>10</v>
      </c>
      <c r="I61" s="62">
        <f t="shared" si="106"/>
        <v>15</v>
      </c>
      <c r="J61" s="62">
        <f t="shared" si="106"/>
        <v>12</v>
      </c>
      <c r="K61" s="62">
        <f t="shared" si="106"/>
        <v>14</v>
      </c>
      <c r="L61" s="62">
        <f t="shared" si="106"/>
        <v>17</v>
      </c>
      <c r="M61" s="62">
        <f t="shared" si="106"/>
        <v>17</v>
      </c>
      <c r="N61" s="62">
        <f t="shared" si="106"/>
        <v>20</v>
      </c>
      <c r="O61" s="62">
        <f t="shared" si="106"/>
        <v>23</v>
      </c>
      <c r="P61" s="62">
        <f t="shared" si="106"/>
        <v>21</v>
      </c>
      <c r="Q61" s="62">
        <f t="shared" si="106"/>
        <v>23</v>
      </c>
      <c r="R61" s="62">
        <f t="shared" ref="R61:AK61" si="107">R60</f>
        <v>23</v>
      </c>
      <c r="S61" s="62">
        <f t="shared" si="107"/>
        <v>22</v>
      </c>
      <c r="T61" s="62">
        <f t="shared" si="107"/>
        <v>25</v>
      </c>
      <c r="U61" s="62">
        <f t="shared" si="107"/>
        <v>22</v>
      </c>
      <c r="V61" s="62">
        <f t="shared" si="107"/>
        <v>22</v>
      </c>
      <c r="W61" s="62">
        <f t="shared" si="107"/>
        <v>20</v>
      </c>
      <c r="X61" s="62">
        <f t="shared" si="107"/>
        <v>22</v>
      </c>
      <c r="Y61" s="62">
        <f t="shared" si="107"/>
        <v>19</v>
      </c>
      <c r="Z61" s="62">
        <f t="shared" si="107"/>
        <v>20</v>
      </c>
      <c r="AA61" s="62">
        <f t="shared" si="107"/>
        <v>24</v>
      </c>
      <c r="AB61" s="62">
        <f t="shared" si="107"/>
        <v>18</v>
      </c>
      <c r="AC61" s="62">
        <f t="shared" si="107"/>
        <v>30</v>
      </c>
      <c r="AD61" s="62">
        <f t="shared" si="107"/>
        <v>35</v>
      </c>
      <c r="AE61" s="62">
        <f t="shared" si="107"/>
        <v>35</v>
      </c>
      <c r="AF61" s="62">
        <f t="shared" si="107"/>
        <v>37</v>
      </c>
      <c r="AG61" s="62">
        <f t="shared" si="107"/>
        <v>33</v>
      </c>
      <c r="AH61" s="62">
        <f t="shared" si="107"/>
        <v>38</v>
      </c>
      <c r="AI61" s="62">
        <f t="shared" si="107"/>
        <v>35</v>
      </c>
      <c r="AJ61" s="62">
        <f t="shared" si="107"/>
        <v>18</v>
      </c>
      <c r="AK61" s="62">
        <f t="shared" si="107"/>
        <v>18</v>
      </c>
      <c r="AL61" s="62">
        <f t="shared" ref="AL61:AS61" si="108">AL60</f>
        <v>18</v>
      </c>
      <c r="AM61" s="62">
        <f t="shared" si="108"/>
        <v>20</v>
      </c>
      <c r="AN61" s="62">
        <f t="shared" si="108"/>
        <v>40</v>
      </c>
      <c r="AO61" s="62">
        <f t="shared" si="108"/>
        <v>20</v>
      </c>
      <c r="AP61" s="62">
        <f t="shared" si="108"/>
        <v>51</v>
      </c>
      <c r="AQ61" s="62">
        <f t="shared" ref="AQ61" si="109">AQ60</f>
        <v>42</v>
      </c>
      <c r="AR61" s="62">
        <f t="shared" si="108"/>
        <v>51</v>
      </c>
      <c r="AS61" s="62">
        <f t="shared" si="108"/>
        <v>52</v>
      </c>
      <c r="AT61" s="62">
        <f t="shared" ref="AT61:AU61" si="110">AT60</f>
        <v>61</v>
      </c>
      <c r="AU61" s="62">
        <f t="shared" si="110"/>
        <v>72</v>
      </c>
      <c r="AW61" s="10">
        <f t="shared" si="67"/>
        <v>720</v>
      </c>
      <c r="AY61" s="10">
        <f t="shared" si="68"/>
        <v>5163</v>
      </c>
      <c r="AZ61" s="50">
        <f t="shared" si="69"/>
        <v>5883</v>
      </c>
      <c r="BB61" s="19"/>
      <c r="BC61" s="35"/>
      <c r="BD61" s="29">
        <v>0.2</v>
      </c>
      <c r="BE61" s="26"/>
      <c r="BF61" s="11"/>
      <c r="BG61" s="11"/>
      <c r="BI61" s="19">
        <f t="shared" si="70"/>
        <v>0</v>
      </c>
      <c r="BJ61" s="31">
        <f t="shared" si="71"/>
        <v>0</v>
      </c>
      <c r="BK61" s="29">
        <f t="shared" si="72"/>
        <v>1176.6000000000001</v>
      </c>
      <c r="BL61" s="40">
        <f t="shared" si="73"/>
        <v>0</v>
      </c>
      <c r="BM61" s="11">
        <f t="shared" si="74"/>
        <v>0</v>
      </c>
      <c r="BN61" s="11">
        <f t="shared" si="75"/>
        <v>0</v>
      </c>
    </row>
    <row r="62" spans="1:66">
      <c r="A62" s="49" t="s">
        <v>53</v>
      </c>
      <c r="C62" s="47" t="s">
        <v>20</v>
      </c>
      <c r="D62" s="47"/>
      <c r="E62" s="47"/>
      <c r="F62" s="47"/>
      <c r="G62" s="47" t="s">
        <v>54</v>
      </c>
      <c r="H62" s="66">
        <f t="shared" ref="H62:Q62" si="111">H61/1500</f>
        <v>6.6666666666666671E-3</v>
      </c>
      <c r="I62" s="66">
        <f t="shared" si="111"/>
        <v>0.01</v>
      </c>
      <c r="J62" s="66">
        <f t="shared" si="111"/>
        <v>8.0000000000000002E-3</v>
      </c>
      <c r="K62" s="66">
        <f t="shared" si="111"/>
        <v>9.3333333333333341E-3</v>
      </c>
      <c r="L62" s="66">
        <f t="shared" si="111"/>
        <v>1.1333333333333334E-2</v>
      </c>
      <c r="M62" s="66">
        <f t="shared" si="111"/>
        <v>1.1333333333333334E-2</v>
      </c>
      <c r="N62" s="66">
        <f t="shared" si="111"/>
        <v>1.3333333333333334E-2</v>
      </c>
      <c r="O62" s="66">
        <f t="shared" si="111"/>
        <v>1.5333333333333332E-2</v>
      </c>
      <c r="P62" s="66">
        <f t="shared" si="111"/>
        <v>1.4E-2</v>
      </c>
      <c r="Q62" s="66">
        <f t="shared" si="111"/>
        <v>1.5333333333333332E-2</v>
      </c>
      <c r="R62" s="66">
        <f t="shared" ref="R62:AK62" si="112">R61/1500</f>
        <v>1.5333333333333332E-2</v>
      </c>
      <c r="S62" s="66">
        <f t="shared" si="112"/>
        <v>1.4666666666666666E-2</v>
      </c>
      <c r="T62" s="66">
        <f t="shared" si="112"/>
        <v>1.6666666666666666E-2</v>
      </c>
      <c r="U62" s="66">
        <f t="shared" si="112"/>
        <v>1.4666666666666666E-2</v>
      </c>
      <c r="V62" s="66">
        <f t="shared" si="112"/>
        <v>1.4666666666666666E-2</v>
      </c>
      <c r="W62" s="66">
        <f t="shared" si="112"/>
        <v>1.3333333333333334E-2</v>
      </c>
      <c r="X62" s="66">
        <f t="shared" si="112"/>
        <v>1.4666666666666666E-2</v>
      </c>
      <c r="Y62" s="66">
        <f t="shared" si="112"/>
        <v>1.2666666666666666E-2</v>
      </c>
      <c r="Z62" s="66">
        <f t="shared" si="112"/>
        <v>1.3333333333333334E-2</v>
      </c>
      <c r="AA62" s="66">
        <f t="shared" si="112"/>
        <v>1.6E-2</v>
      </c>
      <c r="AB62" s="66">
        <f t="shared" si="112"/>
        <v>1.2E-2</v>
      </c>
      <c r="AC62" s="66">
        <f t="shared" si="112"/>
        <v>0.02</v>
      </c>
      <c r="AD62" s="66">
        <f t="shared" si="112"/>
        <v>2.3333333333333334E-2</v>
      </c>
      <c r="AE62" s="66">
        <f t="shared" si="112"/>
        <v>2.3333333333333334E-2</v>
      </c>
      <c r="AF62" s="66">
        <f t="shared" si="112"/>
        <v>2.4666666666666667E-2</v>
      </c>
      <c r="AG62" s="66">
        <f t="shared" si="112"/>
        <v>2.1999999999999999E-2</v>
      </c>
      <c r="AH62" s="66">
        <f t="shared" si="112"/>
        <v>2.5333333333333333E-2</v>
      </c>
      <c r="AI62" s="66">
        <f t="shared" si="112"/>
        <v>2.3333333333333334E-2</v>
      </c>
      <c r="AJ62" s="66">
        <f t="shared" si="112"/>
        <v>1.2E-2</v>
      </c>
      <c r="AK62" s="66">
        <f t="shared" si="112"/>
        <v>1.2E-2</v>
      </c>
      <c r="AL62" s="66">
        <f t="shared" ref="AL62:AS62" si="113">AL61/1500</f>
        <v>1.2E-2</v>
      </c>
      <c r="AM62" s="66">
        <f t="shared" si="113"/>
        <v>1.3333333333333334E-2</v>
      </c>
      <c r="AN62" s="66">
        <f t="shared" si="113"/>
        <v>2.6666666666666668E-2</v>
      </c>
      <c r="AO62" s="66">
        <f t="shared" si="113"/>
        <v>1.3333333333333334E-2</v>
      </c>
      <c r="AP62" s="66">
        <f t="shared" si="113"/>
        <v>3.4000000000000002E-2</v>
      </c>
      <c r="AQ62" s="66">
        <f t="shared" ref="AQ62" si="114">AQ61/1500</f>
        <v>2.8000000000000001E-2</v>
      </c>
      <c r="AR62" s="66">
        <f t="shared" si="113"/>
        <v>3.4000000000000002E-2</v>
      </c>
      <c r="AS62" s="66">
        <f t="shared" si="113"/>
        <v>3.4666666666666665E-2</v>
      </c>
      <c r="AT62" s="66">
        <f t="shared" ref="AT62:AU62" si="115">AT61/1500</f>
        <v>4.0666666666666663E-2</v>
      </c>
      <c r="AU62" s="66">
        <f t="shared" si="115"/>
        <v>4.8000000000000001E-2</v>
      </c>
      <c r="AW62" s="10">
        <f t="shared" si="67"/>
        <v>0.48</v>
      </c>
      <c r="AY62" s="10">
        <f t="shared" si="68"/>
        <v>3.4420000000000002</v>
      </c>
      <c r="AZ62" s="50">
        <f t="shared" si="69"/>
        <v>3.9220000000000002</v>
      </c>
      <c r="BB62" s="19"/>
      <c r="BC62" s="35"/>
      <c r="BD62" s="29">
        <v>30</v>
      </c>
      <c r="BE62" s="26"/>
      <c r="BF62" s="11"/>
      <c r="BG62" s="11"/>
      <c r="BI62" s="19">
        <f t="shared" si="70"/>
        <v>0</v>
      </c>
      <c r="BJ62" s="31">
        <f t="shared" si="71"/>
        <v>0</v>
      </c>
      <c r="BK62" s="29">
        <f t="shared" si="72"/>
        <v>117.66000000000001</v>
      </c>
      <c r="BL62" s="40">
        <f t="shared" si="73"/>
        <v>0</v>
      </c>
      <c r="BM62" s="11">
        <f t="shared" si="74"/>
        <v>0</v>
      </c>
      <c r="BN62" s="11">
        <f t="shared" si="75"/>
        <v>0</v>
      </c>
    </row>
    <row r="63" spans="1:66">
      <c r="A63" s="49" t="s">
        <v>56</v>
      </c>
      <c r="C63" s="47" t="s">
        <v>55</v>
      </c>
      <c r="D63" s="47"/>
      <c r="E63" s="47"/>
      <c r="F63" s="47"/>
      <c r="G63" s="47"/>
      <c r="H63" s="62">
        <v>2</v>
      </c>
      <c r="I63" s="62">
        <v>2</v>
      </c>
      <c r="J63" s="62">
        <v>2</v>
      </c>
      <c r="K63" s="62">
        <v>2</v>
      </c>
      <c r="L63" s="62">
        <v>2</v>
      </c>
      <c r="M63" s="62">
        <v>2</v>
      </c>
      <c r="N63" s="62">
        <v>2</v>
      </c>
      <c r="O63" s="62">
        <v>2</v>
      </c>
      <c r="P63" s="62">
        <v>2</v>
      </c>
      <c r="Q63" s="62">
        <v>2</v>
      </c>
      <c r="R63" s="62">
        <v>2</v>
      </c>
      <c r="S63" s="62">
        <v>2</v>
      </c>
      <c r="T63" s="62">
        <v>2</v>
      </c>
      <c r="U63" s="62">
        <v>2</v>
      </c>
      <c r="V63" s="62">
        <v>2</v>
      </c>
      <c r="W63" s="62">
        <v>2</v>
      </c>
      <c r="X63" s="62">
        <v>2</v>
      </c>
      <c r="Y63" s="62">
        <v>2</v>
      </c>
      <c r="Z63" s="62">
        <v>2</v>
      </c>
      <c r="AA63" s="62">
        <v>2</v>
      </c>
      <c r="AB63" s="62">
        <v>2</v>
      </c>
      <c r="AC63" s="62">
        <v>2</v>
      </c>
      <c r="AD63" s="62">
        <v>2</v>
      </c>
      <c r="AE63" s="62">
        <v>2</v>
      </c>
      <c r="AF63" s="62">
        <v>2</v>
      </c>
      <c r="AG63" s="62">
        <v>2</v>
      </c>
      <c r="AH63" s="62">
        <v>2</v>
      </c>
      <c r="AI63" s="62">
        <v>2</v>
      </c>
      <c r="AJ63" s="62">
        <v>2</v>
      </c>
      <c r="AK63" s="62">
        <v>2</v>
      </c>
      <c r="AL63" s="62">
        <v>2</v>
      </c>
      <c r="AM63" s="62">
        <v>2</v>
      </c>
      <c r="AN63" s="62">
        <v>2</v>
      </c>
      <c r="AO63" s="62">
        <v>2</v>
      </c>
      <c r="AP63" s="62">
        <v>2</v>
      </c>
      <c r="AQ63" s="62">
        <v>2</v>
      </c>
      <c r="AR63" s="62">
        <v>2</v>
      </c>
      <c r="AS63" s="62">
        <v>2</v>
      </c>
      <c r="AT63" s="62">
        <v>2</v>
      </c>
      <c r="AU63" s="62">
        <v>2</v>
      </c>
      <c r="AW63" s="10">
        <f t="shared" si="67"/>
        <v>20</v>
      </c>
      <c r="AY63" s="10">
        <f t="shared" si="68"/>
        <v>554</v>
      </c>
      <c r="AZ63" s="50">
        <f t="shared" si="69"/>
        <v>574</v>
      </c>
      <c r="BB63" s="19"/>
      <c r="BC63" s="35">
        <v>0.04</v>
      </c>
      <c r="BD63" s="29"/>
      <c r="BE63" s="26"/>
      <c r="BF63" s="11"/>
      <c r="BG63" s="11"/>
      <c r="BI63" s="19">
        <f t="shared" si="70"/>
        <v>0</v>
      </c>
      <c r="BJ63" s="31">
        <f t="shared" si="71"/>
        <v>22.96</v>
      </c>
      <c r="BK63" s="29">
        <f t="shared" si="72"/>
        <v>0</v>
      </c>
      <c r="BL63" s="40">
        <f t="shared" si="73"/>
        <v>0</v>
      </c>
      <c r="BM63" s="11">
        <f t="shared" si="74"/>
        <v>0</v>
      </c>
      <c r="BN63" s="11">
        <f t="shared" si="75"/>
        <v>0</v>
      </c>
    </row>
    <row r="64" spans="1:66">
      <c r="A64" s="49" t="s">
        <v>57</v>
      </c>
      <c r="C64" s="47" t="s">
        <v>55</v>
      </c>
      <c r="D64" s="47"/>
      <c r="E64" s="47"/>
      <c r="F64" s="47"/>
      <c r="G64" s="47"/>
      <c r="H64" s="62">
        <f t="shared" ref="H64:AU64" si="116">H8+H13+H14+H15+H16+H19+H22</f>
        <v>4</v>
      </c>
      <c r="I64" s="62">
        <f t="shared" si="116"/>
        <v>5</v>
      </c>
      <c r="J64" s="62">
        <f t="shared" si="116"/>
        <v>5</v>
      </c>
      <c r="K64" s="62">
        <f t="shared" si="116"/>
        <v>5</v>
      </c>
      <c r="L64" s="62">
        <f t="shared" si="116"/>
        <v>6</v>
      </c>
      <c r="M64" s="62">
        <f t="shared" si="116"/>
        <v>6</v>
      </c>
      <c r="N64" s="62">
        <f t="shared" si="116"/>
        <v>7</v>
      </c>
      <c r="O64" s="62">
        <f t="shared" si="116"/>
        <v>7</v>
      </c>
      <c r="P64" s="62">
        <f t="shared" si="116"/>
        <v>7</v>
      </c>
      <c r="Q64" s="62">
        <f t="shared" si="116"/>
        <v>8</v>
      </c>
      <c r="R64" s="62">
        <f t="shared" si="116"/>
        <v>8</v>
      </c>
      <c r="S64" s="62">
        <f t="shared" si="116"/>
        <v>8</v>
      </c>
      <c r="T64" s="62">
        <f t="shared" si="116"/>
        <v>8</v>
      </c>
      <c r="U64" s="62">
        <f t="shared" si="116"/>
        <v>8</v>
      </c>
      <c r="V64" s="62">
        <f t="shared" si="116"/>
        <v>9</v>
      </c>
      <c r="W64" s="62">
        <f t="shared" si="116"/>
        <v>9</v>
      </c>
      <c r="X64" s="62">
        <f t="shared" si="116"/>
        <v>9</v>
      </c>
      <c r="Y64" s="62">
        <f t="shared" si="116"/>
        <v>9</v>
      </c>
      <c r="Z64" s="62">
        <f t="shared" si="116"/>
        <v>9</v>
      </c>
      <c r="AA64" s="62">
        <f t="shared" si="116"/>
        <v>10</v>
      </c>
      <c r="AB64" s="62">
        <f t="shared" si="116"/>
        <v>10</v>
      </c>
      <c r="AC64" s="62">
        <f t="shared" si="116"/>
        <v>10</v>
      </c>
      <c r="AD64" s="62">
        <f t="shared" si="116"/>
        <v>11</v>
      </c>
      <c r="AE64" s="62">
        <f t="shared" si="116"/>
        <v>11</v>
      </c>
      <c r="AF64" s="62">
        <f t="shared" si="116"/>
        <v>12</v>
      </c>
      <c r="AG64" s="62">
        <f t="shared" si="116"/>
        <v>12</v>
      </c>
      <c r="AH64" s="62">
        <f t="shared" si="116"/>
        <v>12</v>
      </c>
      <c r="AI64" s="62">
        <f t="shared" si="116"/>
        <v>13</v>
      </c>
      <c r="AJ64" s="62">
        <f t="shared" si="116"/>
        <v>13</v>
      </c>
      <c r="AK64" s="62">
        <f t="shared" si="116"/>
        <v>14</v>
      </c>
      <c r="AL64" s="62">
        <f t="shared" si="116"/>
        <v>14</v>
      </c>
      <c r="AM64" s="62">
        <f t="shared" si="116"/>
        <v>15</v>
      </c>
      <c r="AN64" s="62">
        <f t="shared" si="116"/>
        <v>15</v>
      </c>
      <c r="AO64" s="62">
        <f t="shared" si="116"/>
        <v>16</v>
      </c>
      <c r="AP64" s="62">
        <f t="shared" si="116"/>
        <v>16</v>
      </c>
      <c r="AQ64" s="62">
        <f t="shared" si="116"/>
        <v>17</v>
      </c>
      <c r="AR64" s="62">
        <f t="shared" si="116"/>
        <v>19</v>
      </c>
      <c r="AS64" s="62">
        <f t="shared" si="116"/>
        <v>21</v>
      </c>
      <c r="AT64" s="62">
        <f t="shared" si="116"/>
        <v>25</v>
      </c>
      <c r="AU64" s="62">
        <f t="shared" si="116"/>
        <v>26</v>
      </c>
      <c r="AW64" s="10">
        <f t="shared" si="67"/>
        <v>260</v>
      </c>
      <c r="AY64" s="10">
        <f t="shared" si="68"/>
        <v>1960</v>
      </c>
      <c r="AZ64" s="50">
        <f t="shared" si="69"/>
        <v>2220</v>
      </c>
      <c r="BB64" s="19"/>
      <c r="BC64" s="35">
        <v>0.04</v>
      </c>
      <c r="BD64" s="29"/>
      <c r="BE64" s="26"/>
      <c r="BF64" s="11"/>
      <c r="BG64" s="11"/>
      <c r="BI64" s="19">
        <f t="shared" si="70"/>
        <v>0</v>
      </c>
      <c r="BJ64" s="31">
        <f t="shared" si="71"/>
        <v>88.8</v>
      </c>
      <c r="BK64" s="29">
        <f t="shared" si="72"/>
        <v>0</v>
      </c>
      <c r="BL64" s="40">
        <f t="shared" si="73"/>
        <v>0</v>
      </c>
      <c r="BM64" s="11">
        <f t="shared" si="74"/>
        <v>0</v>
      </c>
      <c r="BN64" s="11">
        <f t="shared" si="75"/>
        <v>0</v>
      </c>
    </row>
    <row r="65" spans="1:89">
      <c r="A65" s="49" t="s">
        <v>58</v>
      </c>
      <c r="C65" s="47" t="s">
        <v>55</v>
      </c>
      <c r="D65" s="47"/>
      <c r="E65" s="47"/>
      <c r="F65" s="47"/>
      <c r="G65" s="47"/>
      <c r="H65" s="62">
        <f>H13+H14+H15+H16+H19+H22</f>
        <v>3</v>
      </c>
      <c r="I65" s="62">
        <f t="shared" ref="I65:AU65" si="117">I13+I14+I15+I16++I19+I22</f>
        <v>4</v>
      </c>
      <c r="J65" s="62">
        <f t="shared" si="117"/>
        <v>4</v>
      </c>
      <c r="K65" s="62">
        <f t="shared" si="117"/>
        <v>4</v>
      </c>
      <c r="L65" s="62">
        <f t="shared" si="117"/>
        <v>5</v>
      </c>
      <c r="M65" s="62">
        <f t="shared" si="117"/>
        <v>5</v>
      </c>
      <c r="N65" s="62">
        <f t="shared" si="117"/>
        <v>6</v>
      </c>
      <c r="O65" s="62">
        <f t="shared" si="117"/>
        <v>6</v>
      </c>
      <c r="P65" s="62">
        <f t="shared" si="117"/>
        <v>6</v>
      </c>
      <c r="Q65" s="62">
        <f t="shared" si="117"/>
        <v>7</v>
      </c>
      <c r="R65" s="62">
        <f t="shared" si="117"/>
        <v>7</v>
      </c>
      <c r="S65" s="62">
        <f t="shared" si="117"/>
        <v>7</v>
      </c>
      <c r="T65" s="62">
        <f t="shared" si="117"/>
        <v>7</v>
      </c>
      <c r="U65" s="62">
        <f t="shared" si="117"/>
        <v>7</v>
      </c>
      <c r="V65" s="62">
        <f t="shared" si="117"/>
        <v>8</v>
      </c>
      <c r="W65" s="62">
        <f t="shared" si="117"/>
        <v>8</v>
      </c>
      <c r="X65" s="62">
        <f t="shared" si="117"/>
        <v>8</v>
      </c>
      <c r="Y65" s="62">
        <f t="shared" si="117"/>
        <v>8</v>
      </c>
      <c r="Z65" s="62">
        <f t="shared" si="117"/>
        <v>8</v>
      </c>
      <c r="AA65" s="62">
        <f t="shared" si="117"/>
        <v>9</v>
      </c>
      <c r="AB65" s="62">
        <f t="shared" si="117"/>
        <v>9</v>
      </c>
      <c r="AC65" s="62">
        <f t="shared" si="117"/>
        <v>9</v>
      </c>
      <c r="AD65" s="62">
        <f t="shared" si="117"/>
        <v>10</v>
      </c>
      <c r="AE65" s="62">
        <f t="shared" si="117"/>
        <v>10</v>
      </c>
      <c r="AF65" s="62">
        <f t="shared" si="117"/>
        <v>11</v>
      </c>
      <c r="AG65" s="62">
        <f t="shared" si="117"/>
        <v>11</v>
      </c>
      <c r="AH65" s="62">
        <f t="shared" si="117"/>
        <v>11</v>
      </c>
      <c r="AI65" s="62">
        <f t="shared" si="117"/>
        <v>12</v>
      </c>
      <c r="AJ65" s="62">
        <f t="shared" si="117"/>
        <v>12</v>
      </c>
      <c r="AK65" s="62">
        <f t="shared" si="117"/>
        <v>13</v>
      </c>
      <c r="AL65" s="62">
        <f t="shared" si="117"/>
        <v>13</v>
      </c>
      <c r="AM65" s="62">
        <f t="shared" si="117"/>
        <v>14</v>
      </c>
      <c r="AN65" s="62">
        <f t="shared" si="117"/>
        <v>14</v>
      </c>
      <c r="AO65" s="62">
        <f t="shared" si="117"/>
        <v>15</v>
      </c>
      <c r="AP65" s="62">
        <f t="shared" si="117"/>
        <v>15</v>
      </c>
      <c r="AQ65" s="62">
        <f t="shared" si="117"/>
        <v>16</v>
      </c>
      <c r="AR65" s="62">
        <f t="shared" si="117"/>
        <v>18</v>
      </c>
      <c r="AS65" s="62">
        <f t="shared" si="117"/>
        <v>20</v>
      </c>
      <c r="AT65" s="62">
        <f t="shared" si="117"/>
        <v>24</v>
      </c>
      <c r="AU65" s="62">
        <f t="shared" si="117"/>
        <v>25</v>
      </c>
      <c r="AW65" s="10">
        <f t="shared" si="67"/>
        <v>250</v>
      </c>
      <c r="AY65" s="10">
        <f t="shared" si="68"/>
        <v>1683</v>
      </c>
      <c r="AZ65" s="50">
        <f t="shared" si="69"/>
        <v>1933</v>
      </c>
      <c r="BB65" s="19"/>
      <c r="BC65" s="35">
        <v>0.04</v>
      </c>
      <c r="BD65" s="29"/>
      <c r="BE65" s="26"/>
      <c r="BF65" s="11"/>
      <c r="BG65" s="11"/>
      <c r="BI65" s="19">
        <f t="shared" si="70"/>
        <v>0</v>
      </c>
      <c r="BJ65" s="31">
        <f t="shared" si="71"/>
        <v>77.320000000000007</v>
      </c>
      <c r="BK65" s="29">
        <f t="shared" si="72"/>
        <v>0</v>
      </c>
      <c r="BL65" s="40">
        <f t="shared" si="73"/>
        <v>0</v>
      </c>
      <c r="BM65" s="11">
        <f t="shared" si="74"/>
        <v>0</v>
      </c>
      <c r="BN65" s="11">
        <f t="shared" si="75"/>
        <v>0</v>
      </c>
    </row>
    <row r="66" spans="1:89">
      <c r="A66" s="49" t="s">
        <v>59</v>
      </c>
      <c r="C66" s="47" t="s">
        <v>55</v>
      </c>
      <c r="D66" s="47"/>
      <c r="E66" s="47"/>
      <c r="F66" s="47"/>
      <c r="G66" s="47"/>
      <c r="H66" s="62">
        <f t="shared" ref="H66:AU66" si="118">H16*4</f>
        <v>4</v>
      </c>
      <c r="I66" s="62">
        <f t="shared" si="118"/>
        <v>4</v>
      </c>
      <c r="J66" s="62">
        <f t="shared" si="118"/>
        <v>8</v>
      </c>
      <c r="K66" s="62">
        <f t="shared" si="118"/>
        <v>8</v>
      </c>
      <c r="L66" s="62">
        <f t="shared" si="118"/>
        <v>8</v>
      </c>
      <c r="M66" s="62">
        <f t="shared" si="118"/>
        <v>8</v>
      </c>
      <c r="N66" s="62">
        <f t="shared" si="118"/>
        <v>8</v>
      </c>
      <c r="O66" s="62">
        <f t="shared" si="118"/>
        <v>8</v>
      </c>
      <c r="P66" s="62">
        <f t="shared" si="118"/>
        <v>8</v>
      </c>
      <c r="Q66" s="62">
        <f t="shared" si="118"/>
        <v>12</v>
      </c>
      <c r="R66" s="62">
        <f t="shared" si="118"/>
        <v>12</v>
      </c>
      <c r="S66" s="62">
        <f t="shared" si="118"/>
        <v>12</v>
      </c>
      <c r="T66" s="62">
        <f t="shared" si="118"/>
        <v>12</v>
      </c>
      <c r="U66" s="62">
        <f t="shared" si="118"/>
        <v>12</v>
      </c>
      <c r="V66" s="62">
        <f t="shared" si="118"/>
        <v>16</v>
      </c>
      <c r="W66" s="62">
        <f t="shared" si="118"/>
        <v>16</v>
      </c>
      <c r="X66" s="62">
        <f t="shared" si="118"/>
        <v>12</v>
      </c>
      <c r="Y66" s="62">
        <f t="shared" si="118"/>
        <v>16</v>
      </c>
      <c r="Z66" s="62">
        <f t="shared" si="118"/>
        <v>16</v>
      </c>
      <c r="AA66" s="62">
        <f t="shared" si="118"/>
        <v>20</v>
      </c>
      <c r="AB66" s="62">
        <f t="shared" si="118"/>
        <v>20</v>
      </c>
      <c r="AC66" s="62">
        <f t="shared" si="118"/>
        <v>16</v>
      </c>
      <c r="AD66" s="62">
        <f t="shared" si="118"/>
        <v>20</v>
      </c>
      <c r="AE66" s="62">
        <f t="shared" si="118"/>
        <v>20</v>
      </c>
      <c r="AF66" s="62">
        <f t="shared" si="118"/>
        <v>20</v>
      </c>
      <c r="AG66" s="62">
        <f t="shared" si="118"/>
        <v>20</v>
      </c>
      <c r="AH66" s="62">
        <f t="shared" si="118"/>
        <v>20</v>
      </c>
      <c r="AI66" s="62">
        <f t="shared" si="118"/>
        <v>28</v>
      </c>
      <c r="AJ66" s="62">
        <f t="shared" si="118"/>
        <v>28</v>
      </c>
      <c r="AK66" s="62">
        <f t="shared" si="118"/>
        <v>32</v>
      </c>
      <c r="AL66" s="62">
        <f t="shared" si="118"/>
        <v>32</v>
      </c>
      <c r="AM66" s="62">
        <f t="shared" si="118"/>
        <v>32</v>
      </c>
      <c r="AN66" s="62">
        <f t="shared" si="118"/>
        <v>32</v>
      </c>
      <c r="AO66" s="62">
        <f t="shared" si="118"/>
        <v>36</v>
      </c>
      <c r="AP66" s="62">
        <f t="shared" si="118"/>
        <v>32</v>
      </c>
      <c r="AQ66" s="62">
        <f t="shared" si="118"/>
        <v>40</v>
      </c>
      <c r="AR66" s="62">
        <f t="shared" si="118"/>
        <v>44</v>
      </c>
      <c r="AS66" s="62">
        <f t="shared" si="118"/>
        <v>52</v>
      </c>
      <c r="AT66" s="62">
        <f t="shared" si="118"/>
        <v>60</v>
      </c>
      <c r="AU66" s="62">
        <f t="shared" si="118"/>
        <v>60</v>
      </c>
      <c r="AW66" s="10">
        <f t="shared" si="67"/>
        <v>600</v>
      </c>
      <c r="AY66" s="10">
        <f t="shared" si="68"/>
        <v>2980</v>
      </c>
      <c r="AZ66" s="50">
        <f t="shared" si="69"/>
        <v>3580</v>
      </c>
      <c r="BB66" s="19"/>
      <c r="BC66" s="35">
        <v>0.04</v>
      </c>
      <c r="BD66" s="29"/>
      <c r="BE66" s="26"/>
      <c r="BF66" s="11"/>
      <c r="BG66" s="11"/>
      <c r="BI66" s="19">
        <f t="shared" si="70"/>
        <v>0</v>
      </c>
      <c r="BJ66" s="31">
        <f t="shared" si="71"/>
        <v>143.20000000000002</v>
      </c>
      <c r="BK66" s="29">
        <f t="shared" si="72"/>
        <v>0</v>
      </c>
      <c r="BL66" s="40">
        <f t="shared" si="73"/>
        <v>0</v>
      </c>
      <c r="BM66" s="11">
        <f t="shared" si="74"/>
        <v>0</v>
      </c>
      <c r="BN66" s="11">
        <f t="shared" si="75"/>
        <v>0</v>
      </c>
    </row>
    <row r="67" spans="1:89">
      <c r="A67" s="49" t="s">
        <v>60</v>
      </c>
      <c r="C67" s="47" t="s">
        <v>55</v>
      </c>
      <c r="D67" s="47"/>
      <c r="E67" s="47"/>
      <c r="F67" s="47"/>
      <c r="G67" s="47"/>
      <c r="H67" s="62">
        <v>2</v>
      </c>
      <c r="I67" s="62">
        <v>2</v>
      </c>
      <c r="J67" s="62">
        <v>2</v>
      </c>
      <c r="K67" s="62">
        <v>2</v>
      </c>
      <c r="L67" s="62">
        <v>2</v>
      </c>
      <c r="M67" s="62">
        <v>2</v>
      </c>
      <c r="N67" s="62">
        <v>2</v>
      </c>
      <c r="O67" s="62">
        <v>2</v>
      </c>
      <c r="P67" s="62">
        <v>2</v>
      </c>
      <c r="Q67" s="62">
        <v>2</v>
      </c>
      <c r="R67" s="62">
        <v>2</v>
      </c>
      <c r="S67" s="62">
        <v>2</v>
      </c>
      <c r="T67" s="62">
        <v>2</v>
      </c>
      <c r="U67" s="62">
        <v>2</v>
      </c>
      <c r="V67" s="62">
        <v>2</v>
      </c>
      <c r="W67" s="62">
        <v>2</v>
      </c>
      <c r="X67" s="62">
        <v>2</v>
      </c>
      <c r="Y67" s="62">
        <v>2</v>
      </c>
      <c r="Z67" s="62">
        <v>2</v>
      </c>
      <c r="AA67" s="62">
        <v>2</v>
      </c>
      <c r="AB67" s="62">
        <v>2</v>
      </c>
      <c r="AC67" s="62">
        <v>2</v>
      </c>
      <c r="AD67" s="62">
        <v>2</v>
      </c>
      <c r="AE67" s="62">
        <v>2</v>
      </c>
      <c r="AF67" s="62">
        <v>2</v>
      </c>
      <c r="AG67" s="62">
        <v>2</v>
      </c>
      <c r="AH67" s="62">
        <v>2</v>
      </c>
      <c r="AI67" s="62">
        <v>2</v>
      </c>
      <c r="AJ67" s="62">
        <v>2</v>
      </c>
      <c r="AK67" s="62">
        <v>2</v>
      </c>
      <c r="AL67" s="62">
        <v>2</v>
      </c>
      <c r="AM67" s="62">
        <v>2</v>
      </c>
      <c r="AN67" s="62">
        <v>2</v>
      </c>
      <c r="AO67" s="62">
        <v>2</v>
      </c>
      <c r="AP67" s="62">
        <v>2</v>
      </c>
      <c r="AQ67" s="62">
        <v>2</v>
      </c>
      <c r="AR67" s="62">
        <v>2</v>
      </c>
      <c r="AS67" s="62">
        <v>2</v>
      </c>
      <c r="AT67" s="62">
        <v>2</v>
      </c>
      <c r="AU67" s="62">
        <v>2</v>
      </c>
      <c r="AW67" s="10">
        <f t="shared" si="67"/>
        <v>20</v>
      </c>
      <c r="AY67" s="10">
        <f t="shared" si="68"/>
        <v>554</v>
      </c>
      <c r="AZ67" s="50">
        <f t="shared" si="69"/>
        <v>574</v>
      </c>
      <c r="BB67" s="19"/>
      <c r="BC67" s="35">
        <v>2.5</v>
      </c>
      <c r="BD67" s="29"/>
      <c r="BE67" s="26"/>
      <c r="BF67" s="11"/>
      <c r="BG67" s="11"/>
      <c r="BI67" s="19">
        <f t="shared" si="70"/>
        <v>0</v>
      </c>
      <c r="BJ67" s="31">
        <f t="shared" si="71"/>
        <v>1435</v>
      </c>
      <c r="BK67" s="29">
        <f t="shared" si="72"/>
        <v>0</v>
      </c>
      <c r="BL67" s="40">
        <f t="shared" si="73"/>
        <v>0</v>
      </c>
      <c r="BM67" s="11">
        <f t="shared" si="74"/>
        <v>0</v>
      </c>
      <c r="BN67" s="11">
        <f t="shared" si="75"/>
        <v>0</v>
      </c>
    </row>
    <row r="68" spans="1:89">
      <c r="A68" s="49" t="s">
        <v>61</v>
      </c>
      <c r="C68" s="47" t="s">
        <v>55</v>
      </c>
      <c r="D68" s="47"/>
      <c r="E68" s="47"/>
      <c r="F68" s="47"/>
      <c r="G68" s="47"/>
      <c r="H68" s="62">
        <v>4</v>
      </c>
      <c r="I68" s="62">
        <v>4</v>
      </c>
      <c r="J68" s="62">
        <v>4</v>
      </c>
      <c r="K68" s="62">
        <v>4</v>
      </c>
      <c r="L68" s="62">
        <v>4</v>
      </c>
      <c r="M68" s="62">
        <v>4</v>
      </c>
      <c r="N68" s="62">
        <v>4</v>
      </c>
      <c r="O68" s="62">
        <v>4</v>
      </c>
      <c r="P68" s="62">
        <v>4</v>
      </c>
      <c r="Q68" s="62">
        <v>4</v>
      </c>
      <c r="R68" s="62">
        <v>4</v>
      </c>
      <c r="S68" s="62">
        <v>4</v>
      </c>
      <c r="T68" s="62">
        <v>4</v>
      </c>
      <c r="U68" s="62">
        <v>4</v>
      </c>
      <c r="V68" s="62">
        <v>4</v>
      </c>
      <c r="W68" s="62">
        <v>4</v>
      </c>
      <c r="X68" s="62">
        <v>4</v>
      </c>
      <c r="Y68" s="62">
        <v>4</v>
      </c>
      <c r="Z68" s="62">
        <v>4</v>
      </c>
      <c r="AA68" s="62">
        <v>4</v>
      </c>
      <c r="AB68" s="62">
        <v>4</v>
      </c>
      <c r="AC68" s="62">
        <v>4</v>
      </c>
      <c r="AD68" s="62">
        <v>4</v>
      </c>
      <c r="AE68" s="62">
        <v>4</v>
      </c>
      <c r="AF68" s="62">
        <v>4</v>
      </c>
      <c r="AG68" s="62">
        <v>4</v>
      </c>
      <c r="AH68" s="62">
        <v>4</v>
      </c>
      <c r="AI68" s="62">
        <v>4</v>
      </c>
      <c r="AJ68" s="62">
        <v>4</v>
      </c>
      <c r="AK68" s="62">
        <v>4</v>
      </c>
      <c r="AL68" s="62">
        <v>4</v>
      </c>
      <c r="AM68" s="62">
        <v>4</v>
      </c>
      <c r="AN68" s="62">
        <v>4</v>
      </c>
      <c r="AO68" s="62">
        <v>4</v>
      </c>
      <c r="AP68" s="62">
        <v>4</v>
      </c>
      <c r="AQ68" s="62">
        <v>4</v>
      </c>
      <c r="AR68" s="62">
        <v>4</v>
      </c>
      <c r="AS68" s="62">
        <v>4</v>
      </c>
      <c r="AT68" s="62">
        <v>4</v>
      </c>
      <c r="AU68" s="62">
        <v>4</v>
      </c>
      <c r="AW68" s="10">
        <f t="shared" si="67"/>
        <v>40</v>
      </c>
      <c r="AY68" s="10">
        <f t="shared" si="68"/>
        <v>1108</v>
      </c>
      <c r="AZ68" s="50">
        <f t="shared" si="69"/>
        <v>1148</v>
      </c>
      <c r="BB68" s="19"/>
      <c r="BC68" s="19">
        <v>2.8</v>
      </c>
      <c r="BD68" s="29"/>
      <c r="BE68" s="26"/>
      <c r="BF68" s="11"/>
      <c r="BG68" s="11"/>
      <c r="BI68" s="19">
        <f t="shared" si="70"/>
        <v>0</v>
      </c>
      <c r="BJ68" s="31">
        <f t="shared" si="71"/>
        <v>3214.3999999999996</v>
      </c>
      <c r="BK68" s="29">
        <f t="shared" si="72"/>
        <v>0</v>
      </c>
      <c r="BL68" s="40">
        <f t="shared" si="73"/>
        <v>0</v>
      </c>
      <c r="BM68" s="11">
        <f t="shared" si="74"/>
        <v>0</v>
      </c>
      <c r="BN68" s="11">
        <f t="shared" si="75"/>
        <v>0</v>
      </c>
    </row>
    <row r="69" spans="1:89">
      <c r="A69" s="51"/>
      <c r="C69" s="53"/>
      <c r="D69" s="53"/>
      <c r="E69" s="53"/>
      <c r="F69" s="53"/>
      <c r="G69" s="5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W69" s="17"/>
      <c r="BB69" s="3"/>
      <c r="BC69" s="54"/>
      <c r="BD69" s="54"/>
      <c r="BF69" s="55"/>
      <c r="BG69" s="55"/>
      <c r="BI69" s="3"/>
      <c r="BJ69" s="56"/>
      <c r="BK69" s="57"/>
      <c r="BL69" s="4"/>
      <c r="BM69" s="55"/>
      <c r="BN69" s="55"/>
    </row>
    <row r="70" spans="1:89" s="1" customFormat="1" ht="18">
      <c r="A70" s="37" t="s">
        <v>173</v>
      </c>
      <c r="B70"/>
      <c r="C70" s="16"/>
      <c r="D70" s="16"/>
      <c r="E70" s="16"/>
      <c r="F70" s="16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W70" s="52"/>
      <c r="AX70" s="17"/>
      <c r="AY70" s="17"/>
      <c r="AZ70" s="17"/>
      <c r="BA70"/>
      <c r="BB70" s="3"/>
      <c r="BC70" s="3"/>
      <c r="BD70" s="3"/>
      <c r="BE70" s="4"/>
      <c r="BF70" s="3"/>
      <c r="BG70" s="3"/>
      <c r="BI70" s="38">
        <f t="shared" ref="BI70:BN70" si="119">SUBTOTAL(9,BI71:BI72)</f>
        <v>0</v>
      </c>
      <c r="BJ70" s="38">
        <f t="shared" si="119"/>
        <v>0</v>
      </c>
      <c r="BK70" s="39">
        <f t="shared" si="119"/>
        <v>102252.36</v>
      </c>
      <c r="BL70" s="39">
        <f t="shared" si="119"/>
        <v>0</v>
      </c>
      <c r="BM70" s="44">
        <f t="shared" si="119"/>
        <v>0</v>
      </c>
      <c r="BN70" s="44">
        <f t="shared" si="119"/>
        <v>0</v>
      </c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</row>
    <row r="71" spans="1:89">
      <c r="A71" s="49" t="s">
        <v>181</v>
      </c>
      <c r="C71" s="47" t="s">
        <v>62</v>
      </c>
      <c r="D71" s="47"/>
      <c r="E71" s="47"/>
      <c r="F71" s="47"/>
      <c r="G71" s="68">
        <v>1038000</v>
      </c>
      <c r="H71" s="62">
        <v>1</v>
      </c>
      <c r="I71" s="62">
        <v>1</v>
      </c>
      <c r="J71" s="62">
        <v>1</v>
      </c>
      <c r="K71" s="62">
        <v>1</v>
      </c>
      <c r="L71" s="62">
        <v>1</v>
      </c>
      <c r="M71" s="62">
        <v>1</v>
      </c>
      <c r="N71" s="62">
        <v>1</v>
      </c>
      <c r="O71" s="62">
        <v>1</v>
      </c>
      <c r="P71" s="62">
        <v>1</v>
      </c>
      <c r="Q71" s="62">
        <v>1</v>
      </c>
      <c r="R71" s="62">
        <v>1</v>
      </c>
      <c r="S71" s="62">
        <v>1</v>
      </c>
      <c r="T71" s="62">
        <v>1</v>
      </c>
      <c r="U71" s="62">
        <v>1</v>
      </c>
      <c r="V71" s="62">
        <v>1</v>
      </c>
      <c r="W71" s="62">
        <v>1</v>
      </c>
      <c r="X71" s="62">
        <v>1</v>
      </c>
      <c r="Y71" s="62">
        <v>1</v>
      </c>
      <c r="Z71" s="62">
        <v>1</v>
      </c>
      <c r="AA71" s="62">
        <v>1</v>
      </c>
      <c r="AB71" s="62">
        <v>1</v>
      </c>
      <c r="AC71" s="62">
        <v>1</v>
      </c>
      <c r="AD71" s="62">
        <v>1</v>
      </c>
      <c r="AE71" s="62">
        <v>1</v>
      </c>
      <c r="AF71" s="62">
        <v>1</v>
      </c>
      <c r="AG71" s="62">
        <v>1</v>
      </c>
      <c r="AH71" s="62">
        <v>1</v>
      </c>
      <c r="AI71" s="62">
        <v>1</v>
      </c>
      <c r="AJ71" s="62">
        <v>1</v>
      </c>
      <c r="AK71" s="62">
        <v>1</v>
      </c>
      <c r="AL71" s="62">
        <v>1</v>
      </c>
      <c r="AM71" s="62">
        <v>1</v>
      </c>
      <c r="AN71" s="62">
        <v>1</v>
      </c>
      <c r="AO71" s="62">
        <v>1</v>
      </c>
      <c r="AP71" s="62">
        <v>1</v>
      </c>
      <c r="AQ71" s="62">
        <v>1</v>
      </c>
      <c r="AR71" s="62">
        <v>1</v>
      </c>
      <c r="AS71" s="62">
        <v>1</v>
      </c>
      <c r="AT71" s="62">
        <v>1</v>
      </c>
      <c r="AU71" s="62">
        <v>1</v>
      </c>
      <c r="AW71" s="10">
        <f t="shared" ref="AW71:AW72" si="120">AU71*$AU$5</f>
        <v>10</v>
      </c>
      <c r="AY71" s="10">
        <f t="shared" ref="AY71:AY72" si="121">SUMPRODUCT($H$5:$AT$5,H71:AT71)</f>
        <v>277</v>
      </c>
      <c r="AZ71" s="50">
        <f t="shared" ref="AZ71:AZ72" si="122">AW71+AY71</f>
        <v>287</v>
      </c>
      <c r="BB71" s="19"/>
      <c r="BC71" s="31"/>
      <c r="BD71" s="29">
        <v>162.6</v>
      </c>
      <c r="BE71" s="26"/>
      <c r="BF71" s="11"/>
      <c r="BG71" s="11"/>
      <c r="BI71" s="19">
        <f t="shared" ref="BI71:BI72" si="123">$BB71*$AZ71</f>
        <v>0</v>
      </c>
      <c r="BJ71" s="31">
        <f t="shared" ref="BJ71:BJ72" si="124">$BC71*$AZ71</f>
        <v>0</v>
      </c>
      <c r="BK71" s="29">
        <f t="shared" ref="BK71:BK72" si="125">$BD71*$AZ71</f>
        <v>46666.2</v>
      </c>
      <c r="BL71" s="40">
        <f t="shared" ref="BL71:BL72" si="126">$BE71*$AZ71</f>
        <v>0</v>
      </c>
      <c r="BM71" s="11">
        <f t="shared" ref="BM71:BM72" si="127">$BF71*$AZ71</f>
        <v>0</v>
      </c>
      <c r="BN71" s="11">
        <f t="shared" ref="BN71:BN72" si="128">$BG71*$AZ71</f>
        <v>0</v>
      </c>
    </row>
    <row r="72" spans="1:89">
      <c r="A72" s="49" t="s">
        <v>67</v>
      </c>
      <c r="C72" s="22" t="s">
        <v>62</v>
      </c>
      <c r="D72" s="22"/>
      <c r="E72" s="22"/>
      <c r="F72" s="22"/>
      <c r="G72" s="68">
        <v>3243700</v>
      </c>
      <c r="H72" s="62">
        <v>1</v>
      </c>
      <c r="I72" s="62">
        <v>1</v>
      </c>
      <c r="J72" s="62">
        <v>1</v>
      </c>
      <c r="K72" s="62">
        <v>1</v>
      </c>
      <c r="L72" s="62">
        <v>1</v>
      </c>
      <c r="M72" s="62">
        <v>1</v>
      </c>
      <c r="N72" s="62">
        <v>1</v>
      </c>
      <c r="O72" s="62">
        <v>1</v>
      </c>
      <c r="P72" s="62">
        <v>1</v>
      </c>
      <c r="Q72" s="62">
        <v>1</v>
      </c>
      <c r="R72" s="62">
        <v>1</v>
      </c>
      <c r="S72" s="62">
        <v>1</v>
      </c>
      <c r="T72" s="62">
        <v>1</v>
      </c>
      <c r="U72" s="62">
        <v>1</v>
      </c>
      <c r="V72" s="62">
        <v>1</v>
      </c>
      <c r="W72" s="62">
        <v>1</v>
      </c>
      <c r="X72" s="62">
        <v>1</v>
      </c>
      <c r="Y72" s="62">
        <v>1</v>
      </c>
      <c r="Z72" s="62">
        <v>1</v>
      </c>
      <c r="AA72" s="62">
        <v>1</v>
      </c>
      <c r="AB72" s="62">
        <v>1</v>
      </c>
      <c r="AC72" s="62">
        <v>1</v>
      </c>
      <c r="AD72" s="62">
        <v>1</v>
      </c>
      <c r="AE72" s="62">
        <v>1</v>
      </c>
      <c r="AF72" s="62">
        <v>1</v>
      </c>
      <c r="AG72" s="62">
        <v>1</v>
      </c>
      <c r="AH72" s="62">
        <v>1</v>
      </c>
      <c r="AI72" s="62">
        <v>1</v>
      </c>
      <c r="AJ72" s="62">
        <v>1</v>
      </c>
      <c r="AK72" s="62">
        <v>1</v>
      </c>
      <c r="AL72" s="62">
        <v>1</v>
      </c>
      <c r="AM72" s="62">
        <v>1</v>
      </c>
      <c r="AN72" s="62">
        <v>1</v>
      </c>
      <c r="AO72" s="62">
        <v>1</v>
      </c>
      <c r="AP72" s="62">
        <v>1</v>
      </c>
      <c r="AQ72" s="62">
        <v>1</v>
      </c>
      <c r="AR72" s="62">
        <v>1</v>
      </c>
      <c r="AS72" s="62">
        <v>1</v>
      </c>
      <c r="AT72" s="62">
        <v>1</v>
      </c>
      <c r="AU72" s="62">
        <v>1</v>
      </c>
      <c r="AW72" s="10">
        <f t="shared" si="120"/>
        <v>10</v>
      </c>
      <c r="AY72" s="10">
        <f t="shared" si="121"/>
        <v>277</v>
      </c>
      <c r="AZ72" s="50">
        <f t="shared" si="122"/>
        <v>287</v>
      </c>
      <c r="BB72" s="58"/>
      <c r="BC72" s="31"/>
      <c r="BD72" s="29">
        <v>193.68</v>
      </c>
      <c r="BE72" s="40"/>
      <c r="BF72" s="11"/>
      <c r="BG72" s="11"/>
      <c r="BI72" s="19">
        <f t="shared" si="123"/>
        <v>0</v>
      </c>
      <c r="BJ72" s="31">
        <f t="shared" si="124"/>
        <v>0</v>
      </c>
      <c r="BK72" s="29">
        <f t="shared" si="125"/>
        <v>55586.16</v>
      </c>
      <c r="BL72" s="40">
        <f t="shared" si="126"/>
        <v>0</v>
      </c>
      <c r="BM72" s="11">
        <f t="shared" si="127"/>
        <v>0</v>
      </c>
      <c r="BN72" s="11">
        <f t="shared" si="128"/>
        <v>0</v>
      </c>
    </row>
    <row r="73" spans="1:89">
      <c r="A73" s="51"/>
      <c r="C73" s="53"/>
      <c r="D73" s="53"/>
      <c r="E73" s="53"/>
      <c r="F73" s="53"/>
      <c r="G73" s="5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W73" s="17"/>
      <c r="BB73" s="3"/>
      <c r="BC73" s="54"/>
      <c r="BD73" s="54"/>
      <c r="BF73" s="55"/>
      <c r="BG73" s="55"/>
      <c r="BI73" s="3"/>
      <c r="BJ73" s="56"/>
      <c r="BK73" s="57"/>
      <c r="BL73" s="4"/>
      <c r="BM73" s="55"/>
      <c r="BN73" s="55"/>
    </row>
    <row r="74" spans="1:89" s="1" customFormat="1" ht="18">
      <c r="A74" s="37" t="s">
        <v>174</v>
      </c>
      <c r="B74"/>
      <c r="C74" s="16"/>
      <c r="D74" s="16"/>
      <c r="E74" s="16"/>
      <c r="F74" s="16"/>
      <c r="G74" s="1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W74" s="52"/>
      <c r="AX74" s="17"/>
      <c r="AY74" s="17"/>
      <c r="AZ74" s="17"/>
      <c r="BA74"/>
      <c r="BB74" s="3"/>
      <c r="BC74" s="3"/>
      <c r="BD74" s="3"/>
      <c r="BE74" s="4"/>
      <c r="BF74" s="3"/>
      <c r="BG74" s="3"/>
      <c r="BI74" s="38">
        <f t="shared" ref="BI74:BN74" si="129">SUBTOTAL(9,BI75:BI82)</f>
        <v>0</v>
      </c>
      <c r="BJ74" s="38">
        <f t="shared" si="129"/>
        <v>717.5</v>
      </c>
      <c r="BK74" s="39">
        <f t="shared" si="129"/>
        <v>201202.86000000004</v>
      </c>
      <c r="BL74" s="39">
        <f t="shared" si="129"/>
        <v>0</v>
      </c>
      <c r="BM74" s="44">
        <f t="shared" si="129"/>
        <v>0</v>
      </c>
      <c r="BN74" s="44">
        <f t="shared" si="129"/>
        <v>0</v>
      </c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</row>
    <row r="75" spans="1:89">
      <c r="A75" s="49" t="s">
        <v>166</v>
      </c>
      <c r="C75" s="22" t="s">
        <v>62</v>
      </c>
      <c r="D75" s="22"/>
      <c r="E75" s="22"/>
      <c r="F75" s="22"/>
      <c r="G75" s="68">
        <v>1480000</v>
      </c>
      <c r="H75" s="62">
        <v>1</v>
      </c>
      <c r="I75" s="62">
        <v>1</v>
      </c>
      <c r="J75" s="62">
        <v>1</v>
      </c>
      <c r="K75" s="62">
        <v>1</v>
      </c>
      <c r="L75" s="62">
        <v>1</v>
      </c>
      <c r="M75" s="62">
        <v>1</v>
      </c>
      <c r="N75" s="62">
        <v>1</v>
      </c>
      <c r="O75" s="62">
        <v>1</v>
      </c>
      <c r="P75" s="62">
        <v>1</v>
      </c>
      <c r="Q75" s="62">
        <v>1</v>
      </c>
      <c r="R75" s="62">
        <v>1</v>
      </c>
      <c r="S75" s="62">
        <v>1</v>
      </c>
      <c r="T75" s="62">
        <v>1</v>
      </c>
      <c r="U75" s="62">
        <v>1</v>
      </c>
      <c r="V75" s="62">
        <v>1</v>
      </c>
      <c r="W75" s="62">
        <v>1</v>
      </c>
      <c r="X75" s="62">
        <v>2</v>
      </c>
      <c r="Y75" s="62">
        <v>1</v>
      </c>
      <c r="Z75" s="62">
        <v>1</v>
      </c>
      <c r="AA75" s="62">
        <v>1</v>
      </c>
      <c r="AB75" s="62">
        <v>1</v>
      </c>
      <c r="AC75" s="62">
        <v>2</v>
      </c>
      <c r="AD75" s="62">
        <v>2</v>
      </c>
      <c r="AE75" s="62">
        <v>2</v>
      </c>
      <c r="AF75" s="62">
        <v>2</v>
      </c>
      <c r="AG75" s="62">
        <v>2</v>
      </c>
      <c r="AH75" s="62">
        <v>2</v>
      </c>
      <c r="AI75" s="62">
        <v>2</v>
      </c>
      <c r="AJ75" s="62">
        <v>1</v>
      </c>
      <c r="AK75" s="62">
        <v>1</v>
      </c>
      <c r="AL75" s="62">
        <v>1</v>
      </c>
      <c r="AM75" s="62">
        <v>1</v>
      </c>
      <c r="AN75" s="62">
        <v>2</v>
      </c>
      <c r="AO75" s="62">
        <v>1</v>
      </c>
      <c r="AP75" s="62">
        <v>2</v>
      </c>
      <c r="AQ75" s="62">
        <v>2</v>
      </c>
      <c r="AR75" s="62">
        <v>2</v>
      </c>
      <c r="AS75" s="62">
        <v>2</v>
      </c>
      <c r="AT75" s="62">
        <v>2</v>
      </c>
      <c r="AU75" s="62">
        <v>2</v>
      </c>
      <c r="AW75" s="10">
        <f t="shared" ref="AW75:AW82" si="130">AU75*$AU$5</f>
        <v>20</v>
      </c>
      <c r="AY75" s="10">
        <f t="shared" ref="AY75:AY82" si="131">SUMPRODUCT($H$5:$AT$5,H75:AT75)</f>
        <v>294</v>
      </c>
      <c r="AZ75" s="50">
        <f t="shared" ref="AZ75:AZ82" si="132">AW75+AY75</f>
        <v>314</v>
      </c>
      <c r="BB75" s="19"/>
      <c r="BC75" s="31"/>
      <c r="BD75" s="29">
        <v>613.33000000000004</v>
      </c>
      <c r="BE75" s="26"/>
      <c r="BF75" s="11"/>
      <c r="BG75" s="11"/>
      <c r="BI75" s="19">
        <f t="shared" ref="BI75:BI82" si="133">$BB75*$AZ75</f>
        <v>0</v>
      </c>
      <c r="BJ75" s="31">
        <f t="shared" ref="BJ75:BJ82" si="134">$BC75*$AZ75</f>
        <v>0</v>
      </c>
      <c r="BK75" s="29">
        <f t="shared" ref="BK75:BK82" si="135">$BD75*$AZ75</f>
        <v>192585.62000000002</v>
      </c>
      <c r="BL75" s="40">
        <f t="shared" ref="BL75:BL82" si="136">$BE75*$AZ75</f>
        <v>0</v>
      </c>
      <c r="BM75" s="11">
        <f t="shared" ref="BM75:BM82" si="137">$BF75*$AZ75</f>
        <v>0</v>
      </c>
      <c r="BN75" s="11">
        <f t="shared" ref="BN75:BN82" si="138">$BG75*$AZ75</f>
        <v>0</v>
      </c>
    </row>
    <row r="76" spans="1:89">
      <c r="A76" s="49" t="s">
        <v>27</v>
      </c>
      <c r="C76" s="47" t="s">
        <v>20</v>
      </c>
      <c r="D76" s="47"/>
      <c r="E76" s="47"/>
      <c r="F76" s="47"/>
      <c r="G76" s="47" t="s">
        <v>28</v>
      </c>
      <c r="H76" s="62">
        <f t="shared" ref="H76:AU76" si="139">H13*8*2+H14*16*2+H15*8*2+H16*4*2</f>
        <v>24</v>
      </c>
      <c r="I76" s="62">
        <f t="shared" si="139"/>
        <v>56</v>
      </c>
      <c r="J76" s="62">
        <f t="shared" si="139"/>
        <v>32</v>
      </c>
      <c r="K76" s="62">
        <f t="shared" si="139"/>
        <v>48</v>
      </c>
      <c r="L76" s="62">
        <f t="shared" si="139"/>
        <v>64</v>
      </c>
      <c r="M76" s="62">
        <f t="shared" si="139"/>
        <v>64</v>
      </c>
      <c r="N76" s="62">
        <f t="shared" si="139"/>
        <v>80</v>
      </c>
      <c r="O76" s="62">
        <f t="shared" si="139"/>
        <v>96</v>
      </c>
      <c r="P76" s="62">
        <f t="shared" si="139"/>
        <v>80</v>
      </c>
      <c r="Q76" s="62">
        <f t="shared" si="139"/>
        <v>88</v>
      </c>
      <c r="R76" s="62">
        <f t="shared" si="139"/>
        <v>88</v>
      </c>
      <c r="S76" s="62">
        <f t="shared" si="139"/>
        <v>88</v>
      </c>
      <c r="T76" s="62">
        <f t="shared" si="139"/>
        <v>104</v>
      </c>
      <c r="U76" s="62">
        <f t="shared" si="139"/>
        <v>88</v>
      </c>
      <c r="V76" s="62">
        <f t="shared" si="139"/>
        <v>96</v>
      </c>
      <c r="W76" s="62">
        <f t="shared" si="139"/>
        <v>112</v>
      </c>
      <c r="X76" s="62">
        <f t="shared" si="139"/>
        <v>120</v>
      </c>
      <c r="Y76" s="62">
        <f t="shared" si="139"/>
        <v>112</v>
      </c>
      <c r="Z76" s="62">
        <f t="shared" si="139"/>
        <v>112</v>
      </c>
      <c r="AA76" s="62">
        <f t="shared" si="139"/>
        <v>104</v>
      </c>
      <c r="AB76" s="62">
        <f t="shared" si="139"/>
        <v>120</v>
      </c>
      <c r="AC76" s="62">
        <f t="shared" si="139"/>
        <v>128</v>
      </c>
      <c r="AD76" s="62">
        <f t="shared" si="139"/>
        <v>152</v>
      </c>
      <c r="AE76" s="62">
        <f t="shared" si="139"/>
        <v>152</v>
      </c>
      <c r="AF76" s="62">
        <f t="shared" si="139"/>
        <v>168</v>
      </c>
      <c r="AG76" s="62">
        <f t="shared" si="139"/>
        <v>152</v>
      </c>
      <c r="AH76" s="62">
        <f t="shared" si="139"/>
        <v>168</v>
      </c>
      <c r="AI76" s="62">
        <f t="shared" si="139"/>
        <v>152</v>
      </c>
      <c r="AJ76" s="62">
        <f t="shared" si="139"/>
        <v>152</v>
      </c>
      <c r="AK76" s="62">
        <f t="shared" si="139"/>
        <v>160</v>
      </c>
      <c r="AL76" s="62">
        <f t="shared" si="139"/>
        <v>160</v>
      </c>
      <c r="AM76" s="62">
        <f t="shared" si="139"/>
        <v>176</v>
      </c>
      <c r="AN76" s="62">
        <f t="shared" si="139"/>
        <v>192</v>
      </c>
      <c r="AO76" s="62">
        <f t="shared" si="139"/>
        <v>184</v>
      </c>
      <c r="AP76" s="62">
        <f t="shared" si="139"/>
        <v>240</v>
      </c>
      <c r="AQ76" s="62">
        <f t="shared" si="139"/>
        <v>208</v>
      </c>
      <c r="AR76" s="62">
        <f t="shared" si="139"/>
        <v>248</v>
      </c>
      <c r="AS76" s="62">
        <f t="shared" si="139"/>
        <v>264</v>
      </c>
      <c r="AT76" s="62">
        <f t="shared" si="139"/>
        <v>312</v>
      </c>
      <c r="AU76" s="62">
        <f t="shared" si="139"/>
        <v>344</v>
      </c>
      <c r="AW76" s="10">
        <f t="shared" si="130"/>
        <v>3440</v>
      </c>
      <c r="AY76" s="10">
        <f t="shared" si="131"/>
        <v>21064</v>
      </c>
      <c r="AZ76" s="50">
        <f t="shared" si="132"/>
        <v>24504</v>
      </c>
      <c r="BB76" s="19"/>
      <c r="BC76" s="31"/>
      <c r="BD76" s="29">
        <v>0.18</v>
      </c>
      <c r="BE76" s="26"/>
      <c r="BF76" s="11"/>
      <c r="BG76" s="11"/>
      <c r="BI76" s="19">
        <f t="shared" si="133"/>
        <v>0</v>
      </c>
      <c r="BJ76" s="31">
        <f t="shared" si="134"/>
        <v>0</v>
      </c>
      <c r="BK76" s="29">
        <f t="shared" si="135"/>
        <v>4410.72</v>
      </c>
      <c r="BL76" s="40">
        <f t="shared" si="136"/>
        <v>0</v>
      </c>
      <c r="BM76" s="11">
        <f t="shared" si="137"/>
        <v>0</v>
      </c>
      <c r="BN76" s="11">
        <f t="shared" si="138"/>
        <v>0</v>
      </c>
    </row>
    <row r="77" spans="1:89">
      <c r="A77" s="49" t="s">
        <v>42</v>
      </c>
      <c r="C77" s="47" t="s">
        <v>20</v>
      </c>
      <c r="D77" s="47"/>
      <c r="E77" s="47"/>
      <c r="F77" s="47"/>
      <c r="G77" s="47" t="s">
        <v>43</v>
      </c>
      <c r="H77" s="62">
        <f>(CEILING((H76)/4,1))</f>
        <v>6</v>
      </c>
      <c r="I77" s="62">
        <f t="shared" ref="I77:Q77" si="140">(CEILING((I76)/4,1))</f>
        <v>14</v>
      </c>
      <c r="J77" s="62">
        <f t="shared" si="140"/>
        <v>8</v>
      </c>
      <c r="K77" s="62">
        <f t="shared" si="140"/>
        <v>12</v>
      </c>
      <c r="L77" s="62">
        <f t="shared" si="140"/>
        <v>16</v>
      </c>
      <c r="M77" s="62">
        <f t="shared" si="140"/>
        <v>16</v>
      </c>
      <c r="N77" s="62">
        <f t="shared" si="140"/>
        <v>20</v>
      </c>
      <c r="O77" s="62">
        <f t="shared" si="140"/>
        <v>24</v>
      </c>
      <c r="P77" s="62">
        <f t="shared" si="140"/>
        <v>20</v>
      </c>
      <c r="Q77" s="62">
        <f t="shared" si="140"/>
        <v>22</v>
      </c>
      <c r="R77" s="62">
        <f>(CEILING((R76)/4,1))</f>
        <v>22</v>
      </c>
      <c r="S77" s="62">
        <f t="shared" ref="S77:AA77" si="141">(CEILING((S76)/4,1))</f>
        <v>22</v>
      </c>
      <c r="T77" s="62">
        <f t="shared" si="141"/>
        <v>26</v>
      </c>
      <c r="U77" s="62">
        <f t="shared" si="141"/>
        <v>22</v>
      </c>
      <c r="V77" s="62">
        <f t="shared" si="141"/>
        <v>24</v>
      </c>
      <c r="W77" s="62">
        <f t="shared" si="141"/>
        <v>28</v>
      </c>
      <c r="X77" s="62">
        <f t="shared" si="141"/>
        <v>30</v>
      </c>
      <c r="Y77" s="62">
        <f t="shared" si="141"/>
        <v>28</v>
      </c>
      <c r="Z77" s="62">
        <f t="shared" si="141"/>
        <v>28</v>
      </c>
      <c r="AA77" s="62">
        <f t="shared" si="141"/>
        <v>26</v>
      </c>
      <c r="AB77" s="62">
        <f>(CEILING((AB76)/4,1))</f>
        <v>30</v>
      </c>
      <c r="AC77" s="62">
        <f t="shared" ref="AC77:AK77" si="142">(CEILING((AC76)/4,1))</f>
        <v>32</v>
      </c>
      <c r="AD77" s="62">
        <f t="shared" si="142"/>
        <v>38</v>
      </c>
      <c r="AE77" s="62">
        <f t="shared" si="142"/>
        <v>38</v>
      </c>
      <c r="AF77" s="62">
        <f t="shared" si="142"/>
        <v>42</v>
      </c>
      <c r="AG77" s="62">
        <f t="shared" si="142"/>
        <v>38</v>
      </c>
      <c r="AH77" s="62">
        <f t="shared" si="142"/>
        <v>42</v>
      </c>
      <c r="AI77" s="62">
        <f t="shared" si="142"/>
        <v>38</v>
      </c>
      <c r="AJ77" s="62">
        <f t="shared" si="142"/>
        <v>38</v>
      </c>
      <c r="AK77" s="62">
        <f t="shared" si="142"/>
        <v>40</v>
      </c>
      <c r="AL77" s="62">
        <f t="shared" ref="AL77:AS77" si="143">(CEILING((AL76)/4,1))</f>
        <v>40</v>
      </c>
      <c r="AM77" s="62">
        <f t="shared" si="143"/>
        <v>44</v>
      </c>
      <c r="AN77" s="62">
        <f t="shared" si="143"/>
        <v>48</v>
      </c>
      <c r="AO77" s="62">
        <f t="shared" si="143"/>
        <v>46</v>
      </c>
      <c r="AP77" s="62">
        <f t="shared" si="143"/>
        <v>60</v>
      </c>
      <c r="AQ77" s="62">
        <f t="shared" ref="AQ77" si="144">(CEILING((AQ76)/4,1))</f>
        <v>52</v>
      </c>
      <c r="AR77" s="62">
        <f t="shared" si="143"/>
        <v>62</v>
      </c>
      <c r="AS77" s="62">
        <f t="shared" si="143"/>
        <v>66</v>
      </c>
      <c r="AT77" s="62">
        <f t="shared" ref="AT77:AU77" si="145">(CEILING((AT76)/4,1))</f>
        <v>78</v>
      </c>
      <c r="AU77" s="62">
        <f t="shared" si="145"/>
        <v>86</v>
      </c>
      <c r="AW77" s="10">
        <f t="shared" si="130"/>
        <v>860</v>
      </c>
      <c r="AY77" s="10">
        <f t="shared" si="131"/>
        <v>5266</v>
      </c>
      <c r="AZ77" s="50">
        <f t="shared" si="132"/>
        <v>6126</v>
      </c>
      <c r="BB77" s="19"/>
      <c r="BC77" s="35"/>
      <c r="BD77" s="29">
        <v>0.2</v>
      </c>
      <c r="BE77" s="26"/>
      <c r="BF77" s="11"/>
      <c r="BG77" s="11"/>
      <c r="BI77" s="19">
        <f t="shared" si="133"/>
        <v>0</v>
      </c>
      <c r="BJ77" s="31">
        <f t="shared" si="134"/>
        <v>0</v>
      </c>
      <c r="BK77" s="29">
        <f t="shared" si="135"/>
        <v>1225.2</v>
      </c>
      <c r="BL77" s="40">
        <f t="shared" si="136"/>
        <v>0</v>
      </c>
      <c r="BM77" s="11">
        <f t="shared" si="137"/>
        <v>0</v>
      </c>
      <c r="BN77" s="11">
        <f t="shared" si="138"/>
        <v>0</v>
      </c>
    </row>
    <row r="78" spans="1:89">
      <c r="A78" s="49" t="s">
        <v>48</v>
      </c>
      <c r="C78" s="47" t="s">
        <v>20</v>
      </c>
      <c r="D78" s="47"/>
      <c r="E78" s="47"/>
      <c r="F78" s="47"/>
      <c r="G78" s="47" t="s">
        <v>37</v>
      </c>
      <c r="H78" s="62">
        <f t="shared" ref="H78:Q78" si="146">(H76)/1500</f>
        <v>1.6E-2</v>
      </c>
      <c r="I78" s="62">
        <f t="shared" si="146"/>
        <v>3.7333333333333336E-2</v>
      </c>
      <c r="J78" s="62">
        <f t="shared" si="146"/>
        <v>2.1333333333333333E-2</v>
      </c>
      <c r="K78" s="62">
        <f t="shared" si="146"/>
        <v>3.2000000000000001E-2</v>
      </c>
      <c r="L78" s="62">
        <f t="shared" si="146"/>
        <v>4.2666666666666665E-2</v>
      </c>
      <c r="M78" s="62">
        <f t="shared" si="146"/>
        <v>4.2666666666666665E-2</v>
      </c>
      <c r="N78" s="62">
        <f t="shared" si="146"/>
        <v>5.3333333333333337E-2</v>
      </c>
      <c r="O78" s="62">
        <f t="shared" si="146"/>
        <v>6.4000000000000001E-2</v>
      </c>
      <c r="P78" s="62">
        <f t="shared" si="146"/>
        <v>5.3333333333333337E-2</v>
      </c>
      <c r="Q78" s="62">
        <f t="shared" si="146"/>
        <v>5.8666666666666666E-2</v>
      </c>
      <c r="R78" s="62">
        <f t="shared" ref="R78:AK78" si="147">(R76)/1500</f>
        <v>5.8666666666666666E-2</v>
      </c>
      <c r="S78" s="62">
        <f t="shared" si="147"/>
        <v>5.8666666666666666E-2</v>
      </c>
      <c r="T78" s="62">
        <f t="shared" si="147"/>
        <v>6.933333333333333E-2</v>
      </c>
      <c r="U78" s="62">
        <f t="shared" si="147"/>
        <v>5.8666666666666666E-2</v>
      </c>
      <c r="V78" s="62">
        <f t="shared" si="147"/>
        <v>6.4000000000000001E-2</v>
      </c>
      <c r="W78" s="62">
        <f t="shared" si="147"/>
        <v>7.4666666666666673E-2</v>
      </c>
      <c r="X78" s="62">
        <f t="shared" si="147"/>
        <v>0.08</v>
      </c>
      <c r="Y78" s="62">
        <f t="shared" si="147"/>
        <v>7.4666666666666673E-2</v>
      </c>
      <c r="Z78" s="62">
        <f t="shared" si="147"/>
        <v>7.4666666666666673E-2</v>
      </c>
      <c r="AA78" s="62">
        <f t="shared" si="147"/>
        <v>6.933333333333333E-2</v>
      </c>
      <c r="AB78" s="62">
        <f t="shared" si="147"/>
        <v>0.08</v>
      </c>
      <c r="AC78" s="62">
        <f t="shared" si="147"/>
        <v>8.533333333333333E-2</v>
      </c>
      <c r="AD78" s="62">
        <f t="shared" si="147"/>
        <v>0.10133333333333333</v>
      </c>
      <c r="AE78" s="62">
        <f t="shared" si="147"/>
        <v>0.10133333333333333</v>
      </c>
      <c r="AF78" s="62">
        <f t="shared" si="147"/>
        <v>0.112</v>
      </c>
      <c r="AG78" s="62">
        <f t="shared" si="147"/>
        <v>0.10133333333333333</v>
      </c>
      <c r="AH78" s="62">
        <f t="shared" si="147"/>
        <v>0.112</v>
      </c>
      <c r="AI78" s="62">
        <f t="shared" si="147"/>
        <v>0.10133333333333333</v>
      </c>
      <c r="AJ78" s="62">
        <f t="shared" si="147"/>
        <v>0.10133333333333333</v>
      </c>
      <c r="AK78" s="62">
        <f t="shared" si="147"/>
        <v>0.10666666666666667</v>
      </c>
      <c r="AL78" s="62">
        <f t="shared" ref="AL78:AS78" si="148">(AL76)/1500</f>
        <v>0.10666666666666667</v>
      </c>
      <c r="AM78" s="62">
        <f t="shared" si="148"/>
        <v>0.11733333333333333</v>
      </c>
      <c r="AN78" s="62">
        <f t="shared" si="148"/>
        <v>0.128</v>
      </c>
      <c r="AO78" s="62">
        <f t="shared" si="148"/>
        <v>0.12266666666666666</v>
      </c>
      <c r="AP78" s="62">
        <f t="shared" si="148"/>
        <v>0.16</v>
      </c>
      <c r="AQ78" s="62">
        <f t="shared" ref="AQ78" si="149">(AQ76)/1500</f>
        <v>0.13866666666666666</v>
      </c>
      <c r="AR78" s="62">
        <f t="shared" si="148"/>
        <v>0.16533333333333333</v>
      </c>
      <c r="AS78" s="62">
        <f t="shared" si="148"/>
        <v>0.17599999999999999</v>
      </c>
      <c r="AT78" s="62">
        <f t="shared" ref="AT78:AU78" si="150">(AT76)/1500</f>
        <v>0.20799999999999999</v>
      </c>
      <c r="AU78" s="62">
        <f t="shared" si="150"/>
        <v>0.22933333333333333</v>
      </c>
      <c r="AW78" s="10">
        <f t="shared" si="130"/>
        <v>2.2933333333333334</v>
      </c>
      <c r="AY78" s="10">
        <f t="shared" si="131"/>
        <v>14.042666666666671</v>
      </c>
      <c r="AZ78" s="50">
        <f t="shared" si="132"/>
        <v>16.336000000000006</v>
      </c>
      <c r="BB78" s="19"/>
      <c r="BC78" s="35"/>
      <c r="BD78" s="29">
        <v>25</v>
      </c>
      <c r="BE78" s="26"/>
      <c r="BF78" s="11"/>
      <c r="BG78" s="11"/>
      <c r="BI78" s="19">
        <f t="shared" si="133"/>
        <v>0</v>
      </c>
      <c r="BJ78" s="31">
        <f t="shared" si="134"/>
        <v>0</v>
      </c>
      <c r="BK78" s="29">
        <f t="shared" si="135"/>
        <v>408.40000000000015</v>
      </c>
      <c r="BL78" s="40">
        <f t="shared" si="136"/>
        <v>0</v>
      </c>
      <c r="BM78" s="11">
        <f t="shared" si="137"/>
        <v>0</v>
      </c>
      <c r="BN78" s="11">
        <f t="shared" si="138"/>
        <v>0</v>
      </c>
    </row>
    <row r="79" spans="1:89">
      <c r="A79" s="49" t="s">
        <v>49</v>
      </c>
      <c r="C79" s="47" t="s">
        <v>20</v>
      </c>
      <c r="D79" s="47"/>
      <c r="E79" s="47"/>
      <c r="F79" s="47"/>
      <c r="G79" s="47" t="s">
        <v>50</v>
      </c>
      <c r="H79" s="62">
        <f t="shared" ref="H79:Q79" si="151">H77</f>
        <v>6</v>
      </c>
      <c r="I79" s="62">
        <f t="shared" si="151"/>
        <v>14</v>
      </c>
      <c r="J79" s="62">
        <f t="shared" si="151"/>
        <v>8</v>
      </c>
      <c r="K79" s="62">
        <f t="shared" si="151"/>
        <v>12</v>
      </c>
      <c r="L79" s="62">
        <f t="shared" si="151"/>
        <v>16</v>
      </c>
      <c r="M79" s="62">
        <f t="shared" si="151"/>
        <v>16</v>
      </c>
      <c r="N79" s="62">
        <f t="shared" si="151"/>
        <v>20</v>
      </c>
      <c r="O79" s="62">
        <f t="shared" si="151"/>
        <v>24</v>
      </c>
      <c r="P79" s="62">
        <f t="shared" si="151"/>
        <v>20</v>
      </c>
      <c r="Q79" s="62">
        <f t="shared" si="151"/>
        <v>22</v>
      </c>
      <c r="R79" s="62">
        <f t="shared" ref="R79:AK79" si="152">R77</f>
        <v>22</v>
      </c>
      <c r="S79" s="62">
        <f t="shared" si="152"/>
        <v>22</v>
      </c>
      <c r="T79" s="62">
        <f t="shared" si="152"/>
        <v>26</v>
      </c>
      <c r="U79" s="62">
        <f t="shared" si="152"/>
        <v>22</v>
      </c>
      <c r="V79" s="62">
        <f t="shared" si="152"/>
        <v>24</v>
      </c>
      <c r="W79" s="62">
        <f t="shared" si="152"/>
        <v>28</v>
      </c>
      <c r="X79" s="62">
        <f t="shared" si="152"/>
        <v>30</v>
      </c>
      <c r="Y79" s="62">
        <f t="shared" si="152"/>
        <v>28</v>
      </c>
      <c r="Z79" s="62">
        <f t="shared" si="152"/>
        <v>28</v>
      </c>
      <c r="AA79" s="62">
        <f t="shared" si="152"/>
        <v>26</v>
      </c>
      <c r="AB79" s="62">
        <f t="shared" si="152"/>
        <v>30</v>
      </c>
      <c r="AC79" s="62">
        <f t="shared" si="152"/>
        <v>32</v>
      </c>
      <c r="AD79" s="62">
        <f t="shared" si="152"/>
        <v>38</v>
      </c>
      <c r="AE79" s="62">
        <f t="shared" si="152"/>
        <v>38</v>
      </c>
      <c r="AF79" s="62">
        <f t="shared" si="152"/>
        <v>42</v>
      </c>
      <c r="AG79" s="62">
        <f t="shared" si="152"/>
        <v>38</v>
      </c>
      <c r="AH79" s="62">
        <f t="shared" si="152"/>
        <v>42</v>
      </c>
      <c r="AI79" s="62">
        <f t="shared" si="152"/>
        <v>38</v>
      </c>
      <c r="AJ79" s="62">
        <f t="shared" si="152"/>
        <v>38</v>
      </c>
      <c r="AK79" s="62">
        <f t="shared" si="152"/>
        <v>40</v>
      </c>
      <c r="AL79" s="62">
        <f t="shared" ref="AL79:AS79" si="153">AL77</f>
        <v>40</v>
      </c>
      <c r="AM79" s="62">
        <f t="shared" si="153"/>
        <v>44</v>
      </c>
      <c r="AN79" s="62">
        <f t="shared" si="153"/>
        <v>48</v>
      </c>
      <c r="AO79" s="62">
        <f t="shared" si="153"/>
        <v>46</v>
      </c>
      <c r="AP79" s="62">
        <f t="shared" si="153"/>
        <v>60</v>
      </c>
      <c r="AQ79" s="62">
        <f t="shared" ref="AQ79" si="154">AQ77</f>
        <v>52</v>
      </c>
      <c r="AR79" s="62">
        <f t="shared" si="153"/>
        <v>62</v>
      </c>
      <c r="AS79" s="62">
        <f t="shared" si="153"/>
        <v>66</v>
      </c>
      <c r="AT79" s="62">
        <f t="shared" ref="AT79:AU79" si="155">AT77</f>
        <v>78</v>
      </c>
      <c r="AU79" s="62">
        <f t="shared" si="155"/>
        <v>86</v>
      </c>
      <c r="AW79" s="10">
        <f t="shared" si="130"/>
        <v>860</v>
      </c>
      <c r="AY79" s="10">
        <f t="shared" si="131"/>
        <v>5266</v>
      </c>
      <c r="AZ79" s="50">
        <f t="shared" si="132"/>
        <v>6126</v>
      </c>
      <c r="BB79" s="19"/>
      <c r="BC79" s="35"/>
      <c r="BD79" s="29">
        <v>0.2</v>
      </c>
      <c r="BE79" s="26"/>
      <c r="BF79" s="11"/>
      <c r="BG79" s="11"/>
      <c r="BI79" s="19">
        <f t="shared" si="133"/>
        <v>0</v>
      </c>
      <c r="BJ79" s="31">
        <f t="shared" si="134"/>
        <v>0</v>
      </c>
      <c r="BK79" s="29">
        <f t="shared" si="135"/>
        <v>1225.2</v>
      </c>
      <c r="BL79" s="40">
        <f t="shared" si="136"/>
        <v>0</v>
      </c>
      <c r="BM79" s="11">
        <f t="shared" si="137"/>
        <v>0</v>
      </c>
      <c r="BN79" s="11">
        <f t="shared" si="138"/>
        <v>0</v>
      </c>
    </row>
    <row r="80" spans="1:89">
      <c r="A80" s="49" t="s">
        <v>51</v>
      </c>
      <c r="C80" s="47" t="s">
        <v>20</v>
      </c>
      <c r="D80" s="47"/>
      <c r="E80" s="47"/>
      <c r="F80" s="47"/>
      <c r="G80" s="47" t="s">
        <v>52</v>
      </c>
      <c r="H80" s="62">
        <f>H79</f>
        <v>6</v>
      </c>
      <c r="I80" s="62">
        <f t="shared" ref="I80:Q80" si="156">I79</f>
        <v>14</v>
      </c>
      <c r="J80" s="62">
        <f t="shared" si="156"/>
        <v>8</v>
      </c>
      <c r="K80" s="62">
        <f t="shared" si="156"/>
        <v>12</v>
      </c>
      <c r="L80" s="62">
        <f t="shared" si="156"/>
        <v>16</v>
      </c>
      <c r="M80" s="62">
        <f t="shared" si="156"/>
        <v>16</v>
      </c>
      <c r="N80" s="62">
        <f t="shared" si="156"/>
        <v>20</v>
      </c>
      <c r="O80" s="62">
        <f t="shared" si="156"/>
        <v>24</v>
      </c>
      <c r="P80" s="62">
        <f t="shared" si="156"/>
        <v>20</v>
      </c>
      <c r="Q80" s="62">
        <f t="shared" si="156"/>
        <v>22</v>
      </c>
      <c r="R80" s="62">
        <f>R79</f>
        <v>22</v>
      </c>
      <c r="S80" s="62">
        <f t="shared" ref="S80:AA80" si="157">S79</f>
        <v>22</v>
      </c>
      <c r="T80" s="62">
        <f t="shared" si="157"/>
        <v>26</v>
      </c>
      <c r="U80" s="62">
        <f t="shared" si="157"/>
        <v>22</v>
      </c>
      <c r="V80" s="62">
        <f t="shared" si="157"/>
        <v>24</v>
      </c>
      <c r="W80" s="62">
        <f t="shared" si="157"/>
        <v>28</v>
      </c>
      <c r="X80" s="62">
        <f t="shared" si="157"/>
        <v>30</v>
      </c>
      <c r="Y80" s="62">
        <f t="shared" si="157"/>
        <v>28</v>
      </c>
      <c r="Z80" s="62">
        <f t="shared" si="157"/>
        <v>28</v>
      </c>
      <c r="AA80" s="62">
        <f t="shared" si="157"/>
        <v>26</v>
      </c>
      <c r="AB80" s="62">
        <f>AB79</f>
        <v>30</v>
      </c>
      <c r="AC80" s="62">
        <f t="shared" ref="AC80:AK80" si="158">AC79</f>
        <v>32</v>
      </c>
      <c r="AD80" s="62">
        <f t="shared" si="158"/>
        <v>38</v>
      </c>
      <c r="AE80" s="62">
        <f t="shared" si="158"/>
        <v>38</v>
      </c>
      <c r="AF80" s="62">
        <f t="shared" si="158"/>
        <v>42</v>
      </c>
      <c r="AG80" s="62">
        <f t="shared" si="158"/>
        <v>38</v>
      </c>
      <c r="AH80" s="62">
        <f t="shared" si="158"/>
        <v>42</v>
      </c>
      <c r="AI80" s="62">
        <f t="shared" si="158"/>
        <v>38</v>
      </c>
      <c r="AJ80" s="62">
        <f t="shared" si="158"/>
        <v>38</v>
      </c>
      <c r="AK80" s="62">
        <f t="shared" si="158"/>
        <v>40</v>
      </c>
      <c r="AL80" s="62">
        <f t="shared" ref="AL80:AS80" si="159">AL79</f>
        <v>40</v>
      </c>
      <c r="AM80" s="62">
        <f t="shared" si="159"/>
        <v>44</v>
      </c>
      <c r="AN80" s="62">
        <f t="shared" si="159"/>
        <v>48</v>
      </c>
      <c r="AO80" s="62">
        <f t="shared" si="159"/>
        <v>46</v>
      </c>
      <c r="AP80" s="62">
        <f t="shared" si="159"/>
        <v>60</v>
      </c>
      <c r="AQ80" s="62">
        <f t="shared" ref="AQ80" si="160">AQ79</f>
        <v>52</v>
      </c>
      <c r="AR80" s="62">
        <f t="shared" si="159"/>
        <v>62</v>
      </c>
      <c r="AS80" s="62">
        <f t="shared" si="159"/>
        <v>66</v>
      </c>
      <c r="AT80" s="62">
        <f t="shared" ref="AT80:AU80" si="161">AT79</f>
        <v>78</v>
      </c>
      <c r="AU80" s="62">
        <f t="shared" si="161"/>
        <v>86</v>
      </c>
      <c r="AW80" s="10">
        <f t="shared" si="130"/>
        <v>860</v>
      </c>
      <c r="AY80" s="10">
        <f t="shared" si="131"/>
        <v>5266</v>
      </c>
      <c r="AZ80" s="50">
        <f t="shared" si="132"/>
        <v>6126</v>
      </c>
      <c r="BB80" s="19"/>
      <c r="BC80" s="35"/>
      <c r="BD80" s="29">
        <v>0.2</v>
      </c>
      <c r="BE80" s="26"/>
      <c r="BF80" s="11"/>
      <c r="BG80" s="11"/>
      <c r="BI80" s="19">
        <f t="shared" si="133"/>
        <v>0</v>
      </c>
      <c r="BJ80" s="31">
        <f t="shared" si="134"/>
        <v>0</v>
      </c>
      <c r="BK80" s="29">
        <f t="shared" si="135"/>
        <v>1225.2</v>
      </c>
      <c r="BL80" s="40">
        <f t="shared" si="136"/>
        <v>0</v>
      </c>
      <c r="BM80" s="11">
        <f t="shared" si="137"/>
        <v>0</v>
      </c>
      <c r="BN80" s="11">
        <f t="shared" si="138"/>
        <v>0</v>
      </c>
    </row>
    <row r="81" spans="1:89">
      <c r="A81" s="49" t="s">
        <v>53</v>
      </c>
      <c r="C81" s="47" t="s">
        <v>20</v>
      </c>
      <c r="D81" s="47"/>
      <c r="E81" s="47"/>
      <c r="F81" s="47"/>
      <c r="G81" s="47" t="s">
        <v>54</v>
      </c>
      <c r="H81" s="62">
        <f>H80/1500</f>
        <v>4.0000000000000001E-3</v>
      </c>
      <c r="I81" s="62">
        <f t="shared" ref="I81:Q81" si="162">I80/1500</f>
        <v>9.3333333333333341E-3</v>
      </c>
      <c r="J81" s="62">
        <f t="shared" si="162"/>
        <v>5.3333333333333332E-3</v>
      </c>
      <c r="K81" s="62">
        <f t="shared" si="162"/>
        <v>8.0000000000000002E-3</v>
      </c>
      <c r="L81" s="62">
        <f t="shared" si="162"/>
        <v>1.0666666666666666E-2</v>
      </c>
      <c r="M81" s="62">
        <f t="shared" si="162"/>
        <v>1.0666666666666666E-2</v>
      </c>
      <c r="N81" s="62">
        <f t="shared" si="162"/>
        <v>1.3333333333333334E-2</v>
      </c>
      <c r="O81" s="62">
        <f t="shared" si="162"/>
        <v>1.6E-2</v>
      </c>
      <c r="P81" s="62">
        <f t="shared" si="162"/>
        <v>1.3333333333333334E-2</v>
      </c>
      <c r="Q81" s="62">
        <f t="shared" si="162"/>
        <v>1.4666666666666666E-2</v>
      </c>
      <c r="R81" s="62">
        <f>R80/1500</f>
        <v>1.4666666666666666E-2</v>
      </c>
      <c r="S81" s="62">
        <f t="shared" ref="S81:AA81" si="163">S80/1500</f>
        <v>1.4666666666666666E-2</v>
      </c>
      <c r="T81" s="62">
        <f t="shared" si="163"/>
        <v>1.7333333333333333E-2</v>
      </c>
      <c r="U81" s="62">
        <f t="shared" si="163"/>
        <v>1.4666666666666666E-2</v>
      </c>
      <c r="V81" s="62">
        <f t="shared" si="163"/>
        <v>1.6E-2</v>
      </c>
      <c r="W81" s="62">
        <f t="shared" si="163"/>
        <v>1.8666666666666668E-2</v>
      </c>
      <c r="X81" s="62">
        <f t="shared" si="163"/>
        <v>0.02</v>
      </c>
      <c r="Y81" s="62">
        <f t="shared" si="163"/>
        <v>1.8666666666666668E-2</v>
      </c>
      <c r="Z81" s="62">
        <f t="shared" si="163"/>
        <v>1.8666666666666668E-2</v>
      </c>
      <c r="AA81" s="62">
        <f t="shared" si="163"/>
        <v>1.7333333333333333E-2</v>
      </c>
      <c r="AB81" s="62">
        <f>AB80/1500</f>
        <v>0.02</v>
      </c>
      <c r="AC81" s="62">
        <f t="shared" ref="AC81:AK81" si="164">AC80/1500</f>
        <v>2.1333333333333333E-2</v>
      </c>
      <c r="AD81" s="62">
        <f t="shared" si="164"/>
        <v>2.5333333333333333E-2</v>
      </c>
      <c r="AE81" s="62">
        <f t="shared" si="164"/>
        <v>2.5333333333333333E-2</v>
      </c>
      <c r="AF81" s="62">
        <f t="shared" si="164"/>
        <v>2.8000000000000001E-2</v>
      </c>
      <c r="AG81" s="62">
        <f t="shared" si="164"/>
        <v>2.5333333333333333E-2</v>
      </c>
      <c r="AH81" s="62">
        <f t="shared" si="164"/>
        <v>2.8000000000000001E-2</v>
      </c>
      <c r="AI81" s="62">
        <f t="shared" si="164"/>
        <v>2.5333333333333333E-2</v>
      </c>
      <c r="AJ81" s="62">
        <f t="shared" si="164"/>
        <v>2.5333333333333333E-2</v>
      </c>
      <c r="AK81" s="62">
        <f t="shared" si="164"/>
        <v>2.6666666666666668E-2</v>
      </c>
      <c r="AL81" s="62">
        <f t="shared" ref="AL81:AS81" si="165">AL80/1500</f>
        <v>2.6666666666666668E-2</v>
      </c>
      <c r="AM81" s="62">
        <f t="shared" si="165"/>
        <v>2.9333333333333333E-2</v>
      </c>
      <c r="AN81" s="62">
        <f t="shared" si="165"/>
        <v>3.2000000000000001E-2</v>
      </c>
      <c r="AO81" s="62">
        <f t="shared" si="165"/>
        <v>3.0666666666666665E-2</v>
      </c>
      <c r="AP81" s="62">
        <f t="shared" si="165"/>
        <v>0.04</v>
      </c>
      <c r="AQ81" s="62">
        <f t="shared" ref="AQ81" si="166">AQ80/1500</f>
        <v>3.4666666666666665E-2</v>
      </c>
      <c r="AR81" s="62">
        <f t="shared" si="165"/>
        <v>4.1333333333333333E-2</v>
      </c>
      <c r="AS81" s="62">
        <f t="shared" si="165"/>
        <v>4.3999999999999997E-2</v>
      </c>
      <c r="AT81" s="62">
        <f t="shared" ref="AT81:AU81" si="167">AT80/1500</f>
        <v>5.1999999999999998E-2</v>
      </c>
      <c r="AU81" s="62">
        <f t="shared" si="167"/>
        <v>5.7333333333333333E-2</v>
      </c>
      <c r="AW81" s="10">
        <f t="shared" si="130"/>
        <v>0.57333333333333336</v>
      </c>
      <c r="AY81" s="10">
        <f t="shared" si="131"/>
        <v>3.5106666666666677</v>
      </c>
      <c r="AZ81" s="50">
        <f t="shared" si="132"/>
        <v>4.0840000000000014</v>
      </c>
      <c r="BB81" s="19"/>
      <c r="BC81" s="35"/>
      <c r="BD81" s="29">
        <v>30</v>
      </c>
      <c r="BE81" s="26"/>
      <c r="BF81" s="11"/>
      <c r="BG81" s="11"/>
      <c r="BI81" s="19">
        <f t="shared" si="133"/>
        <v>0</v>
      </c>
      <c r="BJ81" s="31">
        <f t="shared" si="134"/>
        <v>0</v>
      </c>
      <c r="BK81" s="29">
        <f t="shared" si="135"/>
        <v>122.52000000000004</v>
      </c>
      <c r="BL81" s="40">
        <f t="shared" si="136"/>
        <v>0</v>
      </c>
      <c r="BM81" s="11">
        <f t="shared" si="137"/>
        <v>0</v>
      </c>
      <c r="BN81" s="11">
        <f t="shared" si="138"/>
        <v>0</v>
      </c>
    </row>
    <row r="82" spans="1:89">
      <c r="A82" s="49" t="s">
        <v>60</v>
      </c>
      <c r="C82" s="47" t="s">
        <v>55</v>
      </c>
      <c r="D82" s="47"/>
      <c r="E82" s="47"/>
      <c r="F82" s="47"/>
      <c r="G82" s="47"/>
      <c r="H82" s="62">
        <v>1</v>
      </c>
      <c r="I82" s="62">
        <v>1</v>
      </c>
      <c r="J82" s="62">
        <v>1</v>
      </c>
      <c r="K82" s="62">
        <v>1</v>
      </c>
      <c r="L82" s="62">
        <v>1</v>
      </c>
      <c r="M82" s="62">
        <v>1</v>
      </c>
      <c r="N82" s="62">
        <v>1</v>
      </c>
      <c r="O82" s="62">
        <v>1</v>
      </c>
      <c r="P82" s="62">
        <v>1</v>
      </c>
      <c r="Q82" s="62">
        <v>1</v>
      </c>
      <c r="R82" s="62">
        <v>1</v>
      </c>
      <c r="S82" s="62">
        <v>1</v>
      </c>
      <c r="T82" s="62">
        <v>1</v>
      </c>
      <c r="U82" s="62">
        <v>1</v>
      </c>
      <c r="V82" s="62">
        <v>1</v>
      </c>
      <c r="W82" s="62">
        <v>1</v>
      </c>
      <c r="X82" s="62">
        <v>1</v>
      </c>
      <c r="Y82" s="62">
        <v>1</v>
      </c>
      <c r="Z82" s="62">
        <v>1</v>
      </c>
      <c r="AA82" s="62">
        <v>1</v>
      </c>
      <c r="AB82" s="62">
        <v>1</v>
      </c>
      <c r="AC82" s="62">
        <v>1</v>
      </c>
      <c r="AD82" s="62">
        <v>1</v>
      </c>
      <c r="AE82" s="62">
        <v>1</v>
      </c>
      <c r="AF82" s="62">
        <v>1</v>
      </c>
      <c r="AG82" s="62">
        <v>1</v>
      </c>
      <c r="AH82" s="62">
        <v>1</v>
      </c>
      <c r="AI82" s="62">
        <v>1</v>
      </c>
      <c r="AJ82" s="62">
        <v>1</v>
      </c>
      <c r="AK82" s="62">
        <v>1</v>
      </c>
      <c r="AL82" s="62">
        <v>1</v>
      </c>
      <c r="AM82" s="62">
        <v>1</v>
      </c>
      <c r="AN82" s="62">
        <v>1</v>
      </c>
      <c r="AO82" s="62">
        <v>1</v>
      </c>
      <c r="AP82" s="62">
        <v>1</v>
      </c>
      <c r="AQ82" s="62">
        <v>1</v>
      </c>
      <c r="AR82" s="62">
        <v>1</v>
      </c>
      <c r="AS82" s="62">
        <v>1</v>
      </c>
      <c r="AT82" s="62">
        <v>1</v>
      </c>
      <c r="AU82" s="62">
        <v>1</v>
      </c>
      <c r="AW82" s="10">
        <f t="shared" si="130"/>
        <v>10</v>
      </c>
      <c r="AY82" s="10">
        <f t="shared" si="131"/>
        <v>277</v>
      </c>
      <c r="AZ82" s="50">
        <f t="shared" si="132"/>
        <v>287</v>
      </c>
      <c r="BB82" s="19"/>
      <c r="BC82" s="35">
        <v>2.5</v>
      </c>
      <c r="BD82" s="26"/>
      <c r="BE82" s="26"/>
      <c r="BF82" s="11"/>
      <c r="BG82" s="11"/>
      <c r="BI82" s="19">
        <f t="shared" si="133"/>
        <v>0</v>
      </c>
      <c r="BJ82" s="31">
        <f t="shared" si="134"/>
        <v>717.5</v>
      </c>
      <c r="BK82" s="29">
        <f t="shared" si="135"/>
        <v>0</v>
      </c>
      <c r="BL82" s="40">
        <f t="shared" si="136"/>
        <v>0</v>
      </c>
      <c r="BM82" s="11">
        <f t="shared" si="137"/>
        <v>0</v>
      </c>
      <c r="BN82" s="11">
        <f t="shared" si="138"/>
        <v>0</v>
      </c>
    </row>
    <row r="83" spans="1:89" s="18" customFormat="1" ht="15" thickBot="1">
      <c r="A83"/>
      <c r="B83"/>
      <c r="C83" s="13"/>
      <c r="D83" s="13"/>
      <c r="E83" s="13"/>
      <c r="F83" s="13"/>
      <c r="G83" s="6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W83" s="14"/>
      <c r="AX83"/>
      <c r="AY83" s="14"/>
      <c r="AZ83" s="14"/>
      <c r="BA83"/>
      <c r="BB83" s="24"/>
      <c r="BC83" s="24"/>
      <c r="BD83" s="27"/>
      <c r="BE83" s="27"/>
      <c r="BF83" s="24"/>
      <c r="BG83" s="24"/>
      <c r="BH83"/>
      <c r="BI83" s="24"/>
      <c r="BJ83" s="24"/>
      <c r="BK83" s="24"/>
      <c r="BL83" s="27"/>
      <c r="BM83" s="24"/>
      <c r="BN83" s="24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</row>
    <row r="84" spans="1:89" s="1" customFormat="1" ht="18.600000000000001" thickTop="1">
      <c r="A84" s="37" t="s">
        <v>64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W84" s="9"/>
      <c r="AX84"/>
      <c r="AY84" s="9"/>
      <c r="AZ84" s="9"/>
      <c r="BA84"/>
      <c r="BB84" s="3"/>
      <c r="BC84" s="3"/>
      <c r="BD84" s="3"/>
      <c r="BE84" s="4"/>
      <c r="BF84" s="3"/>
      <c r="BG84" s="3"/>
      <c r="BI84" s="38">
        <f t="shared" ref="BI84:BN84" si="168">SUBTOTAL(9,BI85:BI93)</f>
        <v>0</v>
      </c>
      <c r="BJ84" s="38">
        <f t="shared" si="168"/>
        <v>0</v>
      </c>
      <c r="BK84" s="39">
        <f t="shared" si="168"/>
        <v>301768.08712230221</v>
      </c>
      <c r="BL84" s="39">
        <f t="shared" si="168"/>
        <v>0</v>
      </c>
      <c r="BM84" s="44">
        <f t="shared" si="168"/>
        <v>0</v>
      </c>
      <c r="BN84" s="44">
        <f t="shared" si="168"/>
        <v>0</v>
      </c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</row>
    <row r="85" spans="1:89">
      <c r="A85" s="49" t="s">
        <v>166</v>
      </c>
      <c r="C85" s="22" t="s">
        <v>62</v>
      </c>
      <c r="D85" s="22"/>
      <c r="E85" s="22"/>
      <c r="F85" s="22"/>
      <c r="G85" s="68">
        <v>1480000</v>
      </c>
      <c r="H85" s="64">
        <v>1</v>
      </c>
      <c r="I85" s="64">
        <v>1</v>
      </c>
      <c r="J85" s="64">
        <v>1</v>
      </c>
      <c r="K85" s="64">
        <v>1</v>
      </c>
      <c r="L85" s="64">
        <v>1</v>
      </c>
      <c r="M85" s="64">
        <v>1</v>
      </c>
      <c r="N85" s="64">
        <v>1</v>
      </c>
      <c r="O85" s="64">
        <v>1</v>
      </c>
      <c r="P85" s="64">
        <v>1</v>
      </c>
      <c r="Q85" s="64">
        <v>1</v>
      </c>
      <c r="R85" s="64">
        <v>1</v>
      </c>
      <c r="S85" s="64">
        <v>1</v>
      </c>
      <c r="T85" s="64">
        <v>1</v>
      </c>
      <c r="U85" s="64">
        <v>1</v>
      </c>
      <c r="V85" s="64">
        <v>1</v>
      </c>
      <c r="W85" s="64">
        <v>1</v>
      </c>
      <c r="X85" s="64">
        <v>1</v>
      </c>
      <c r="Y85" s="64">
        <v>1</v>
      </c>
      <c r="Z85" s="64">
        <v>1</v>
      </c>
      <c r="AA85" s="64">
        <v>1</v>
      </c>
      <c r="AB85" s="64">
        <v>1</v>
      </c>
      <c r="AC85" s="64">
        <v>2</v>
      </c>
      <c r="AD85" s="64">
        <v>2</v>
      </c>
      <c r="AE85" s="64">
        <v>2</v>
      </c>
      <c r="AF85" s="64">
        <v>2</v>
      </c>
      <c r="AG85" s="64">
        <v>2</v>
      </c>
      <c r="AH85" s="64">
        <v>2</v>
      </c>
      <c r="AI85" s="64">
        <v>2</v>
      </c>
      <c r="AJ85" s="64">
        <v>1</v>
      </c>
      <c r="AK85" s="64">
        <v>1</v>
      </c>
      <c r="AL85" s="64">
        <v>1</v>
      </c>
      <c r="AM85" s="64">
        <v>1</v>
      </c>
      <c r="AN85" s="64">
        <v>2</v>
      </c>
      <c r="AO85" s="64">
        <v>1</v>
      </c>
      <c r="AP85" s="64">
        <v>2</v>
      </c>
      <c r="AQ85" s="64">
        <v>2</v>
      </c>
      <c r="AR85" s="64">
        <v>2</v>
      </c>
      <c r="AS85" s="64">
        <v>2</v>
      </c>
      <c r="AT85" s="64">
        <v>2</v>
      </c>
      <c r="AU85" s="64">
        <v>2</v>
      </c>
      <c r="AW85" s="10">
        <f t="shared" ref="AW85:AW93" si="169">AU85*$AU$5</f>
        <v>20</v>
      </c>
      <c r="AY85" s="10">
        <f t="shared" ref="AY85:AY93" si="170">SUMPRODUCT($H$5:$AT$5,H85:AT85)</f>
        <v>292</v>
      </c>
      <c r="AZ85" s="50">
        <f t="shared" ref="AZ85:AZ93" si="171">AW85+AY85</f>
        <v>312</v>
      </c>
      <c r="BB85" s="58"/>
      <c r="BC85" s="31"/>
      <c r="BD85" s="29">
        <v>613.33000000000004</v>
      </c>
      <c r="BE85" s="40"/>
      <c r="BF85" s="11"/>
      <c r="BG85" s="11"/>
      <c r="BI85" s="19">
        <f t="shared" ref="BI85:BI93" si="172">$BB85*$AZ85</f>
        <v>0</v>
      </c>
      <c r="BJ85" s="31">
        <f t="shared" ref="BJ85:BJ93" si="173">$BC85*$AZ85</f>
        <v>0</v>
      </c>
      <c r="BK85" s="29">
        <f t="shared" ref="BK85:BK93" si="174">$BD85*$AZ85</f>
        <v>191358.96000000002</v>
      </c>
      <c r="BL85" s="40">
        <f t="shared" ref="BL85:BL93" si="175">$BE85*$AZ85</f>
        <v>0</v>
      </c>
      <c r="BM85" s="11">
        <f t="shared" ref="BM85:BM93" si="176">$BF85*$AZ85</f>
        <v>0</v>
      </c>
      <c r="BN85" s="11">
        <f t="shared" ref="BN85:BN93" si="177">$BG85*$AZ85</f>
        <v>0</v>
      </c>
    </row>
    <row r="86" spans="1:89">
      <c r="A86" s="49" t="s">
        <v>165</v>
      </c>
      <c r="C86" s="22" t="s">
        <v>62</v>
      </c>
      <c r="D86" s="22"/>
      <c r="E86" s="22"/>
      <c r="F86" s="22"/>
      <c r="G86" s="68">
        <v>1468000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W86" s="10">
        <f t="shared" ref="AW86" si="178">AU86*$AU$5</f>
        <v>0</v>
      </c>
      <c r="AY86" s="10">
        <f t="shared" si="170"/>
        <v>0</v>
      </c>
      <c r="AZ86" s="50">
        <f t="shared" ref="AZ86" si="179">AW86+AY86</f>
        <v>0</v>
      </c>
      <c r="BB86" s="58"/>
      <c r="BC86" s="31"/>
      <c r="BD86" s="29">
        <v>0</v>
      </c>
      <c r="BE86" s="40"/>
      <c r="BF86" s="11"/>
      <c r="BG86" s="11"/>
      <c r="BI86" s="19">
        <f t="shared" si="172"/>
        <v>0</v>
      </c>
      <c r="BJ86" s="31">
        <f t="shared" si="173"/>
        <v>0</v>
      </c>
      <c r="BK86" s="29">
        <f t="shared" si="174"/>
        <v>0</v>
      </c>
      <c r="BL86" s="40">
        <f t="shared" si="175"/>
        <v>0</v>
      </c>
      <c r="BM86" s="11">
        <f t="shared" si="176"/>
        <v>0</v>
      </c>
      <c r="BN86" s="11">
        <f t="shared" si="177"/>
        <v>0</v>
      </c>
    </row>
    <row r="87" spans="1:89">
      <c r="A87" s="49" t="s">
        <v>65</v>
      </c>
      <c r="C87" s="22" t="s">
        <v>62</v>
      </c>
      <c r="D87" s="22"/>
      <c r="E87" s="22"/>
      <c r="F87" s="22"/>
      <c r="G87" s="68">
        <v>2500420</v>
      </c>
      <c r="H87" s="62">
        <f>66/278</f>
        <v>0.23741007194244604</v>
      </c>
      <c r="I87" s="62">
        <f t="shared" ref="I87:AU87" si="180">66/278</f>
        <v>0.23741007194244604</v>
      </c>
      <c r="J87" s="62">
        <f t="shared" si="180"/>
        <v>0.23741007194244604</v>
      </c>
      <c r="K87" s="62">
        <f t="shared" si="180"/>
        <v>0.23741007194244604</v>
      </c>
      <c r="L87" s="62">
        <f t="shared" si="180"/>
        <v>0.23741007194244604</v>
      </c>
      <c r="M87" s="62">
        <f t="shared" si="180"/>
        <v>0.23741007194244604</v>
      </c>
      <c r="N87" s="62">
        <f t="shared" si="180"/>
        <v>0.23741007194244604</v>
      </c>
      <c r="O87" s="62">
        <f t="shared" si="180"/>
        <v>0.23741007194244604</v>
      </c>
      <c r="P87" s="62">
        <f t="shared" si="180"/>
        <v>0.23741007194244604</v>
      </c>
      <c r="Q87" s="62">
        <f t="shared" si="180"/>
        <v>0.23741007194244604</v>
      </c>
      <c r="R87" s="62">
        <f>66/278</f>
        <v>0.23741007194244604</v>
      </c>
      <c r="S87" s="62">
        <f t="shared" si="180"/>
        <v>0.23741007194244604</v>
      </c>
      <c r="T87" s="62">
        <f t="shared" si="180"/>
        <v>0.23741007194244604</v>
      </c>
      <c r="U87" s="62">
        <f t="shared" si="180"/>
        <v>0.23741007194244604</v>
      </c>
      <c r="V87" s="62">
        <f t="shared" si="180"/>
        <v>0.23741007194244604</v>
      </c>
      <c r="W87" s="62">
        <f t="shared" si="180"/>
        <v>0.23741007194244604</v>
      </c>
      <c r="X87" s="62">
        <f t="shared" si="180"/>
        <v>0.23741007194244604</v>
      </c>
      <c r="Y87" s="62">
        <f t="shared" si="180"/>
        <v>0.23741007194244604</v>
      </c>
      <c r="Z87" s="62">
        <f t="shared" si="180"/>
        <v>0.23741007194244604</v>
      </c>
      <c r="AA87" s="62">
        <f t="shared" si="180"/>
        <v>0.23741007194244604</v>
      </c>
      <c r="AB87" s="62">
        <f>66/278</f>
        <v>0.23741007194244604</v>
      </c>
      <c r="AC87" s="62">
        <f t="shared" si="180"/>
        <v>0.23741007194244604</v>
      </c>
      <c r="AD87" s="62">
        <f t="shared" si="180"/>
        <v>0.23741007194244604</v>
      </c>
      <c r="AE87" s="62">
        <f t="shared" si="180"/>
        <v>0.23741007194244604</v>
      </c>
      <c r="AF87" s="62">
        <f t="shared" si="180"/>
        <v>0.23741007194244604</v>
      </c>
      <c r="AG87" s="62">
        <f t="shared" si="180"/>
        <v>0.23741007194244604</v>
      </c>
      <c r="AH87" s="62">
        <f t="shared" si="180"/>
        <v>0.23741007194244604</v>
      </c>
      <c r="AI87" s="62">
        <f t="shared" si="180"/>
        <v>0.23741007194244604</v>
      </c>
      <c r="AJ87" s="62">
        <f t="shared" si="180"/>
        <v>0.23741007194244604</v>
      </c>
      <c r="AK87" s="62">
        <f t="shared" si="180"/>
        <v>0.23741007194244604</v>
      </c>
      <c r="AL87" s="62">
        <f t="shared" si="180"/>
        <v>0.23741007194244604</v>
      </c>
      <c r="AM87" s="62">
        <f t="shared" si="180"/>
        <v>0.23741007194244604</v>
      </c>
      <c r="AN87" s="62">
        <f t="shared" si="180"/>
        <v>0.23741007194244604</v>
      </c>
      <c r="AO87" s="62">
        <f t="shared" si="180"/>
        <v>0.23741007194244604</v>
      </c>
      <c r="AP87" s="62">
        <f t="shared" si="180"/>
        <v>0.23741007194244604</v>
      </c>
      <c r="AQ87" s="62">
        <f t="shared" si="180"/>
        <v>0.23741007194244604</v>
      </c>
      <c r="AR87" s="62">
        <f t="shared" si="180"/>
        <v>0.23741007194244604</v>
      </c>
      <c r="AS87" s="62">
        <f t="shared" si="180"/>
        <v>0.23741007194244604</v>
      </c>
      <c r="AT87" s="62">
        <f t="shared" si="180"/>
        <v>0.23741007194244604</v>
      </c>
      <c r="AU87" s="62">
        <f t="shared" si="180"/>
        <v>0.23741007194244604</v>
      </c>
      <c r="AW87" s="10">
        <f t="shared" si="169"/>
        <v>2.3741007194244603</v>
      </c>
      <c r="AY87" s="10">
        <f t="shared" si="170"/>
        <v>65.762589928057622</v>
      </c>
      <c r="AZ87" s="50">
        <f t="shared" si="171"/>
        <v>68.136690647482084</v>
      </c>
      <c r="BB87" s="58"/>
      <c r="BC87" s="31"/>
      <c r="BD87" s="29">
        <v>32.9</v>
      </c>
      <c r="BE87" s="40"/>
      <c r="BF87" s="11"/>
      <c r="BG87" s="11"/>
      <c r="BI87" s="19">
        <f t="shared" si="172"/>
        <v>0</v>
      </c>
      <c r="BJ87" s="31">
        <f t="shared" si="173"/>
        <v>0</v>
      </c>
      <c r="BK87" s="29">
        <f t="shared" si="174"/>
        <v>2241.6971223021606</v>
      </c>
      <c r="BL87" s="40">
        <f t="shared" si="175"/>
        <v>0</v>
      </c>
      <c r="BM87" s="11">
        <f t="shared" si="176"/>
        <v>0</v>
      </c>
      <c r="BN87" s="11">
        <f t="shared" si="177"/>
        <v>0</v>
      </c>
    </row>
    <row r="88" spans="1:89">
      <c r="A88" s="49" t="s">
        <v>66</v>
      </c>
      <c r="C88" s="22" t="s">
        <v>62</v>
      </c>
      <c r="D88" s="22"/>
      <c r="E88" s="22"/>
      <c r="F88" s="22"/>
      <c r="G88" s="68">
        <v>2514000</v>
      </c>
      <c r="H88" s="62">
        <v>1</v>
      </c>
      <c r="I88" s="62">
        <v>1</v>
      </c>
      <c r="J88" s="62">
        <v>1</v>
      </c>
      <c r="K88" s="62">
        <v>1</v>
      </c>
      <c r="L88" s="62">
        <v>1</v>
      </c>
      <c r="M88" s="62">
        <v>1</v>
      </c>
      <c r="N88" s="62">
        <v>1</v>
      </c>
      <c r="O88" s="62">
        <v>1</v>
      </c>
      <c r="P88" s="62">
        <v>1</v>
      </c>
      <c r="Q88" s="62">
        <v>1</v>
      </c>
      <c r="R88" s="62">
        <v>1</v>
      </c>
      <c r="S88" s="62">
        <v>1</v>
      </c>
      <c r="T88" s="62">
        <v>1</v>
      </c>
      <c r="U88" s="62">
        <v>1</v>
      </c>
      <c r="V88" s="62">
        <v>1</v>
      </c>
      <c r="W88" s="62">
        <v>1</v>
      </c>
      <c r="X88" s="62">
        <v>1</v>
      </c>
      <c r="Y88" s="62">
        <v>1</v>
      </c>
      <c r="Z88" s="62">
        <v>1</v>
      </c>
      <c r="AA88" s="62">
        <v>1</v>
      </c>
      <c r="AB88" s="62">
        <v>1</v>
      </c>
      <c r="AC88" s="62">
        <v>1</v>
      </c>
      <c r="AD88" s="62">
        <v>1</v>
      </c>
      <c r="AE88" s="62">
        <v>1</v>
      </c>
      <c r="AF88" s="62">
        <v>1</v>
      </c>
      <c r="AG88" s="62">
        <v>1</v>
      </c>
      <c r="AH88" s="62">
        <v>1</v>
      </c>
      <c r="AI88" s="62">
        <v>1</v>
      </c>
      <c r="AJ88" s="62">
        <v>1</v>
      </c>
      <c r="AK88" s="62">
        <v>1</v>
      </c>
      <c r="AL88" s="62">
        <v>1</v>
      </c>
      <c r="AM88" s="62">
        <v>1</v>
      </c>
      <c r="AN88" s="62">
        <v>1</v>
      </c>
      <c r="AO88" s="62">
        <v>1</v>
      </c>
      <c r="AP88" s="62">
        <v>1</v>
      </c>
      <c r="AQ88" s="62">
        <v>1</v>
      </c>
      <c r="AR88" s="62">
        <v>1</v>
      </c>
      <c r="AS88" s="62">
        <v>1</v>
      </c>
      <c r="AT88" s="62">
        <v>1</v>
      </c>
      <c r="AU88" s="62">
        <v>1</v>
      </c>
      <c r="AW88" s="10">
        <f t="shared" si="169"/>
        <v>10</v>
      </c>
      <c r="AY88" s="10">
        <f t="shared" si="170"/>
        <v>277</v>
      </c>
      <c r="AZ88" s="50">
        <f t="shared" si="171"/>
        <v>287</v>
      </c>
      <c r="BB88" s="58"/>
      <c r="BC88" s="31"/>
      <c r="BD88" s="29">
        <v>8.16</v>
      </c>
      <c r="BE88" s="40"/>
      <c r="BF88" s="11"/>
      <c r="BG88" s="11"/>
      <c r="BI88" s="19">
        <f t="shared" si="172"/>
        <v>0</v>
      </c>
      <c r="BJ88" s="31">
        <f t="shared" si="173"/>
        <v>0</v>
      </c>
      <c r="BK88" s="29">
        <f t="shared" si="174"/>
        <v>2341.92</v>
      </c>
      <c r="BL88" s="40">
        <f t="shared" si="175"/>
        <v>0</v>
      </c>
      <c r="BM88" s="11">
        <f t="shared" si="176"/>
        <v>0</v>
      </c>
      <c r="BN88" s="11">
        <f t="shared" si="177"/>
        <v>0</v>
      </c>
    </row>
    <row r="89" spans="1:89">
      <c r="A89" s="49" t="s">
        <v>67</v>
      </c>
      <c r="C89" s="22" t="s">
        <v>62</v>
      </c>
      <c r="D89" s="22"/>
      <c r="E89" s="22"/>
      <c r="F89" s="22"/>
      <c r="G89" s="68">
        <v>3243700</v>
      </c>
      <c r="H89" s="62">
        <v>1</v>
      </c>
      <c r="I89" s="62">
        <v>1</v>
      </c>
      <c r="J89" s="62">
        <v>1</v>
      </c>
      <c r="K89" s="62">
        <v>1</v>
      </c>
      <c r="L89" s="62">
        <v>1</v>
      </c>
      <c r="M89" s="62">
        <v>1</v>
      </c>
      <c r="N89" s="62">
        <v>1</v>
      </c>
      <c r="O89" s="62">
        <v>1</v>
      </c>
      <c r="P89" s="62">
        <v>1</v>
      </c>
      <c r="Q89" s="62">
        <v>1</v>
      </c>
      <c r="R89" s="62">
        <v>1</v>
      </c>
      <c r="S89" s="62">
        <v>1</v>
      </c>
      <c r="T89" s="62">
        <v>1</v>
      </c>
      <c r="U89" s="62">
        <v>1</v>
      </c>
      <c r="V89" s="62">
        <v>1</v>
      </c>
      <c r="W89" s="62">
        <v>1</v>
      </c>
      <c r="X89" s="62">
        <v>1</v>
      </c>
      <c r="Y89" s="62">
        <v>1</v>
      </c>
      <c r="Z89" s="62">
        <v>1</v>
      </c>
      <c r="AA89" s="62">
        <v>1</v>
      </c>
      <c r="AB89" s="62">
        <v>1</v>
      </c>
      <c r="AC89" s="62">
        <v>1</v>
      </c>
      <c r="AD89" s="62">
        <v>1</v>
      </c>
      <c r="AE89" s="62">
        <v>1</v>
      </c>
      <c r="AF89" s="62">
        <v>1</v>
      </c>
      <c r="AG89" s="62">
        <v>1</v>
      </c>
      <c r="AH89" s="62">
        <v>1</v>
      </c>
      <c r="AI89" s="62">
        <v>1</v>
      </c>
      <c r="AJ89" s="62">
        <v>1</v>
      </c>
      <c r="AK89" s="62">
        <v>1</v>
      </c>
      <c r="AL89" s="62">
        <v>1</v>
      </c>
      <c r="AM89" s="62">
        <v>1</v>
      </c>
      <c r="AN89" s="62">
        <v>1</v>
      </c>
      <c r="AO89" s="62">
        <v>1</v>
      </c>
      <c r="AP89" s="62">
        <v>1</v>
      </c>
      <c r="AQ89" s="62">
        <v>1</v>
      </c>
      <c r="AR89" s="62">
        <v>1</v>
      </c>
      <c r="AS89" s="62">
        <v>1</v>
      </c>
      <c r="AT89" s="62">
        <v>1</v>
      </c>
      <c r="AU89" s="62">
        <v>1</v>
      </c>
      <c r="AW89" s="10">
        <f t="shared" si="169"/>
        <v>10</v>
      </c>
      <c r="AY89" s="10">
        <f t="shared" si="170"/>
        <v>277</v>
      </c>
      <c r="AZ89" s="50">
        <f t="shared" si="171"/>
        <v>287</v>
      </c>
      <c r="BB89" s="58"/>
      <c r="BC89" s="31"/>
      <c r="BD89" s="29">
        <v>193.68</v>
      </c>
      <c r="BE89" s="40"/>
      <c r="BF89" s="11"/>
      <c r="BG89" s="11"/>
      <c r="BI89" s="19">
        <f t="shared" si="172"/>
        <v>0</v>
      </c>
      <c r="BJ89" s="31">
        <f t="shared" si="173"/>
        <v>0</v>
      </c>
      <c r="BK89" s="29">
        <f t="shared" si="174"/>
        <v>55586.16</v>
      </c>
      <c r="BL89" s="40">
        <f t="shared" si="175"/>
        <v>0</v>
      </c>
      <c r="BM89" s="11">
        <f t="shared" si="176"/>
        <v>0</v>
      </c>
      <c r="BN89" s="11">
        <f t="shared" si="177"/>
        <v>0</v>
      </c>
    </row>
    <row r="90" spans="1:89">
      <c r="A90" s="49" t="s">
        <v>68</v>
      </c>
      <c r="C90" s="22" t="s">
        <v>62</v>
      </c>
      <c r="D90" s="22"/>
      <c r="E90" s="22"/>
      <c r="F90" s="22"/>
      <c r="G90" s="68">
        <v>3243300</v>
      </c>
      <c r="H90" s="62">
        <v>1</v>
      </c>
      <c r="I90" s="62">
        <v>1</v>
      </c>
      <c r="J90" s="62">
        <v>1</v>
      </c>
      <c r="K90" s="62">
        <v>1</v>
      </c>
      <c r="L90" s="62">
        <v>1</v>
      </c>
      <c r="M90" s="62">
        <v>1</v>
      </c>
      <c r="N90" s="62">
        <v>1</v>
      </c>
      <c r="O90" s="62">
        <v>1</v>
      </c>
      <c r="P90" s="62">
        <v>1</v>
      </c>
      <c r="Q90" s="62">
        <v>1</v>
      </c>
      <c r="R90" s="62">
        <v>1</v>
      </c>
      <c r="S90" s="62">
        <v>1</v>
      </c>
      <c r="T90" s="62">
        <v>1</v>
      </c>
      <c r="U90" s="62">
        <v>1</v>
      </c>
      <c r="V90" s="62">
        <v>1</v>
      </c>
      <c r="W90" s="62">
        <v>1</v>
      </c>
      <c r="X90" s="62">
        <v>1</v>
      </c>
      <c r="Y90" s="62">
        <v>1</v>
      </c>
      <c r="Z90" s="62">
        <v>1</v>
      </c>
      <c r="AA90" s="62">
        <v>1</v>
      </c>
      <c r="AB90" s="62">
        <v>1</v>
      </c>
      <c r="AC90" s="62">
        <v>1</v>
      </c>
      <c r="AD90" s="62">
        <v>1</v>
      </c>
      <c r="AE90" s="62">
        <v>1</v>
      </c>
      <c r="AF90" s="62">
        <v>1</v>
      </c>
      <c r="AG90" s="62">
        <v>1</v>
      </c>
      <c r="AH90" s="62">
        <v>1</v>
      </c>
      <c r="AI90" s="62">
        <v>1</v>
      </c>
      <c r="AJ90" s="62">
        <v>1</v>
      </c>
      <c r="AK90" s="62">
        <v>1</v>
      </c>
      <c r="AL90" s="62">
        <v>1</v>
      </c>
      <c r="AM90" s="62">
        <v>1</v>
      </c>
      <c r="AN90" s="62">
        <v>1</v>
      </c>
      <c r="AO90" s="62">
        <v>1</v>
      </c>
      <c r="AP90" s="62">
        <v>1</v>
      </c>
      <c r="AQ90" s="62">
        <v>1</v>
      </c>
      <c r="AR90" s="62">
        <v>1</v>
      </c>
      <c r="AS90" s="62">
        <v>1</v>
      </c>
      <c r="AT90" s="62">
        <v>1</v>
      </c>
      <c r="AU90" s="62">
        <v>1</v>
      </c>
      <c r="AW90" s="10">
        <f t="shared" si="169"/>
        <v>10</v>
      </c>
      <c r="AY90" s="10">
        <f t="shared" si="170"/>
        <v>277</v>
      </c>
      <c r="AZ90" s="50">
        <f t="shared" si="171"/>
        <v>287</v>
      </c>
      <c r="BB90" s="58"/>
      <c r="BC90" s="31"/>
      <c r="BD90" s="29">
        <v>38.9</v>
      </c>
      <c r="BE90" s="40"/>
      <c r="BF90" s="11"/>
      <c r="BG90" s="11"/>
      <c r="BI90" s="19">
        <f t="shared" si="172"/>
        <v>0</v>
      </c>
      <c r="BJ90" s="31">
        <f t="shared" si="173"/>
        <v>0</v>
      </c>
      <c r="BK90" s="29">
        <f t="shared" si="174"/>
        <v>11164.3</v>
      </c>
      <c r="BL90" s="40">
        <f t="shared" si="175"/>
        <v>0</v>
      </c>
      <c r="BM90" s="11">
        <f t="shared" si="176"/>
        <v>0</v>
      </c>
      <c r="BN90" s="11">
        <f t="shared" si="177"/>
        <v>0</v>
      </c>
    </row>
    <row r="91" spans="1:89">
      <c r="A91" s="49" t="s">
        <v>69</v>
      </c>
      <c r="C91" s="22" t="s">
        <v>62</v>
      </c>
      <c r="D91" s="22"/>
      <c r="E91" s="22"/>
      <c r="F91" s="22"/>
      <c r="G91" s="68">
        <v>3110000</v>
      </c>
      <c r="H91" s="62">
        <v>1</v>
      </c>
      <c r="I91" s="62">
        <v>1</v>
      </c>
      <c r="J91" s="62">
        <v>1</v>
      </c>
      <c r="K91" s="62">
        <v>1</v>
      </c>
      <c r="L91" s="62">
        <v>1</v>
      </c>
      <c r="M91" s="62">
        <v>1</v>
      </c>
      <c r="N91" s="62">
        <v>1</v>
      </c>
      <c r="O91" s="62">
        <v>1</v>
      </c>
      <c r="P91" s="62">
        <v>1</v>
      </c>
      <c r="Q91" s="62">
        <v>1</v>
      </c>
      <c r="R91" s="62">
        <v>1</v>
      </c>
      <c r="S91" s="62">
        <v>1</v>
      </c>
      <c r="T91" s="62">
        <v>1</v>
      </c>
      <c r="U91" s="62">
        <v>1</v>
      </c>
      <c r="V91" s="62">
        <v>1</v>
      </c>
      <c r="W91" s="62">
        <v>1</v>
      </c>
      <c r="X91" s="62">
        <v>1</v>
      </c>
      <c r="Y91" s="62">
        <v>1</v>
      </c>
      <c r="Z91" s="62">
        <v>1</v>
      </c>
      <c r="AA91" s="62">
        <v>1</v>
      </c>
      <c r="AB91" s="62">
        <v>1</v>
      </c>
      <c r="AC91" s="62">
        <v>1</v>
      </c>
      <c r="AD91" s="62">
        <v>1</v>
      </c>
      <c r="AE91" s="62">
        <v>1</v>
      </c>
      <c r="AF91" s="62">
        <v>1</v>
      </c>
      <c r="AG91" s="62">
        <v>1</v>
      </c>
      <c r="AH91" s="62">
        <v>1</v>
      </c>
      <c r="AI91" s="62">
        <v>1</v>
      </c>
      <c r="AJ91" s="62">
        <v>1</v>
      </c>
      <c r="AK91" s="62">
        <v>1</v>
      </c>
      <c r="AL91" s="62">
        <v>1</v>
      </c>
      <c r="AM91" s="62">
        <v>1</v>
      </c>
      <c r="AN91" s="62">
        <v>1</v>
      </c>
      <c r="AO91" s="62">
        <v>1</v>
      </c>
      <c r="AP91" s="62">
        <v>1</v>
      </c>
      <c r="AQ91" s="62">
        <v>1</v>
      </c>
      <c r="AR91" s="62">
        <v>1</v>
      </c>
      <c r="AS91" s="62">
        <v>1</v>
      </c>
      <c r="AT91" s="62">
        <v>1</v>
      </c>
      <c r="AU91" s="62">
        <v>1</v>
      </c>
      <c r="AW91" s="10">
        <f t="shared" si="169"/>
        <v>10</v>
      </c>
      <c r="AY91" s="10">
        <f t="shared" si="170"/>
        <v>277</v>
      </c>
      <c r="AZ91" s="50">
        <f t="shared" si="171"/>
        <v>287</v>
      </c>
      <c r="BB91" s="58"/>
      <c r="BC91" s="31"/>
      <c r="BD91" s="29">
        <v>30.77</v>
      </c>
      <c r="BE91" s="40"/>
      <c r="BF91" s="11"/>
      <c r="BG91" s="11"/>
      <c r="BI91" s="19">
        <f t="shared" si="172"/>
        <v>0</v>
      </c>
      <c r="BJ91" s="31">
        <f t="shared" si="173"/>
        <v>0</v>
      </c>
      <c r="BK91" s="29">
        <f t="shared" si="174"/>
        <v>8830.99</v>
      </c>
      <c r="BL91" s="40">
        <f t="shared" si="175"/>
        <v>0</v>
      </c>
      <c r="BM91" s="11">
        <f t="shared" si="176"/>
        <v>0</v>
      </c>
      <c r="BN91" s="11">
        <f t="shared" si="177"/>
        <v>0</v>
      </c>
    </row>
    <row r="92" spans="1:89">
      <c r="A92" s="49" t="s">
        <v>70</v>
      </c>
      <c r="C92" s="22" t="s">
        <v>62</v>
      </c>
      <c r="D92" s="22"/>
      <c r="E92" s="22"/>
      <c r="F92" s="22"/>
      <c r="G92" s="68">
        <v>2500110</v>
      </c>
      <c r="H92" s="62">
        <v>1</v>
      </c>
      <c r="I92" s="62">
        <v>1</v>
      </c>
      <c r="J92" s="62">
        <v>1</v>
      </c>
      <c r="K92" s="62">
        <v>1</v>
      </c>
      <c r="L92" s="62">
        <v>1</v>
      </c>
      <c r="M92" s="62">
        <v>1</v>
      </c>
      <c r="N92" s="62">
        <v>1</v>
      </c>
      <c r="O92" s="62">
        <v>1</v>
      </c>
      <c r="P92" s="62">
        <v>1</v>
      </c>
      <c r="Q92" s="62">
        <v>1</v>
      </c>
      <c r="R92" s="62">
        <v>1</v>
      </c>
      <c r="S92" s="62">
        <v>1</v>
      </c>
      <c r="T92" s="62">
        <v>1</v>
      </c>
      <c r="U92" s="62">
        <v>1</v>
      </c>
      <c r="V92" s="62">
        <v>1</v>
      </c>
      <c r="W92" s="62">
        <v>1</v>
      </c>
      <c r="X92" s="62">
        <v>1</v>
      </c>
      <c r="Y92" s="62">
        <v>1</v>
      </c>
      <c r="Z92" s="62">
        <v>1</v>
      </c>
      <c r="AA92" s="62">
        <v>1</v>
      </c>
      <c r="AB92" s="62">
        <v>1</v>
      </c>
      <c r="AC92" s="62">
        <v>1</v>
      </c>
      <c r="AD92" s="62">
        <v>1</v>
      </c>
      <c r="AE92" s="62">
        <v>1</v>
      </c>
      <c r="AF92" s="62">
        <v>1</v>
      </c>
      <c r="AG92" s="62">
        <v>1</v>
      </c>
      <c r="AH92" s="62">
        <v>1</v>
      </c>
      <c r="AI92" s="62">
        <v>1</v>
      </c>
      <c r="AJ92" s="62">
        <v>1</v>
      </c>
      <c r="AK92" s="62">
        <v>1</v>
      </c>
      <c r="AL92" s="62">
        <v>1</v>
      </c>
      <c r="AM92" s="62">
        <v>1</v>
      </c>
      <c r="AN92" s="62">
        <v>1</v>
      </c>
      <c r="AO92" s="62">
        <v>1</v>
      </c>
      <c r="AP92" s="62">
        <v>1</v>
      </c>
      <c r="AQ92" s="62">
        <v>1</v>
      </c>
      <c r="AR92" s="62">
        <v>1</v>
      </c>
      <c r="AS92" s="62">
        <v>1</v>
      </c>
      <c r="AT92" s="62">
        <v>1</v>
      </c>
      <c r="AU92" s="62">
        <v>1</v>
      </c>
      <c r="AW92" s="10">
        <f t="shared" si="169"/>
        <v>10</v>
      </c>
      <c r="AY92" s="10">
        <f t="shared" si="170"/>
        <v>277</v>
      </c>
      <c r="AZ92" s="50">
        <f t="shared" si="171"/>
        <v>287</v>
      </c>
      <c r="BB92" s="58"/>
      <c r="BC92" s="31"/>
      <c r="BD92" s="29">
        <v>69.53</v>
      </c>
      <c r="BE92" s="40"/>
      <c r="BF92" s="11"/>
      <c r="BG92" s="11"/>
      <c r="BI92" s="19">
        <f t="shared" si="172"/>
        <v>0</v>
      </c>
      <c r="BJ92" s="31">
        <f t="shared" si="173"/>
        <v>0</v>
      </c>
      <c r="BK92" s="29">
        <f t="shared" si="174"/>
        <v>19955.11</v>
      </c>
      <c r="BL92" s="40">
        <f t="shared" si="175"/>
        <v>0</v>
      </c>
      <c r="BM92" s="11">
        <f t="shared" si="176"/>
        <v>0</v>
      </c>
      <c r="BN92" s="11">
        <f t="shared" si="177"/>
        <v>0</v>
      </c>
    </row>
    <row r="93" spans="1:89">
      <c r="A93" s="49" t="s">
        <v>71</v>
      </c>
      <c r="C93" s="22" t="s">
        <v>62</v>
      </c>
      <c r="D93" s="22"/>
      <c r="E93" s="22"/>
      <c r="F93" s="22"/>
      <c r="G93" s="68">
        <v>2500460</v>
      </c>
      <c r="H93" s="62">
        <v>1</v>
      </c>
      <c r="I93" s="62">
        <v>1</v>
      </c>
      <c r="J93" s="62">
        <v>1</v>
      </c>
      <c r="K93" s="62">
        <v>1</v>
      </c>
      <c r="L93" s="62">
        <v>1</v>
      </c>
      <c r="M93" s="62">
        <v>1</v>
      </c>
      <c r="N93" s="62">
        <v>1</v>
      </c>
      <c r="O93" s="62">
        <v>1</v>
      </c>
      <c r="P93" s="62">
        <v>1</v>
      </c>
      <c r="Q93" s="62">
        <v>1</v>
      </c>
      <c r="R93" s="62">
        <v>1</v>
      </c>
      <c r="S93" s="62">
        <v>1</v>
      </c>
      <c r="T93" s="62">
        <v>1</v>
      </c>
      <c r="U93" s="62">
        <v>1</v>
      </c>
      <c r="V93" s="62">
        <v>1</v>
      </c>
      <c r="W93" s="62">
        <v>1</v>
      </c>
      <c r="X93" s="62">
        <v>1</v>
      </c>
      <c r="Y93" s="62">
        <v>1</v>
      </c>
      <c r="Z93" s="62">
        <v>1</v>
      </c>
      <c r="AA93" s="62">
        <v>1</v>
      </c>
      <c r="AB93" s="62">
        <v>1</v>
      </c>
      <c r="AC93" s="62">
        <v>1</v>
      </c>
      <c r="AD93" s="62">
        <v>1</v>
      </c>
      <c r="AE93" s="62">
        <v>1</v>
      </c>
      <c r="AF93" s="62">
        <v>1</v>
      </c>
      <c r="AG93" s="62">
        <v>1</v>
      </c>
      <c r="AH93" s="62">
        <v>1</v>
      </c>
      <c r="AI93" s="62">
        <v>1</v>
      </c>
      <c r="AJ93" s="62">
        <v>1</v>
      </c>
      <c r="AK93" s="62">
        <v>1</v>
      </c>
      <c r="AL93" s="62">
        <v>1</v>
      </c>
      <c r="AM93" s="62">
        <v>1</v>
      </c>
      <c r="AN93" s="62">
        <v>1</v>
      </c>
      <c r="AO93" s="62">
        <v>1</v>
      </c>
      <c r="AP93" s="62">
        <v>1</v>
      </c>
      <c r="AQ93" s="62">
        <v>1</v>
      </c>
      <c r="AR93" s="62">
        <v>1</v>
      </c>
      <c r="AS93" s="62">
        <v>1</v>
      </c>
      <c r="AT93" s="62">
        <v>1</v>
      </c>
      <c r="AU93" s="62">
        <v>1</v>
      </c>
      <c r="AW93" s="10">
        <f t="shared" si="169"/>
        <v>10</v>
      </c>
      <c r="AY93" s="10">
        <f t="shared" si="170"/>
        <v>277</v>
      </c>
      <c r="AZ93" s="50">
        <f t="shared" si="171"/>
        <v>287</v>
      </c>
      <c r="BB93" s="58"/>
      <c r="BC93" s="31"/>
      <c r="BD93" s="29">
        <v>35.85</v>
      </c>
      <c r="BE93" s="40"/>
      <c r="BF93" s="11"/>
      <c r="BG93" s="11"/>
      <c r="BI93" s="19">
        <f t="shared" si="172"/>
        <v>0</v>
      </c>
      <c r="BJ93" s="31">
        <f t="shared" si="173"/>
        <v>0</v>
      </c>
      <c r="BK93" s="29">
        <f t="shared" si="174"/>
        <v>10288.950000000001</v>
      </c>
      <c r="BL93" s="40">
        <f t="shared" si="175"/>
        <v>0</v>
      </c>
      <c r="BM93" s="11">
        <f t="shared" si="176"/>
        <v>0</v>
      </c>
      <c r="BN93" s="11">
        <f t="shared" si="177"/>
        <v>0</v>
      </c>
    </row>
    <row r="94" spans="1:89" s="18" customFormat="1" ht="15" thickBot="1">
      <c r="A94"/>
      <c r="B94"/>
      <c r="C94" s="13"/>
      <c r="D94" s="13"/>
      <c r="E94" s="13"/>
      <c r="F94" s="13"/>
      <c r="G94" s="6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W94" s="14"/>
      <c r="AX94"/>
      <c r="AY94" s="14"/>
      <c r="AZ94" s="14"/>
      <c r="BA94"/>
      <c r="BB94" s="24"/>
      <c r="BC94" s="24"/>
      <c r="BD94" s="27"/>
      <c r="BE94" s="27"/>
      <c r="BF94" s="24"/>
      <c r="BG94" s="24"/>
      <c r="BH94"/>
      <c r="BI94" s="24"/>
      <c r="BJ94" s="24"/>
      <c r="BK94" s="24"/>
      <c r="BL94" s="27"/>
      <c r="BM94" s="24"/>
      <c r="BN94" s="24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</row>
    <row r="95" spans="1:89" ht="15" thickTop="1">
      <c r="A95" s="67"/>
      <c r="BI95" s="3"/>
      <c r="BJ95" s="3"/>
      <c r="BK95" s="3"/>
      <c r="BL95" s="4"/>
      <c r="BM95" s="4"/>
    </row>
    <row r="96" spans="1:89">
      <c r="A96" s="67"/>
      <c r="BI96" s="3"/>
      <c r="BJ96" s="3"/>
      <c r="BK96" s="3"/>
      <c r="BL96" s="4"/>
      <c r="BM96" s="4"/>
    </row>
    <row r="97" spans="1:84">
      <c r="A97" s="67"/>
      <c r="AX97" s="9"/>
      <c r="BI97" s="3"/>
      <c r="BJ97" s="3"/>
      <c r="BK97" s="3"/>
      <c r="BL97" s="4"/>
      <c r="BM97" s="4"/>
    </row>
    <row r="98" spans="1:84" s="18" customFormat="1">
      <c r="A98"/>
      <c r="B98"/>
      <c r="C9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W98" s="9"/>
      <c r="AX98" s="9"/>
      <c r="AY98" s="9"/>
      <c r="AZ98" s="9"/>
      <c r="BA98"/>
      <c r="BB98"/>
      <c r="BC98"/>
      <c r="BD98"/>
      <c r="BE98" s="4"/>
      <c r="BF98"/>
      <c r="BG98"/>
      <c r="BH98"/>
      <c r="BI98" s="3"/>
      <c r="BJ98" s="3"/>
      <c r="BK98" s="3"/>
      <c r="BL98" s="4"/>
      <c r="BM98" s="4"/>
      <c r="BN98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</row>
    <row r="99" spans="1:84" s="1" customFormat="1">
      <c r="A99"/>
      <c r="B99"/>
      <c r="C9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W99" s="9"/>
      <c r="AX99" s="9"/>
      <c r="AY99" s="9"/>
      <c r="AZ99" s="9"/>
      <c r="BA99"/>
      <c r="BB99"/>
      <c r="BC99"/>
      <c r="BD99"/>
      <c r="BE99" s="4"/>
      <c r="BF99"/>
      <c r="BG99"/>
      <c r="BH99"/>
      <c r="BI99" s="3"/>
      <c r="BJ99" s="3"/>
      <c r="BK99" s="3"/>
      <c r="BL99" s="4"/>
      <c r="BM99" s="4"/>
      <c r="BN99"/>
      <c r="BO99"/>
      <c r="BP99" s="3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</row>
    <row r="100" spans="1:84">
      <c r="D100" s="9"/>
      <c r="E100" s="9"/>
      <c r="F100" s="9"/>
      <c r="G100" s="9"/>
      <c r="AV100" s="9"/>
      <c r="AX100" s="9"/>
      <c r="BI100" s="3"/>
      <c r="BJ100" s="3"/>
      <c r="BK100" s="3"/>
      <c r="BL100" s="4"/>
      <c r="BM100" s="4"/>
    </row>
    <row r="101" spans="1:84" ht="15.6">
      <c r="D101" s="9"/>
      <c r="E101" s="9"/>
      <c r="F101" s="9"/>
      <c r="G101" s="9"/>
      <c r="O101"/>
      <c r="AV101" s="9"/>
      <c r="AX101" s="9"/>
      <c r="BH101" s="15"/>
      <c r="BI101" s="38">
        <f t="shared" ref="BI101:BN101" si="181">SUBTOTAL(9,BI7:BI94)</f>
        <v>0</v>
      </c>
      <c r="BJ101" s="38">
        <f t="shared" si="181"/>
        <v>99681.11</v>
      </c>
      <c r="BK101" s="39">
        <f t="shared" si="181"/>
        <v>2086394.8537889686</v>
      </c>
      <c r="BL101" s="39">
        <f t="shared" si="181"/>
        <v>0</v>
      </c>
      <c r="BM101" s="45">
        <f t="shared" si="181"/>
        <v>0</v>
      </c>
      <c r="BN101" s="45">
        <f t="shared" si="181"/>
        <v>0</v>
      </c>
    </row>
    <row r="102" spans="1:84">
      <c r="D102" s="9"/>
      <c r="E102" s="9"/>
      <c r="F102" s="9"/>
      <c r="G102" s="9"/>
      <c r="AV102" s="9"/>
      <c r="AX102" s="9"/>
    </row>
    <row r="103" spans="1:84">
      <c r="D103" s="9"/>
      <c r="E103" s="9"/>
      <c r="F103" s="9"/>
      <c r="G103" s="9"/>
      <c r="AV103" s="9"/>
      <c r="AX103" s="9"/>
    </row>
    <row r="104" spans="1:84" ht="15" thickBot="1">
      <c r="D104" s="9"/>
      <c r="E104" s="9"/>
      <c r="F104" s="9"/>
      <c r="G104" s="9"/>
      <c r="AV104" s="9"/>
      <c r="BH104" s="73" t="s">
        <v>72</v>
      </c>
      <c r="BI104" s="74">
        <f>BI101+BJ101+(BK101*BK108)</f>
        <v>2486962.5806855382</v>
      </c>
      <c r="BK104" s="3"/>
      <c r="BM104" s="3"/>
    </row>
    <row r="105" spans="1:84" ht="15" thickTop="1">
      <c r="D105" s="9"/>
      <c r="E105" s="9"/>
      <c r="F105" s="9"/>
      <c r="G105" s="9"/>
      <c r="AV105" s="9"/>
    </row>
    <row r="106" spans="1:84">
      <c r="D106" s="9"/>
      <c r="E106" s="9"/>
      <c r="F106" s="9"/>
      <c r="G106" s="9"/>
      <c r="AV106" s="9"/>
      <c r="BJ106" t="s">
        <v>183</v>
      </c>
      <c r="BK106">
        <v>57.84</v>
      </c>
    </row>
    <row r="107" spans="1:84">
      <c r="D107" s="9"/>
      <c r="E107" s="9"/>
      <c r="F107" s="9"/>
      <c r="G107" s="9"/>
      <c r="AV107" s="9"/>
      <c r="BJ107" t="s">
        <v>182</v>
      </c>
      <c r="BK107">
        <v>50.55</v>
      </c>
    </row>
    <row r="108" spans="1:84">
      <c r="D108" s="9"/>
      <c r="E108" s="9"/>
      <c r="F108" s="9"/>
      <c r="G108" s="9"/>
      <c r="AV108" s="9"/>
      <c r="AY108"/>
      <c r="AZ108"/>
      <c r="BE108"/>
      <c r="BJ108" t="s">
        <v>184</v>
      </c>
      <c r="BK108">
        <f>BK106/BK107</f>
        <v>1.1442136498516322</v>
      </c>
    </row>
    <row r="109" spans="1:84">
      <c r="D109" s="9"/>
      <c r="E109" s="9"/>
      <c r="F109" s="9"/>
      <c r="G109" s="9"/>
      <c r="AV109" s="9"/>
      <c r="AY109"/>
      <c r="AZ109"/>
      <c r="BE109"/>
    </row>
    <row r="110" spans="1:84">
      <c r="D110" s="9"/>
      <c r="E110" s="9"/>
      <c r="F110" s="9"/>
      <c r="G110" s="9"/>
      <c r="AV110" s="9"/>
      <c r="AY110"/>
      <c r="AZ110"/>
      <c r="BE110"/>
    </row>
    <row r="111" spans="1:84">
      <c r="D111" s="9"/>
      <c r="E111" s="9"/>
      <c r="F111" s="9"/>
      <c r="G111" s="9"/>
      <c r="AV111" s="9"/>
      <c r="AY111"/>
      <c r="AZ111"/>
      <c r="BE111"/>
    </row>
    <row r="112" spans="1:84">
      <c r="D112" s="9"/>
      <c r="E112" s="9"/>
      <c r="F112" s="9"/>
      <c r="G112" s="9"/>
      <c r="AV112" s="9"/>
      <c r="AY112"/>
      <c r="AZ112"/>
      <c r="BE112"/>
    </row>
    <row r="113" spans="4:57">
      <c r="D113" s="9"/>
      <c r="E113" s="9"/>
      <c r="F113" s="9"/>
      <c r="G113" s="9"/>
      <c r="AV113" s="9"/>
      <c r="AY113"/>
      <c r="AZ113"/>
      <c r="BE113"/>
    </row>
    <row r="114" spans="4:57">
      <c r="D114" s="9"/>
      <c r="E114" s="9"/>
      <c r="F114" s="9"/>
      <c r="G114" s="9"/>
      <c r="AV114" s="9"/>
    </row>
    <row r="115" spans="4:57">
      <c r="D115" s="9"/>
      <c r="E115" s="9"/>
      <c r="F115" s="9"/>
      <c r="G115" s="9"/>
      <c r="AV115" s="9"/>
    </row>
    <row r="116" spans="4:57">
      <c r="D116" s="9"/>
      <c r="E116" s="9"/>
      <c r="F116" s="9"/>
      <c r="G116" s="9"/>
      <c r="AV116" s="9"/>
    </row>
    <row r="117" spans="4:57">
      <c r="D117" s="9"/>
      <c r="E117" s="9"/>
      <c r="F117" s="9"/>
      <c r="G117" s="9"/>
      <c r="AV117" s="9"/>
    </row>
    <row r="118" spans="4:57">
      <c r="D118" s="9"/>
      <c r="E118" s="9"/>
      <c r="F118" s="9"/>
      <c r="G118" s="9"/>
      <c r="AV118" s="9"/>
    </row>
    <row r="119" spans="4:57">
      <c r="D119" s="9"/>
      <c r="E119" s="9"/>
      <c r="F119" s="9"/>
      <c r="G119" s="9"/>
      <c r="AV119" s="9"/>
    </row>
    <row r="120" spans="4:57">
      <c r="D120" s="9"/>
      <c r="E120" s="9"/>
      <c r="F120" s="9"/>
      <c r="G120" s="9"/>
      <c r="AV120" s="9"/>
    </row>
    <row r="121" spans="4:57">
      <c r="D121" s="9"/>
      <c r="E121" s="9"/>
      <c r="F121" s="9"/>
      <c r="G121" s="9"/>
      <c r="AV121" s="9"/>
    </row>
    <row r="122" spans="4:57">
      <c r="D122" s="9"/>
      <c r="E122" s="9"/>
      <c r="F122" s="9"/>
      <c r="G122" s="9"/>
      <c r="AV122" s="9"/>
    </row>
    <row r="123" spans="4:57">
      <c r="D123" s="9"/>
      <c r="E123" s="9"/>
      <c r="F123" s="9"/>
      <c r="G123" s="9"/>
      <c r="AV123" s="9"/>
    </row>
    <row r="124" spans="4:57">
      <c r="D124" s="9"/>
      <c r="E124" s="9"/>
      <c r="F124" s="9"/>
      <c r="G124" s="9"/>
      <c r="AV124" s="9"/>
    </row>
    <row r="125" spans="4:57">
      <c r="D125" s="9"/>
      <c r="E125" s="9"/>
      <c r="F125" s="9"/>
      <c r="G125" s="9"/>
      <c r="AV125" s="9"/>
      <c r="AY125"/>
      <c r="AZ125"/>
      <c r="BE125"/>
    </row>
    <row r="126" spans="4:57">
      <c r="D126" s="9"/>
      <c r="E126" s="9"/>
      <c r="F126" s="9"/>
      <c r="G126" s="9"/>
      <c r="AV126" s="9"/>
    </row>
    <row r="127" spans="4:57">
      <c r="D127" s="9"/>
      <c r="E127" s="9"/>
      <c r="F127" s="9"/>
      <c r="G127" s="9"/>
      <c r="AV127" s="9"/>
    </row>
    <row r="128" spans="4:57">
      <c r="D128" s="9"/>
      <c r="E128" s="9"/>
      <c r="F128" s="9"/>
      <c r="G128" s="9"/>
      <c r="AV128" s="9"/>
    </row>
    <row r="129" spans="4:48">
      <c r="D129" s="9"/>
      <c r="E129" s="9"/>
      <c r="F129" s="9"/>
      <c r="G129" s="9"/>
      <c r="AV129" s="9"/>
    </row>
    <row r="130" spans="4:48">
      <c r="D130" s="9"/>
      <c r="E130" s="9"/>
      <c r="F130" s="9"/>
      <c r="G130" s="9"/>
      <c r="AV130" s="9"/>
    </row>
    <row r="131" spans="4:48">
      <c r="D131" s="9"/>
      <c r="E131" s="9"/>
      <c r="F131" s="9"/>
      <c r="G131" s="9"/>
      <c r="AV131" s="9"/>
    </row>
    <row r="132" spans="4:48">
      <c r="D132" s="9"/>
      <c r="E132" s="9"/>
      <c r="F132" s="9"/>
      <c r="G132" s="9"/>
      <c r="AV132" s="9"/>
    </row>
    <row r="133" spans="4:48">
      <c r="D133" s="9"/>
      <c r="E133" s="9"/>
      <c r="F133" s="9"/>
      <c r="G133" s="9"/>
      <c r="AV133" s="9"/>
    </row>
    <row r="134" spans="4:48">
      <c r="D134" s="9"/>
      <c r="E134" s="9"/>
      <c r="F134" s="9"/>
      <c r="G134" s="9"/>
      <c r="AV134" s="9"/>
    </row>
    <row r="135" spans="4:48">
      <c r="D135" s="9"/>
      <c r="E135" s="9"/>
      <c r="F135" s="9"/>
      <c r="G135" s="9"/>
      <c r="AV135" s="9"/>
    </row>
    <row r="136" spans="4:48">
      <c r="D136" s="9"/>
      <c r="E136" s="9"/>
      <c r="F136" s="9"/>
      <c r="G136" s="9"/>
      <c r="AV136" s="9"/>
    </row>
    <row r="137" spans="4:48">
      <c r="D137" s="9"/>
      <c r="E137" s="9"/>
      <c r="F137" s="9"/>
      <c r="G137" s="9"/>
      <c r="AV137" s="9"/>
    </row>
    <row r="138" spans="4:48">
      <c r="D138" s="9"/>
      <c r="E138" s="9"/>
      <c r="F138" s="9"/>
      <c r="G138" s="9"/>
      <c r="AV138" s="9"/>
    </row>
    <row r="139" spans="4:48">
      <c r="D139" s="9"/>
      <c r="E139" s="9"/>
      <c r="F139" s="9"/>
      <c r="G139" s="9"/>
      <c r="AV139" s="9"/>
    </row>
    <row r="140" spans="4:48">
      <c r="D140" s="9"/>
      <c r="E140" s="9"/>
      <c r="F140" s="9"/>
      <c r="G140" s="9"/>
    </row>
    <row r="141" spans="4:48">
      <c r="E141" s="9"/>
      <c r="F141" s="9"/>
      <c r="G141" s="9"/>
    </row>
    <row r="142" spans="4:48">
      <c r="E142" s="9"/>
      <c r="F142" s="9"/>
      <c r="G142" s="9"/>
    </row>
    <row r="143" spans="4:48">
      <c r="E143" s="9"/>
      <c r="F143" s="9"/>
      <c r="G143" s="9"/>
    </row>
    <row r="144" spans="4:48">
      <c r="E144" s="9"/>
      <c r="F144" s="9"/>
      <c r="G144" s="9"/>
    </row>
    <row r="145" spans="1:57">
      <c r="E145" s="9"/>
      <c r="F145" s="9"/>
      <c r="G145" s="9"/>
    </row>
    <row r="146" spans="1:57">
      <c r="E146" s="9"/>
      <c r="F146" s="9"/>
      <c r="G146" s="9"/>
    </row>
    <row r="150" spans="1:57">
      <c r="A150" s="9"/>
      <c r="B150" s="9"/>
      <c r="C150" s="9"/>
      <c r="D150" s="9"/>
      <c r="E150" s="9"/>
      <c r="F150" s="9"/>
      <c r="G150" s="9"/>
      <c r="AT150"/>
      <c r="AU150"/>
      <c r="AW150"/>
      <c r="AY150"/>
      <c r="AZ150"/>
      <c r="BE150"/>
    </row>
    <row r="151" spans="1:57">
      <c r="A151" s="9"/>
      <c r="B151" s="9"/>
      <c r="C151" s="9"/>
      <c r="D151" s="9"/>
      <c r="E151" s="9"/>
      <c r="F151" s="9"/>
      <c r="G151" s="9"/>
      <c r="AT151"/>
      <c r="AU151"/>
      <c r="AW151"/>
      <c r="AY151"/>
      <c r="AZ151"/>
      <c r="BE151"/>
    </row>
    <row r="152" spans="1:57">
      <c r="A152" s="9"/>
      <c r="B152" s="9"/>
      <c r="C152" s="9"/>
      <c r="D152" s="9"/>
      <c r="E152" s="9"/>
      <c r="F152" s="9"/>
      <c r="G152" s="9"/>
      <c r="AT152"/>
      <c r="AU152"/>
      <c r="AW152"/>
      <c r="AY152"/>
      <c r="AZ152"/>
      <c r="BE152"/>
    </row>
    <row r="153" spans="1:57">
      <c r="A153" s="9"/>
      <c r="B153" s="9"/>
      <c r="C153" s="9"/>
      <c r="D153" s="9"/>
      <c r="E153" s="9"/>
      <c r="F153" s="9"/>
      <c r="G153" s="9"/>
      <c r="AT153"/>
      <c r="AU153"/>
      <c r="AW153"/>
      <c r="AY153"/>
      <c r="AZ153"/>
      <c r="BE153"/>
    </row>
  </sheetData>
  <mergeCells count="4">
    <mergeCell ref="BB5:BG5"/>
    <mergeCell ref="BI5:BN5"/>
    <mergeCell ref="BB4:BG4"/>
    <mergeCell ref="BI4:BN4"/>
  </mergeCells>
  <phoneticPr fontId="13" type="noConversion"/>
  <pageMargins left="0.7" right="0.7" top="0.75" bottom="0.75" header="0.3" footer="0.3"/>
  <pageSetup paperSize="9" scale="1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78883B48C5A4D832566F6C923EB94" ma:contentTypeVersion="14" ma:contentTypeDescription="Create a new document." ma:contentTypeScope="" ma:versionID="18957950d128c3ba241158e0b1b44b51">
  <xsd:schema xmlns:xsd="http://www.w3.org/2001/XMLSchema" xmlns:xs="http://www.w3.org/2001/XMLSchema" xmlns:p="http://schemas.microsoft.com/office/2006/metadata/properties" xmlns:ns2="2aa3bad8-270b-4ac8-b957-389d96003744" xmlns:ns3="a4e8b2b7-7f92-4aef-8134-fcc0de0dd1fa" targetNamespace="http://schemas.microsoft.com/office/2006/metadata/properties" ma:root="true" ma:fieldsID="276cbc33af7642fcec0d0af61a84b6d9" ns2:_="" ns3:_="">
    <xsd:import namespace="2aa3bad8-270b-4ac8-b957-389d96003744"/>
    <xsd:import namespace="a4e8b2b7-7f92-4aef-8134-fcc0de0dd1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3bad8-270b-4ac8-b957-389d96003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35ab49-0766-4d27-8e19-c6400b22dd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8b2b7-7f92-4aef-8134-fcc0de0dd1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6d3c7e-0344-4d5b-b73f-92010f259536}" ma:internalName="TaxCatchAll" ma:showField="CatchAllData" ma:web="a4e8b2b7-7f92-4aef-8134-fcc0de0dd1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a3bad8-270b-4ac8-b957-389d96003744">
      <Terms xmlns="http://schemas.microsoft.com/office/infopath/2007/PartnerControls"/>
    </lcf76f155ced4ddcb4097134ff3c332f>
    <TaxCatchAll xmlns="a4e8b2b7-7f92-4aef-8134-fcc0de0dd1fa" xsi:nil="true"/>
  </documentManagement>
</p:properties>
</file>

<file path=customXml/itemProps1.xml><?xml version="1.0" encoding="utf-8"?>
<ds:datastoreItem xmlns:ds="http://schemas.openxmlformats.org/officeDocument/2006/customXml" ds:itemID="{DA79E066-22A7-4150-B291-5F346C888C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3bad8-270b-4ac8-b957-389d96003744"/>
    <ds:schemaRef ds:uri="a4e8b2b7-7f92-4aef-8134-fcc0de0dd1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78EB3-9903-421F-8D30-F64D3207B5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5F99EF-6FB2-47F8-B211-A118663EBB76}">
  <ds:schemaRefs>
    <ds:schemaRef ds:uri="http://schemas.microsoft.com/office/2006/metadata/properties"/>
    <ds:schemaRef ds:uri="http://schemas.microsoft.com/office/infopath/2007/PartnerControls"/>
    <ds:schemaRef ds:uri="2aa3bad8-270b-4ac8-b957-389d96003744"/>
    <ds:schemaRef ds:uri="a4e8b2b7-7f92-4aef-8134-fcc0de0dd1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El Gabry</dc:creator>
  <cp:keywords/>
  <dc:description/>
  <cp:lastModifiedBy>Youssef Amr Mohamed</cp:lastModifiedBy>
  <cp:revision/>
  <dcterms:created xsi:type="dcterms:W3CDTF">2022-06-07T15:02:37Z</dcterms:created>
  <dcterms:modified xsi:type="dcterms:W3CDTF">2026-07-22T06:21:09Z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0x010100B2278883B48C5A4D832566F6C923EB94</vt:lpwstr>
  </property>
  <property fmtid="{D5CDD505-2E9C-101B-9397-08002B2CF9AE}" pid="3" name="MediaServiceImageTags">
    <vt:lpwstr/>
  </property>
</Properties>
</file>